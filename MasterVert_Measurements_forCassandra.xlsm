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31a67184117b5c99/Documents/Dissertation/03.Chapter 2/VertStats/"/>
    </mc:Choice>
  </mc:AlternateContent>
  <xr:revisionPtr revIDLastSave="92" documentId="13_ncr:1_{BCDF83D6-0EEC-054C-B400-62A80D47A786}" xr6:coauthVersionLast="45" xr6:coauthVersionMax="45" xr10:uidLastSave="{D7387D12-3D0F-4AE9-B87B-0475460368C7}"/>
  <bookViews>
    <workbookView minimized="1" xWindow="1900" yWindow="1900" windowWidth="14400" windowHeight="7360" activeTab="1" xr2:uid="{F9DBDC4D-1B71-4E55-A589-E153494E61C8}"/>
  </bookViews>
  <sheets>
    <sheet name="PositionChart" sheetId="1" r:id="rId1"/>
    <sheet name="VertMeasurements" sheetId="2" r:id="rId2"/>
    <sheet name="Measurement Labels" sheetId="4" r:id="rId3"/>
    <sheet name="CompiledDataTable" sheetId="3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26" i="1" l="1"/>
  <c r="G6" i="1" l="1"/>
  <c r="I6" i="1" s="1"/>
  <c r="H6" i="1"/>
  <c r="J6" i="1"/>
  <c r="L6" i="1"/>
  <c r="M6" i="1"/>
  <c r="N6" i="1"/>
  <c r="P6" i="1"/>
  <c r="Q6" i="1"/>
  <c r="O6" i="1" l="1"/>
  <c r="K6" i="1"/>
  <c r="G4" i="1"/>
  <c r="P4" i="1" s="1"/>
  <c r="H4" i="1"/>
  <c r="G5" i="1"/>
  <c r="H5" i="1"/>
  <c r="G7" i="1"/>
  <c r="R7" i="1" s="1"/>
  <c r="H7" i="1"/>
  <c r="G8" i="1"/>
  <c r="K8" i="1" s="1"/>
  <c r="H8" i="1"/>
  <c r="G9" i="1"/>
  <c r="R9" i="1" s="1"/>
  <c r="H9" i="1"/>
  <c r="G10" i="1"/>
  <c r="H10" i="1"/>
  <c r="G11" i="1"/>
  <c r="K11" i="1" s="1"/>
  <c r="H11" i="1"/>
  <c r="G12" i="1"/>
  <c r="N12" i="1" s="1"/>
  <c r="H12" i="1"/>
  <c r="G13" i="1"/>
  <c r="R13" i="1" s="1"/>
  <c r="H13" i="1"/>
  <c r="P13" i="1"/>
  <c r="G14" i="1"/>
  <c r="M14" i="1" s="1"/>
  <c r="H14" i="1"/>
  <c r="G15" i="1"/>
  <c r="H15" i="1"/>
  <c r="G16" i="1"/>
  <c r="L16" i="1" s="1"/>
  <c r="H16" i="1"/>
  <c r="K16" i="1"/>
  <c r="G17" i="1"/>
  <c r="Q17" i="1" s="1"/>
  <c r="H17" i="1"/>
  <c r="G18" i="1"/>
  <c r="M18" i="1" s="1"/>
  <c r="H18" i="1"/>
  <c r="G19" i="1"/>
  <c r="Q19" i="1" s="1"/>
  <c r="H19" i="1"/>
  <c r="G20" i="1"/>
  <c r="N20" i="1" s="1"/>
  <c r="H20" i="1"/>
  <c r="G21" i="1"/>
  <c r="L21" i="1" s="1"/>
  <c r="H21" i="1"/>
  <c r="G22" i="1"/>
  <c r="H22" i="1"/>
  <c r="G23" i="1"/>
  <c r="Q23" i="1" s="1"/>
  <c r="H23" i="1"/>
  <c r="G24" i="1"/>
  <c r="L24" i="1" s="1"/>
  <c r="H24" i="1"/>
  <c r="G25" i="1"/>
  <c r="O25" i="1" s="1"/>
  <c r="H25" i="1"/>
  <c r="G26" i="1"/>
  <c r="L26" i="1" s="1"/>
  <c r="G27" i="1"/>
  <c r="H27" i="1"/>
  <c r="G28" i="1"/>
  <c r="O28" i="1" s="1"/>
  <c r="H28" i="1"/>
  <c r="N28" i="1"/>
  <c r="G29" i="1"/>
  <c r="O29" i="1" s="1"/>
  <c r="H29" i="1"/>
  <c r="G30" i="1"/>
  <c r="L30" i="1" s="1"/>
  <c r="H30" i="1"/>
  <c r="G31" i="1"/>
  <c r="Q31" i="1" s="1"/>
  <c r="H31" i="1"/>
  <c r="G32" i="1"/>
  <c r="L32" i="1" s="1"/>
  <c r="H32" i="1"/>
  <c r="G33" i="1"/>
  <c r="O33" i="1" s="1"/>
  <c r="H33" i="1"/>
  <c r="G34" i="1"/>
  <c r="L34" i="1" s="1"/>
  <c r="H34" i="1"/>
  <c r="G35" i="1"/>
  <c r="H35" i="1"/>
  <c r="G36" i="1"/>
  <c r="K36" i="1" s="1"/>
  <c r="H36" i="1"/>
  <c r="G37" i="1"/>
  <c r="P37" i="1" s="1"/>
  <c r="H37" i="1"/>
  <c r="G38" i="1"/>
  <c r="M38" i="1" s="1"/>
  <c r="H38" i="1"/>
  <c r="G39" i="1"/>
  <c r="H39" i="1"/>
  <c r="G40" i="1"/>
  <c r="O40" i="1" s="1"/>
  <c r="H40" i="1"/>
  <c r="G41" i="1"/>
  <c r="Q41" i="1" s="1"/>
  <c r="H41" i="1"/>
  <c r="G42" i="1"/>
  <c r="H42" i="1"/>
  <c r="G43" i="1"/>
  <c r="K43" i="1" s="1"/>
  <c r="H43" i="1"/>
  <c r="G44" i="1"/>
  <c r="O44" i="1" s="1"/>
  <c r="H44" i="1"/>
  <c r="G45" i="1"/>
  <c r="O45" i="1" s="1"/>
  <c r="H45" i="1"/>
  <c r="G46" i="1"/>
  <c r="P46" i="1" s="1"/>
  <c r="H46" i="1"/>
  <c r="G47" i="1"/>
  <c r="H47" i="1"/>
  <c r="G48" i="1"/>
  <c r="K48" i="1" s="1"/>
  <c r="H48" i="1"/>
  <c r="G49" i="1"/>
  <c r="R49" i="1" s="1"/>
  <c r="H49" i="1"/>
  <c r="G50" i="1"/>
  <c r="H50" i="1"/>
  <c r="G51" i="1"/>
  <c r="K51" i="1" s="1"/>
  <c r="H51" i="1"/>
  <c r="G52" i="1"/>
  <c r="N52" i="1" s="1"/>
  <c r="H52" i="1"/>
  <c r="G53" i="1"/>
  <c r="L53" i="1" s="1"/>
  <c r="H53" i="1"/>
  <c r="G54" i="1"/>
  <c r="L54" i="1" s="1"/>
  <c r="H54" i="1"/>
  <c r="G55" i="1"/>
  <c r="K55" i="1" s="1"/>
  <c r="H55" i="1"/>
  <c r="G56" i="1"/>
  <c r="L56" i="1" s="1"/>
  <c r="H56" i="1"/>
  <c r="G57" i="1"/>
  <c r="R57" i="1" s="1"/>
  <c r="H57" i="1"/>
  <c r="G58" i="1"/>
  <c r="H58" i="1"/>
  <c r="G59" i="1"/>
  <c r="P59" i="1" s="1"/>
  <c r="H59" i="1"/>
  <c r="G60" i="1"/>
  <c r="O60" i="1" s="1"/>
  <c r="H60" i="1"/>
  <c r="N60" i="1"/>
  <c r="G61" i="1"/>
  <c r="I61" i="1" s="1"/>
  <c r="H61" i="1"/>
  <c r="G62" i="1"/>
  <c r="R62" i="1" s="1"/>
  <c r="H62" i="1"/>
  <c r="G63" i="1"/>
  <c r="M63" i="1" s="1"/>
  <c r="H63" i="1"/>
  <c r="J63" i="1"/>
  <c r="N63" i="1"/>
  <c r="R63" i="1"/>
  <c r="G64" i="1"/>
  <c r="R64" i="1" s="1"/>
  <c r="H64" i="1"/>
  <c r="G65" i="1"/>
  <c r="H65" i="1"/>
  <c r="G66" i="1"/>
  <c r="N66" i="1" s="1"/>
  <c r="H66" i="1"/>
  <c r="K66" i="1"/>
  <c r="G67" i="1"/>
  <c r="M67" i="1" s="1"/>
  <c r="H67" i="1"/>
  <c r="G68" i="1"/>
  <c r="R68" i="1" s="1"/>
  <c r="H68" i="1"/>
  <c r="G69" i="1"/>
  <c r="M69" i="1" s="1"/>
  <c r="H69" i="1"/>
  <c r="G70" i="1"/>
  <c r="H70" i="1"/>
  <c r="G71" i="1"/>
  <c r="M71" i="1" s="1"/>
  <c r="H71" i="1"/>
  <c r="N71" i="1"/>
  <c r="P71" i="1"/>
  <c r="R71" i="1"/>
  <c r="G72" i="1"/>
  <c r="K72" i="1" s="1"/>
  <c r="H72" i="1"/>
  <c r="J72" i="1"/>
  <c r="L72" i="1"/>
  <c r="N72" i="1"/>
  <c r="O72" i="1"/>
  <c r="R72" i="1"/>
  <c r="G73" i="1"/>
  <c r="P73" i="1" s="1"/>
  <c r="H73" i="1"/>
  <c r="G74" i="1"/>
  <c r="H74" i="1"/>
  <c r="G75" i="1"/>
  <c r="M75" i="1" s="1"/>
  <c r="H75" i="1"/>
  <c r="G76" i="1"/>
  <c r="P76" i="1" s="1"/>
  <c r="H76" i="1"/>
  <c r="G77" i="1"/>
  <c r="H77" i="1"/>
  <c r="R77" i="1"/>
  <c r="G78" i="1"/>
  <c r="H78" i="1"/>
  <c r="G79" i="1"/>
  <c r="I79" i="1" s="1"/>
  <c r="H79" i="1"/>
  <c r="R79" i="1"/>
  <c r="G80" i="1"/>
  <c r="R80" i="1" s="1"/>
  <c r="H80" i="1"/>
  <c r="G81" i="1"/>
  <c r="M81" i="1" s="1"/>
  <c r="H81" i="1"/>
  <c r="G82" i="1"/>
  <c r="H82" i="1"/>
  <c r="G83" i="1"/>
  <c r="H83" i="1"/>
  <c r="G84" i="1"/>
  <c r="R84" i="1" s="1"/>
  <c r="H84" i="1"/>
  <c r="G85" i="1"/>
  <c r="Q85" i="1" s="1"/>
  <c r="H85" i="1"/>
  <c r="G86" i="1"/>
  <c r="J86" i="1" s="1"/>
  <c r="H86" i="1"/>
  <c r="O86" i="1"/>
  <c r="G87" i="1"/>
  <c r="P87" i="1" s="1"/>
  <c r="H87" i="1"/>
  <c r="I87" i="1"/>
  <c r="J87" i="1"/>
  <c r="L87" i="1"/>
  <c r="N87" i="1"/>
  <c r="O87" i="1"/>
  <c r="Q87" i="1"/>
  <c r="R87" i="1"/>
  <c r="G88" i="1"/>
  <c r="I88" i="1" s="1"/>
  <c r="H88" i="1"/>
  <c r="G89" i="1"/>
  <c r="O89" i="1" s="1"/>
  <c r="H89" i="1"/>
  <c r="P89" i="1"/>
  <c r="G90" i="1"/>
  <c r="K90" i="1" s="1"/>
  <c r="H90" i="1"/>
  <c r="I90" i="1"/>
  <c r="J90" i="1"/>
  <c r="L90" i="1"/>
  <c r="M90" i="1"/>
  <c r="R90" i="1"/>
  <c r="G91" i="1"/>
  <c r="R91" i="1" s="1"/>
  <c r="H91" i="1"/>
  <c r="G92" i="1"/>
  <c r="K92" i="1" s="1"/>
  <c r="H92" i="1"/>
  <c r="I92" i="1"/>
  <c r="M92" i="1"/>
  <c r="P92" i="1"/>
  <c r="Q92" i="1"/>
  <c r="G93" i="1"/>
  <c r="H93" i="1"/>
  <c r="G94" i="1"/>
  <c r="L94" i="1" s="1"/>
  <c r="H94" i="1"/>
  <c r="G95" i="1"/>
  <c r="H95" i="1"/>
  <c r="O95" i="1"/>
  <c r="G96" i="1"/>
  <c r="J96" i="1" s="1"/>
  <c r="H96" i="1"/>
  <c r="G97" i="1"/>
  <c r="L97" i="1" s="1"/>
  <c r="H97" i="1"/>
  <c r="G98" i="1"/>
  <c r="J98" i="1" s="1"/>
  <c r="H98" i="1"/>
  <c r="G99" i="1"/>
  <c r="J99" i="1" s="1"/>
  <c r="H99" i="1"/>
  <c r="G100" i="1"/>
  <c r="H100" i="1"/>
  <c r="G101" i="1"/>
  <c r="N101" i="1" s="1"/>
  <c r="H101" i="1"/>
  <c r="I101" i="1"/>
  <c r="J101" i="1"/>
  <c r="K101" i="1"/>
  <c r="L101" i="1"/>
  <c r="M101" i="1"/>
  <c r="O101" i="1"/>
  <c r="P101" i="1"/>
  <c r="Q101" i="1"/>
  <c r="R101" i="1"/>
  <c r="G102" i="1"/>
  <c r="R102" i="1" s="1"/>
  <c r="H102" i="1"/>
  <c r="M102" i="1"/>
  <c r="G103" i="1"/>
  <c r="P103" i="1" s="1"/>
  <c r="H103" i="1"/>
  <c r="I103" i="1"/>
  <c r="L103" i="1"/>
  <c r="O103" i="1"/>
  <c r="R103" i="1"/>
  <c r="G104" i="1"/>
  <c r="H104" i="1"/>
  <c r="G105" i="1"/>
  <c r="L105" i="1" s="1"/>
  <c r="H105" i="1"/>
  <c r="P105" i="1"/>
  <c r="Q105" i="1"/>
  <c r="G106" i="1"/>
  <c r="H106" i="1"/>
  <c r="I106" i="1"/>
  <c r="J106" i="1"/>
  <c r="L106" i="1"/>
  <c r="M106" i="1"/>
  <c r="Q106" i="1"/>
  <c r="R106" i="1"/>
  <c r="G107" i="1"/>
  <c r="L107" i="1" s="1"/>
  <c r="H107" i="1"/>
  <c r="I107" i="1"/>
  <c r="J107" i="1"/>
  <c r="K107" i="1"/>
  <c r="N107" i="1"/>
  <c r="O107" i="1"/>
  <c r="P107" i="1"/>
  <c r="Q107" i="1"/>
  <c r="R107" i="1"/>
  <c r="G108" i="1"/>
  <c r="H108" i="1"/>
  <c r="G109" i="1"/>
  <c r="O109" i="1" s="1"/>
  <c r="H109" i="1"/>
  <c r="G110" i="1"/>
  <c r="M110" i="1" s="1"/>
  <c r="H110" i="1"/>
  <c r="G111" i="1"/>
  <c r="P111" i="1" s="1"/>
  <c r="H111" i="1"/>
  <c r="Q111" i="1"/>
  <c r="R111" i="1"/>
  <c r="G112" i="1"/>
  <c r="R112" i="1" s="1"/>
  <c r="H112" i="1"/>
  <c r="G113" i="1"/>
  <c r="O113" i="1" s="1"/>
  <c r="H113" i="1"/>
  <c r="G114" i="1"/>
  <c r="I114" i="1" s="1"/>
  <c r="H114" i="1"/>
  <c r="G115" i="1"/>
  <c r="H115" i="1"/>
  <c r="G116" i="1"/>
  <c r="J116" i="1" s="1"/>
  <c r="H116" i="1"/>
  <c r="G117" i="1"/>
  <c r="P117" i="1" s="1"/>
  <c r="H117" i="1"/>
  <c r="G118" i="1"/>
  <c r="I118" i="1" s="1"/>
  <c r="H118" i="1"/>
  <c r="M118" i="1"/>
  <c r="R118" i="1"/>
  <c r="G119" i="1"/>
  <c r="P119" i="1" s="1"/>
  <c r="H119" i="1"/>
  <c r="L119" i="1"/>
  <c r="N119" i="1"/>
  <c r="G120" i="1"/>
  <c r="I120" i="1" s="1"/>
  <c r="H120" i="1"/>
  <c r="G121" i="1"/>
  <c r="H121" i="1"/>
  <c r="G122" i="1"/>
  <c r="H122" i="1"/>
  <c r="G123" i="1"/>
  <c r="K123" i="1" s="1"/>
  <c r="H123" i="1"/>
  <c r="M123" i="1"/>
  <c r="G124" i="1"/>
  <c r="K124" i="1" s="1"/>
  <c r="H124" i="1"/>
  <c r="Q124" i="1"/>
  <c r="R124" i="1"/>
  <c r="G125" i="1"/>
  <c r="M125" i="1" s="1"/>
  <c r="H125" i="1"/>
  <c r="K125" i="1"/>
  <c r="L125" i="1"/>
  <c r="N125" i="1"/>
  <c r="O125" i="1"/>
  <c r="R125" i="1"/>
  <c r="G126" i="1"/>
  <c r="J126" i="1" s="1"/>
  <c r="H126" i="1"/>
  <c r="G127" i="1"/>
  <c r="H127" i="1"/>
  <c r="I127" i="1"/>
  <c r="J127" i="1"/>
  <c r="K127" i="1"/>
  <c r="L127" i="1"/>
  <c r="M127" i="1"/>
  <c r="N127" i="1"/>
  <c r="O127" i="1"/>
  <c r="P127" i="1"/>
  <c r="Q127" i="1"/>
  <c r="R127" i="1"/>
  <c r="G128" i="1"/>
  <c r="K128" i="1" s="1"/>
  <c r="H128" i="1"/>
  <c r="J128" i="1"/>
  <c r="R128" i="1"/>
  <c r="G129" i="1"/>
  <c r="O129" i="1" s="1"/>
  <c r="H129" i="1"/>
  <c r="N129" i="1"/>
  <c r="G130" i="1"/>
  <c r="H130" i="1"/>
  <c r="G131" i="1"/>
  <c r="K131" i="1" s="1"/>
  <c r="H131" i="1"/>
  <c r="M131" i="1"/>
  <c r="Q131" i="1"/>
  <c r="G132" i="1"/>
  <c r="K132" i="1" s="1"/>
  <c r="H132" i="1"/>
  <c r="J132" i="1"/>
  <c r="Q132" i="1"/>
  <c r="R132" i="1"/>
  <c r="G133" i="1"/>
  <c r="M133" i="1" s="1"/>
  <c r="H133" i="1"/>
  <c r="O133" i="1"/>
  <c r="G134" i="1"/>
  <c r="J134" i="1" s="1"/>
  <c r="H134" i="1"/>
  <c r="Q134" i="1"/>
  <c r="G135" i="1"/>
  <c r="J135" i="1" s="1"/>
  <c r="H135" i="1"/>
  <c r="O135" i="1"/>
  <c r="Q135" i="1"/>
  <c r="G136" i="1"/>
  <c r="K136" i="1" s="1"/>
  <c r="H136" i="1"/>
  <c r="Q136" i="1"/>
  <c r="R136" i="1"/>
  <c r="G137" i="1"/>
  <c r="J137" i="1" s="1"/>
  <c r="H137" i="1"/>
  <c r="O137" i="1"/>
  <c r="P137" i="1"/>
  <c r="G138" i="1"/>
  <c r="K138" i="1" s="1"/>
  <c r="H138" i="1"/>
  <c r="G139" i="1"/>
  <c r="Q139" i="1" s="1"/>
  <c r="H139" i="1"/>
  <c r="G140" i="1"/>
  <c r="K140" i="1" s="1"/>
  <c r="H140" i="1"/>
  <c r="P140" i="1"/>
  <c r="R140" i="1"/>
  <c r="G141" i="1"/>
  <c r="M141" i="1" s="1"/>
  <c r="H141" i="1"/>
  <c r="N141" i="1"/>
  <c r="O141" i="1"/>
  <c r="R141" i="1"/>
  <c r="G142" i="1"/>
  <c r="J142" i="1" s="1"/>
  <c r="H142" i="1"/>
  <c r="G143" i="1"/>
  <c r="H143" i="1"/>
  <c r="G144" i="1"/>
  <c r="H144" i="1"/>
  <c r="Q144" i="1"/>
  <c r="G145" i="1"/>
  <c r="H145" i="1"/>
  <c r="G146" i="1"/>
  <c r="J146" i="1" s="1"/>
  <c r="H146" i="1"/>
  <c r="G147" i="1"/>
  <c r="K147" i="1" s="1"/>
  <c r="H147" i="1"/>
  <c r="I147" i="1"/>
  <c r="J147" i="1"/>
  <c r="L147" i="1"/>
  <c r="M147" i="1"/>
  <c r="Q147" i="1"/>
  <c r="R147" i="1"/>
  <c r="G148" i="1"/>
  <c r="H148" i="1"/>
  <c r="Q148" i="1"/>
  <c r="R148" i="1"/>
  <c r="G149" i="1"/>
  <c r="H149" i="1"/>
  <c r="G150" i="1"/>
  <c r="H150" i="1"/>
  <c r="G151" i="1"/>
  <c r="J151" i="1" s="1"/>
  <c r="H151" i="1"/>
  <c r="L151" i="1"/>
  <c r="M151" i="1"/>
  <c r="N151" i="1"/>
  <c r="P151" i="1"/>
  <c r="G152" i="1"/>
  <c r="K152" i="1" s="1"/>
  <c r="H152" i="1"/>
  <c r="M152" i="1"/>
  <c r="G153" i="1"/>
  <c r="H153" i="1"/>
  <c r="G154" i="1"/>
  <c r="H154" i="1"/>
  <c r="J154" i="1"/>
  <c r="M154" i="1"/>
  <c r="G155" i="1"/>
  <c r="K155" i="1" s="1"/>
  <c r="H155" i="1"/>
  <c r="I155" i="1"/>
  <c r="J155" i="1"/>
  <c r="L155" i="1"/>
  <c r="M155" i="1"/>
  <c r="Q155" i="1"/>
  <c r="R155" i="1"/>
  <c r="G156" i="1"/>
  <c r="H156" i="1"/>
  <c r="L156" i="1"/>
  <c r="Q156" i="1"/>
  <c r="R156" i="1"/>
  <c r="G157" i="1"/>
  <c r="H157" i="1"/>
  <c r="J157" i="1"/>
  <c r="G158" i="1"/>
  <c r="L158" i="1" s="1"/>
  <c r="H158" i="1"/>
  <c r="J158" i="1"/>
  <c r="G159" i="1"/>
  <c r="K159" i="1" s="1"/>
  <c r="H159" i="1"/>
  <c r="P159" i="1"/>
  <c r="G160" i="1"/>
  <c r="K160" i="1" s="1"/>
  <c r="H160" i="1"/>
  <c r="O160" i="1"/>
  <c r="Q160" i="1"/>
  <c r="R160" i="1"/>
  <c r="G161" i="1"/>
  <c r="J161" i="1" s="1"/>
  <c r="H161" i="1"/>
  <c r="G162" i="1"/>
  <c r="J162" i="1" s="1"/>
  <c r="H162" i="1"/>
  <c r="G163" i="1"/>
  <c r="J163" i="1" s="1"/>
  <c r="H163" i="1"/>
  <c r="Q163" i="1"/>
  <c r="G164" i="1"/>
  <c r="K164" i="1" s="1"/>
  <c r="H164" i="1"/>
  <c r="Q164" i="1"/>
  <c r="G165" i="1"/>
  <c r="H165" i="1"/>
  <c r="G166" i="1"/>
  <c r="P166" i="1" s="1"/>
  <c r="H166" i="1"/>
  <c r="G167" i="1"/>
  <c r="O167" i="1" s="1"/>
  <c r="H167" i="1"/>
  <c r="G168" i="1"/>
  <c r="J168" i="1" s="1"/>
  <c r="H168" i="1"/>
  <c r="M168" i="1"/>
  <c r="O168" i="1"/>
  <c r="G169" i="1"/>
  <c r="H169" i="1"/>
  <c r="J169" i="1"/>
  <c r="K169" i="1"/>
  <c r="G170" i="1"/>
  <c r="H170" i="1"/>
  <c r="L170" i="1"/>
  <c r="M170" i="1"/>
  <c r="Q170" i="1"/>
  <c r="G171" i="1"/>
  <c r="H171" i="1"/>
  <c r="G172" i="1"/>
  <c r="H172" i="1"/>
  <c r="G173" i="1"/>
  <c r="R173" i="1" s="1"/>
  <c r="H173" i="1"/>
  <c r="G174" i="1"/>
  <c r="J174" i="1" s="1"/>
  <c r="H174" i="1"/>
  <c r="I174" i="1"/>
  <c r="P174" i="1"/>
  <c r="R174" i="1"/>
  <c r="G175" i="1"/>
  <c r="Q175" i="1" s="1"/>
  <c r="H175" i="1"/>
  <c r="G176" i="1"/>
  <c r="L176" i="1" s="1"/>
  <c r="H176" i="1"/>
  <c r="P176" i="1"/>
  <c r="G177" i="1"/>
  <c r="J177" i="1" s="1"/>
  <c r="H177" i="1"/>
  <c r="L177" i="1"/>
  <c r="Q177" i="1"/>
  <c r="G178" i="1"/>
  <c r="H178" i="1"/>
  <c r="G179" i="1"/>
  <c r="L179" i="1" s="1"/>
  <c r="H179" i="1"/>
  <c r="G180" i="1"/>
  <c r="Q180" i="1" s="1"/>
  <c r="H180" i="1"/>
  <c r="G181" i="1"/>
  <c r="K181" i="1" s="1"/>
  <c r="H181" i="1"/>
  <c r="G182" i="1"/>
  <c r="O182" i="1" s="1"/>
  <c r="H182" i="1"/>
  <c r="M182" i="1"/>
  <c r="P182" i="1"/>
  <c r="Q182" i="1"/>
  <c r="G183" i="1"/>
  <c r="H183" i="1"/>
  <c r="L183" i="1"/>
  <c r="G184" i="1"/>
  <c r="H184" i="1"/>
  <c r="G185" i="1"/>
  <c r="I185" i="1" s="1"/>
  <c r="H185" i="1"/>
  <c r="K185" i="1"/>
  <c r="Q185" i="1"/>
  <c r="G186" i="1"/>
  <c r="H186" i="1"/>
  <c r="G187" i="1"/>
  <c r="H187" i="1"/>
  <c r="G188" i="1"/>
  <c r="H188" i="1"/>
  <c r="G189" i="1"/>
  <c r="H189" i="1"/>
  <c r="Q189" i="1"/>
  <c r="G190" i="1"/>
  <c r="H190" i="1"/>
  <c r="L190" i="1"/>
  <c r="G191" i="1"/>
  <c r="L191" i="1" s="1"/>
  <c r="H191" i="1"/>
  <c r="G192" i="1"/>
  <c r="H192" i="1"/>
  <c r="G193" i="1"/>
  <c r="H193" i="1"/>
  <c r="O193" i="1"/>
  <c r="G194" i="1"/>
  <c r="H194" i="1"/>
  <c r="O194" i="1"/>
  <c r="P194" i="1"/>
  <c r="G195" i="1"/>
  <c r="L195" i="1" s="1"/>
  <c r="H195" i="1"/>
  <c r="I195" i="1"/>
  <c r="O195" i="1"/>
  <c r="P195" i="1"/>
  <c r="Q195" i="1"/>
  <c r="R195" i="1"/>
  <c r="G196" i="1"/>
  <c r="K196" i="1" s="1"/>
  <c r="H196" i="1"/>
  <c r="G197" i="1"/>
  <c r="N197" i="1" s="1"/>
  <c r="H197" i="1"/>
  <c r="I197" i="1"/>
  <c r="J197" i="1"/>
  <c r="K197" i="1"/>
  <c r="L197" i="1"/>
  <c r="P197" i="1"/>
  <c r="R197" i="1"/>
  <c r="G198" i="1"/>
  <c r="I198" i="1" s="1"/>
  <c r="H198" i="1"/>
  <c r="G199" i="1"/>
  <c r="H199" i="1"/>
  <c r="G200" i="1"/>
  <c r="H200" i="1"/>
  <c r="G201" i="1"/>
  <c r="H201" i="1"/>
  <c r="G202" i="1"/>
  <c r="M202" i="1" s="1"/>
  <c r="H202" i="1"/>
  <c r="G203" i="1"/>
  <c r="H203" i="1"/>
  <c r="G204" i="1"/>
  <c r="H204" i="1"/>
  <c r="G205" i="1"/>
  <c r="H205" i="1"/>
  <c r="G206" i="1"/>
  <c r="I206" i="1" s="1"/>
  <c r="H206" i="1"/>
  <c r="J206" i="1"/>
  <c r="K206" i="1"/>
  <c r="P206" i="1"/>
  <c r="R206" i="1"/>
  <c r="G207" i="1"/>
  <c r="L207" i="1" s="1"/>
  <c r="H207" i="1"/>
  <c r="G208" i="1"/>
  <c r="N208" i="1" s="1"/>
  <c r="H208" i="1"/>
  <c r="J208" i="1"/>
  <c r="K208" i="1"/>
  <c r="L208" i="1"/>
  <c r="O208" i="1"/>
  <c r="G209" i="1"/>
  <c r="H209" i="1"/>
  <c r="G210" i="1"/>
  <c r="H210" i="1"/>
  <c r="G211" i="1"/>
  <c r="H211" i="1"/>
  <c r="G212" i="1"/>
  <c r="L212" i="1" s="1"/>
  <c r="H212" i="1"/>
  <c r="I212" i="1"/>
  <c r="J212" i="1"/>
  <c r="K212" i="1"/>
  <c r="M212" i="1"/>
  <c r="N212" i="1"/>
  <c r="O212" i="1"/>
  <c r="P212" i="1"/>
  <c r="Q212" i="1"/>
  <c r="R212" i="1"/>
  <c r="G213" i="1"/>
  <c r="H213" i="1"/>
  <c r="G214" i="1"/>
  <c r="H214" i="1"/>
  <c r="G215" i="1"/>
  <c r="M215" i="1" s="1"/>
  <c r="H215" i="1"/>
  <c r="L215" i="1"/>
  <c r="O215" i="1"/>
  <c r="G216" i="1"/>
  <c r="H216" i="1"/>
  <c r="G217" i="1"/>
  <c r="L217" i="1" s="1"/>
  <c r="H217" i="1"/>
  <c r="G218" i="1"/>
  <c r="H218" i="1"/>
  <c r="G219" i="1"/>
  <c r="L219" i="1" s="1"/>
  <c r="H219" i="1"/>
  <c r="G220" i="1"/>
  <c r="H220" i="1"/>
  <c r="G221" i="1"/>
  <c r="H221" i="1"/>
  <c r="G222" i="1"/>
  <c r="H222" i="1"/>
  <c r="G223" i="1"/>
  <c r="N223" i="1" s="1"/>
  <c r="H223" i="1"/>
  <c r="G224" i="1"/>
  <c r="H224" i="1"/>
  <c r="K224" i="1"/>
  <c r="L224" i="1"/>
  <c r="G225" i="1"/>
  <c r="H225" i="1"/>
  <c r="G226" i="1"/>
  <c r="H226" i="1"/>
  <c r="G227" i="1"/>
  <c r="N227" i="1" s="1"/>
  <c r="H227" i="1"/>
  <c r="G228" i="1"/>
  <c r="H228" i="1"/>
  <c r="K228" i="1"/>
  <c r="M228" i="1"/>
  <c r="G229" i="1"/>
  <c r="N229" i="1" s="1"/>
  <c r="H229" i="1"/>
  <c r="G230" i="1"/>
  <c r="M230" i="1" s="1"/>
  <c r="H230" i="1"/>
  <c r="I230" i="1"/>
  <c r="J230" i="1"/>
  <c r="K230" i="1"/>
  <c r="L230" i="1"/>
  <c r="N230" i="1"/>
  <c r="O230" i="1"/>
  <c r="Q230" i="1"/>
  <c r="R230" i="1"/>
  <c r="G231" i="1"/>
  <c r="H231" i="1"/>
  <c r="G232" i="1"/>
  <c r="J232" i="1" s="1"/>
  <c r="H232" i="1"/>
  <c r="I232" i="1"/>
  <c r="P232" i="1"/>
  <c r="G233" i="1"/>
  <c r="H233" i="1"/>
  <c r="G234" i="1"/>
  <c r="M234" i="1" s="1"/>
  <c r="H234" i="1"/>
  <c r="L234" i="1"/>
  <c r="N234" i="1"/>
  <c r="Q234" i="1"/>
  <c r="G235" i="1"/>
  <c r="L235" i="1" s="1"/>
  <c r="H235" i="1"/>
  <c r="G236" i="1"/>
  <c r="Q236" i="1" s="1"/>
  <c r="H236" i="1"/>
  <c r="G237" i="1"/>
  <c r="H237" i="1"/>
  <c r="G238" i="1"/>
  <c r="J238" i="1" s="1"/>
  <c r="H238" i="1"/>
  <c r="I238" i="1"/>
  <c r="L238" i="1"/>
  <c r="O238" i="1"/>
  <c r="P238" i="1"/>
  <c r="R238" i="1"/>
  <c r="G239" i="1"/>
  <c r="L239" i="1" s="1"/>
  <c r="H239" i="1"/>
  <c r="G240" i="1"/>
  <c r="L240" i="1" s="1"/>
  <c r="H240" i="1"/>
  <c r="I240" i="1"/>
  <c r="J240" i="1"/>
  <c r="G241" i="1"/>
  <c r="N241" i="1" s="1"/>
  <c r="H241" i="1"/>
  <c r="L241" i="1"/>
  <c r="O241" i="1"/>
  <c r="G242" i="1"/>
  <c r="H242" i="1"/>
  <c r="G243" i="1"/>
  <c r="H243" i="1"/>
  <c r="G244" i="1"/>
  <c r="H244" i="1"/>
  <c r="G245" i="1"/>
  <c r="H245" i="1"/>
  <c r="G246" i="1"/>
  <c r="I246" i="1" s="1"/>
  <c r="H246" i="1"/>
  <c r="L246" i="1"/>
  <c r="R246" i="1"/>
  <c r="G247" i="1"/>
  <c r="H247" i="1"/>
  <c r="G248" i="1"/>
  <c r="J248" i="1" s="1"/>
  <c r="H248" i="1"/>
  <c r="G249" i="1"/>
  <c r="H249" i="1"/>
  <c r="G250" i="1"/>
  <c r="H250" i="1"/>
  <c r="G251" i="1"/>
  <c r="N251" i="1" s="1"/>
  <c r="H251" i="1"/>
  <c r="G252" i="1"/>
  <c r="L252" i="1" s="1"/>
  <c r="H252" i="1"/>
  <c r="J252" i="1"/>
  <c r="G253" i="1"/>
  <c r="L253" i="1" s="1"/>
  <c r="H253" i="1"/>
  <c r="G254" i="1"/>
  <c r="H254" i="1"/>
  <c r="G255" i="1"/>
  <c r="H255" i="1"/>
  <c r="G256" i="1"/>
  <c r="H256" i="1"/>
  <c r="K256" i="1"/>
  <c r="L256" i="1"/>
  <c r="G257" i="1"/>
  <c r="L257" i="1" s="1"/>
  <c r="H257" i="1"/>
  <c r="G258" i="1"/>
  <c r="H258" i="1"/>
  <c r="G259" i="1"/>
  <c r="L259" i="1" s="1"/>
  <c r="H259" i="1"/>
  <c r="G260" i="1"/>
  <c r="J260" i="1" s="1"/>
  <c r="H260" i="1"/>
  <c r="I260" i="1"/>
  <c r="L260" i="1"/>
  <c r="M260" i="1"/>
  <c r="N260" i="1"/>
  <c r="P260" i="1"/>
  <c r="Q260" i="1"/>
  <c r="G261" i="1"/>
  <c r="J261" i="1" s="1"/>
  <c r="H261" i="1"/>
  <c r="G262" i="1"/>
  <c r="Q262" i="1" s="1"/>
  <c r="H262" i="1"/>
  <c r="G263" i="1"/>
  <c r="H263" i="1"/>
  <c r="G264" i="1"/>
  <c r="L264" i="1" s="1"/>
  <c r="H264" i="1"/>
  <c r="I264" i="1"/>
  <c r="O264" i="1"/>
  <c r="Q264" i="1"/>
  <c r="G265" i="1"/>
  <c r="H265" i="1"/>
  <c r="G266" i="1"/>
  <c r="R266" i="1" s="1"/>
  <c r="H266" i="1"/>
  <c r="O266" i="1"/>
  <c r="G267" i="1"/>
  <c r="L267" i="1" s="1"/>
  <c r="H267" i="1"/>
  <c r="G268" i="1"/>
  <c r="Q268" i="1" s="1"/>
  <c r="H268" i="1"/>
  <c r="G269" i="1"/>
  <c r="H269" i="1"/>
  <c r="G270" i="1"/>
  <c r="J270" i="1" s="1"/>
  <c r="H270" i="1"/>
  <c r="R270" i="1"/>
  <c r="G271" i="1"/>
  <c r="J271" i="1" s="1"/>
  <c r="H271" i="1"/>
  <c r="O271" i="1"/>
  <c r="G272" i="1"/>
  <c r="H272" i="1"/>
  <c r="Q272" i="1"/>
  <c r="G273" i="1"/>
  <c r="R273" i="1" s="1"/>
  <c r="H273" i="1"/>
  <c r="G274" i="1"/>
  <c r="H274" i="1"/>
  <c r="P274" i="1"/>
  <c r="G275" i="1"/>
  <c r="R275" i="1" s="1"/>
  <c r="H275" i="1"/>
  <c r="I275" i="1"/>
  <c r="G276" i="1"/>
  <c r="M276" i="1" s="1"/>
  <c r="H276" i="1"/>
  <c r="G277" i="1"/>
  <c r="L277" i="1" s="1"/>
  <c r="H277" i="1"/>
  <c r="I277" i="1"/>
  <c r="K277" i="1"/>
  <c r="M277" i="1"/>
  <c r="P277" i="1"/>
  <c r="G278" i="1"/>
  <c r="J278" i="1" s="1"/>
  <c r="H278" i="1"/>
  <c r="R278" i="1"/>
  <c r="G279" i="1"/>
  <c r="L279" i="1" s="1"/>
  <c r="H279" i="1"/>
  <c r="I279" i="1"/>
  <c r="J279" i="1"/>
  <c r="M279" i="1"/>
  <c r="O279" i="1"/>
  <c r="Q279" i="1"/>
  <c r="R279" i="1"/>
  <c r="G280" i="1"/>
  <c r="I280" i="1" s="1"/>
  <c r="H280" i="1"/>
  <c r="J280" i="1"/>
  <c r="M280" i="1"/>
  <c r="N280" i="1"/>
  <c r="P280" i="1"/>
  <c r="R280" i="1"/>
  <c r="G281" i="1"/>
  <c r="P281" i="1" s="1"/>
  <c r="H281" i="1"/>
  <c r="G282" i="1"/>
  <c r="H282" i="1"/>
  <c r="G283" i="1"/>
  <c r="R283" i="1" s="1"/>
  <c r="H283" i="1"/>
  <c r="N283" i="1"/>
  <c r="G284" i="1"/>
  <c r="R284" i="1" s="1"/>
  <c r="H284" i="1"/>
  <c r="G285" i="1"/>
  <c r="O285" i="1" s="1"/>
  <c r="H285" i="1"/>
  <c r="G286" i="1"/>
  <c r="H286" i="1"/>
  <c r="G287" i="1"/>
  <c r="P287" i="1" s="1"/>
  <c r="H287" i="1"/>
  <c r="I287" i="1"/>
  <c r="J287" i="1"/>
  <c r="K287" i="1"/>
  <c r="L287" i="1"/>
  <c r="Q287" i="1"/>
  <c r="G288" i="1"/>
  <c r="H288" i="1"/>
  <c r="G289" i="1"/>
  <c r="H289" i="1"/>
  <c r="G290" i="1"/>
  <c r="I290" i="1" s="1"/>
  <c r="H290" i="1"/>
  <c r="M290" i="1"/>
  <c r="N290" i="1"/>
  <c r="O290" i="1"/>
  <c r="P290" i="1"/>
  <c r="G291" i="1"/>
  <c r="H291" i="1"/>
  <c r="R291" i="1"/>
  <c r="G292" i="1"/>
  <c r="H292" i="1"/>
  <c r="G293" i="1"/>
  <c r="H293" i="1"/>
  <c r="L293" i="1"/>
  <c r="N293" i="1"/>
  <c r="Q293" i="1"/>
  <c r="R293" i="1"/>
  <c r="G294" i="1"/>
  <c r="I294" i="1" s="1"/>
  <c r="H294" i="1"/>
  <c r="J294" i="1"/>
  <c r="R294" i="1"/>
  <c r="G295" i="1"/>
  <c r="J295" i="1" s="1"/>
  <c r="H295" i="1"/>
  <c r="I295" i="1"/>
  <c r="N295" i="1"/>
  <c r="O295" i="1"/>
  <c r="Q295" i="1"/>
  <c r="G296" i="1"/>
  <c r="H296" i="1"/>
  <c r="O296" i="1"/>
  <c r="R296" i="1"/>
  <c r="G297" i="1"/>
  <c r="H297" i="1"/>
  <c r="N297" i="1"/>
  <c r="P297" i="1"/>
  <c r="Q297" i="1"/>
  <c r="G298" i="1"/>
  <c r="I298" i="1" s="1"/>
  <c r="H298" i="1"/>
  <c r="M298" i="1"/>
  <c r="N298" i="1"/>
  <c r="O298" i="1"/>
  <c r="P298" i="1"/>
  <c r="G299" i="1"/>
  <c r="R299" i="1" s="1"/>
  <c r="H299" i="1"/>
  <c r="K299" i="1"/>
  <c r="L299" i="1"/>
  <c r="P299" i="1"/>
  <c r="G300" i="1"/>
  <c r="I300" i="1" s="1"/>
  <c r="H300" i="1"/>
  <c r="G301" i="1"/>
  <c r="H301" i="1"/>
  <c r="L301" i="1"/>
  <c r="N301" i="1"/>
  <c r="P301" i="1"/>
  <c r="R301" i="1"/>
  <c r="G302" i="1"/>
  <c r="H302" i="1"/>
  <c r="G303" i="1"/>
  <c r="H303" i="1"/>
  <c r="I303" i="1"/>
  <c r="J303" i="1"/>
  <c r="O303" i="1"/>
  <c r="Q303" i="1"/>
  <c r="R303" i="1"/>
  <c r="G304" i="1"/>
  <c r="I304" i="1" s="1"/>
  <c r="H304" i="1"/>
  <c r="M304" i="1"/>
  <c r="O304" i="1"/>
  <c r="R304" i="1"/>
  <c r="G305" i="1"/>
  <c r="H305" i="1"/>
  <c r="J305" i="1"/>
  <c r="R305" i="1"/>
  <c r="G306" i="1"/>
  <c r="H306" i="1"/>
  <c r="M306" i="1"/>
  <c r="G307" i="1"/>
  <c r="R307" i="1" s="1"/>
  <c r="H307" i="1"/>
  <c r="G308" i="1"/>
  <c r="H308" i="1"/>
  <c r="G309" i="1"/>
  <c r="I309" i="1" s="1"/>
  <c r="H309" i="1"/>
  <c r="J309" i="1"/>
  <c r="L309" i="1"/>
  <c r="N309" i="1"/>
  <c r="R309" i="1"/>
  <c r="G310" i="1"/>
  <c r="I310" i="1" s="1"/>
  <c r="H310" i="1"/>
  <c r="O310" i="1"/>
  <c r="G311" i="1"/>
  <c r="I311" i="1" s="1"/>
  <c r="H311" i="1"/>
  <c r="J311" i="1"/>
  <c r="K311" i="1"/>
  <c r="L311" i="1"/>
  <c r="M311" i="1"/>
  <c r="P311" i="1"/>
  <c r="G312" i="1"/>
  <c r="H312" i="1"/>
  <c r="M312" i="1"/>
  <c r="O312" i="1"/>
  <c r="G313" i="1"/>
  <c r="I313" i="1" s="1"/>
  <c r="H313" i="1"/>
  <c r="L313" i="1"/>
  <c r="N313" i="1"/>
  <c r="O313" i="1"/>
  <c r="G314" i="1"/>
  <c r="I314" i="1" s="1"/>
  <c r="H314" i="1"/>
  <c r="R314" i="1"/>
  <c r="G315" i="1"/>
  <c r="I315" i="1" s="1"/>
  <c r="H315" i="1"/>
  <c r="J315" i="1"/>
  <c r="K315" i="1"/>
  <c r="L315" i="1"/>
  <c r="N315" i="1"/>
  <c r="O315" i="1"/>
  <c r="P315" i="1"/>
  <c r="G316" i="1"/>
  <c r="I316" i="1" s="1"/>
  <c r="H316" i="1"/>
  <c r="G317" i="1"/>
  <c r="P317" i="1" s="1"/>
  <c r="H317" i="1"/>
  <c r="G318" i="1"/>
  <c r="P318" i="1" s="1"/>
  <c r="H318" i="1"/>
  <c r="G319" i="1"/>
  <c r="H319" i="1"/>
  <c r="N319" i="1"/>
  <c r="O319" i="1"/>
  <c r="P319" i="1"/>
  <c r="R319" i="1"/>
  <c r="G320" i="1"/>
  <c r="I320" i="1" s="1"/>
  <c r="H320" i="1"/>
  <c r="R320" i="1"/>
  <c r="G321" i="1"/>
  <c r="H321" i="1"/>
  <c r="G322" i="1"/>
  <c r="M322" i="1" s="1"/>
  <c r="H322" i="1"/>
  <c r="G323" i="1"/>
  <c r="H323" i="1"/>
  <c r="J323" i="1"/>
  <c r="P323" i="1"/>
  <c r="R323" i="1"/>
  <c r="G324" i="1"/>
  <c r="H324" i="1"/>
  <c r="G325" i="1"/>
  <c r="I325" i="1" s="1"/>
  <c r="H325" i="1"/>
  <c r="J325" i="1"/>
  <c r="L325" i="1"/>
  <c r="N325" i="1"/>
  <c r="R325" i="1"/>
  <c r="G326" i="1"/>
  <c r="I326" i="1" s="1"/>
  <c r="H326" i="1"/>
  <c r="G327" i="1"/>
  <c r="I327" i="1" s="1"/>
  <c r="H327" i="1"/>
  <c r="J327" i="1"/>
  <c r="K327" i="1"/>
  <c r="L327" i="1"/>
  <c r="M327" i="1"/>
  <c r="P327" i="1"/>
  <c r="G328" i="1"/>
  <c r="M328" i="1" s="1"/>
  <c r="H328" i="1"/>
  <c r="O328" i="1"/>
  <c r="G329" i="1"/>
  <c r="I329" i="1" s="1"/>
  <c r="H329" i="1"/>
  <c r="O329" i="1"/>
  <c r="G330" i="1"/>
  <c r="I330" i="1" s="1"/>
  <c r="H330" i="1"/>
  <c r="N330" i="1"/>
  <c r="O330" i="1"/>
  <c r="P330" i="1"/>
  <c r="R330" i="1"/>
  <c r="G331" i="1"/>
  <c r="I331" i="1" s="1"/>
  <c r="H331" i="1"/>
  <c r="L331" i="1"/>
  <c r="P331" i="1"/>
  <c r="G332" i="1"/>
  <c r="I332" i="1" s="1"/>
  <c r="H332" i="1"/>
  <c r="M332" i="1"/>
  <c r="O332" i="1"/>
  <c r="R332" i="1"/>
  <c r="G333" i="1"/>
  <c r="O333" i="1" s="1"/>
  <c r="H333" i="1"/>
  <c r="G334" i="1"/>
  <c r="H334" i="1"/>
  <c r="G335" i="1"/>
  <c r="H335" i="1"/>
  <c r="L335" i="1"/>
  <c r="N335" i="1"/>
  <c r="O335" i="1"/>
  <c r="P335" i="1"/>
  <c r="R335" i="1"/>
  <c r="G336" i="1"/>
  <c r="I336" i="1" s="1"/>
  <c r="H336" i="1"/>
  <c r="M336" i="1"/>
  <c r="O336" i="1"/>
  <c r="R336" i="1"/>
  <c r="G337" i="1"/>
  <c r="J337" i="1" s="1"/>
  <c r="H337" i="1"/>
  <c r="G338" i="1"/>
  <c r="M338" i="1" s="1"/>
  <c r="H338" i="1"/>
  <c r="G339" i="1"/>
  <c r="K339" i="1" s="1"/>
  <c r="H339" i="1"/>
  <c r="G340" i="1"/>
  <c r="H340" i="1"/>
  <c r="G341" i="1"/>
  <c r="I341" i="1" s="1"/>
  <c r="H341" i="1"/>
  <c r="G342" i="1"/>
  <c r="I342" i="1" s="1"/>
  <c r="H342" i="1"/>
  <c r="R342" i="1"/>
  <c r="G343" i="1"/>
  <c r="J343" i="1" s="1"/>
  <c r="H343" i="1"/>
  <c r="G344" i="1"/>
  <c r="H344" i="1"/>
  <c r="G345" i="1"/>
  <c r="P345" i="1" s="1"/>
  <c r="H345" i="1"/>
  <c r="L345" i="1"/>
  <c r="N345" i="1"/>
  <c r="O345" i="1"/>
  <c r="G346" i="1"/>
  <c r="N346" i="1" s="1"/>
  <c r="H346" i="1"/>
  <c r="G347" i="1"/>
  <c r="I347" i="1" s="1"/>
  <c r="H347" i="1"/>
  <c r="P347" i="1"/>
  <c r="G348" i="1"/>
  <c r="M348" i="1" s="1"/>
  <c r="H348" i="1"/>
  <c r="O348" i="1"/>
  <c r="R348" i="1"/>
  <c r="G349" i="1"/>
  <c r="J349" i="1" s="1"/>
  <c r="H349" i="1"/>
  <c r="G350" i="1"/>
  <c r="M350" i="1" s="1"/>
  <c r="H350" i="1"/>
  <c r="P350" i="1"/>
  <c r="G351" i="1"/>
  <c r="P351" i="1" s="1"/>
  <c r="H351" i="1"/>
  <c r="G352" i="1"/>
  <c r="H352" i="1"/>
  <c r="G353" i="1"/>
  <c r="J353" i="1" s="1"/>
  <c r="H353" i="1"/>
  <c r="N353" i="1"/>
  <c r="P353" i="1"/>
  <c r="G354" i="1"/>
  <c r="H354" i="1"/>
  <c r="G355" i="1"/>
  <c r="I355" i="1" s="1"/>
  <c r="H355" i="1"/>
  <c r="N355" i="1"/>
  <c r="G356" i="1"/>
  <c r="O356" i="1" s="1"/>
  <c r="H356" i="1"/>
  <c r="G357" i="1"/>
  <c r="P357" i="1" s="1"/>
  <c r="H357" i="1"/>
  <c r="G358" i="1"/>
  <c r="H358" i="1"/>
  <c r="N358" i="1"/>
  <c r="O358" i="1"/>
  <c r="G359" i="1"/>
  <c r="J359" i="1" s="1"/>
  <c r="H359" i="1"/>
  <c r="L359" i="1"/>
  <c r="M359" i="1"/>
  <c r="O359" i="1"/>
  <c r="P359" i="1"/>
  <c r="G360" i="1"/>
  <c r="M360" i="1" s="1"/>
  <c r="H360" i="1"/>
  <c r="G361" i="1"/>
  <c r="R361" i="1" s="1"/>
  <c r="H361" i="1"/>
  <c r="G362" i="1"/>
  <c r="H362" i="1"/>
  <c r="G363" i="1"/>
  <c r="J363" i="1" s="1"/>
  <c r="H363" i="1"/>
  <c r="G364" i="1"/>
  <c r="O364" i="1" s="1"/>
  <c r="H364" i="1"/>
  <c r="G365" i="1"/>
  <c r="J365" i="1" s="1"/>
  <c r="H365" i="1"/>
  <c r="G366" i="1"/>
  <c r="N366" i="1" s="1"/>
  <c r="H366" i="1"/>
  <c r="G367" i="1"/>
  <c r="K367" i="1" s="1"/>
  <c r="H367" i="1"/>
  <c r="I367" i="1"/>
  <c r="L367" i="1"/>
  <c r="N367" i="1"/>
  <c r="P367" i="1"/>
  <c r="Q367" i="1"/>
  <c r="G368" i="1"/>
  <c r="H368" i="1"/>
  <c r="G369" i="1"/>
  <c r="R369" i="1" s="1"/>
  <c r="H369" i="1"/>
  <c r="G370" i="1"/>
  <c r="I370" i="1" s="1"/>
  <c r="H370" i="1"/>
  <c r="G371" i="1"/>
  <c r="M371" i="1" s="1"/>
  <c r="H371" i="1"/>
  <c r="G372" i="1"/>
  <c r="J372" i="1" s="1"/>
  <c r="H372" i="1"/>
  <c r="G373" i="1"/>
  <c r="N373" i="1" s="1"/>
  <c r="H373" i="1"/>
  <c r="P373" i="1"/>
  <c r="G374" i="1"/>
  <c r="J374" i="1" s="1"/>
  <c r="H374" i="1"/>
  <c r="G375" i="1"/>
  <c r="O375" i="1" s="1"/>
  <c r="H375" i="1"/>
  <c r="I375" i="1"/>
  <c r="M375" i="1"/>
  <c r="N375" i="1"/>
  <c r="P375" i="1"/>
  <c r="Q375" i="1"/>
  <c r="R375" i="1"/>
  <c r="G376" i="1"/>
  <c r="I376" i="1" s="1"/>
  <c r="H376" i="1"/>
  <c r="J376" i="1"/>
  <c r="N376" i="1"/>
  <c r="G377" i="1"/>
  <c r="P377" i="1" s="1"/>
  <c r="H377" i="1"/>
  <c r="J377" i="1"/>
  <c r="K377" i="1"/>
  <c r="L377" i="1"/>
  <c r="O377" i="1"/>
  <c r="G378" i="1"/>
  <c r="J378" i="1" s="1"/>
  <c r="H378" i="1"/>
  <c r="G379" i="1"/>
  <c r="M379" i="1" s="1"/>
  <c r="H379" i="1"/>
  <c r="I379" i="1"/>
  <c r="J379" i="1"/>
  <c r="R379" i="1"/>
  <c r="G380" i="1"/>
  <c r="H380" i="1"/>
  <c r="G381" i="1"/>
  <c r="Q381" i="1" s="1"/>
  <c r="H381" i="1"/>
  <c r="G382" i="1"/>
  <c r="I382" i="1" s="1"/>
  <c r="H382" i="1"/>
  <c r="G383" i="1"/>
  <c r="J383" i="1" s="1"/>
  <c r="H383" i="1"/>
  <c r="I383" i="1"/>
  <c r="O383" i="1"/>
  <c r="P383" i="1"/>
  <c r="G384" i="1"/>
  <c r="I384" i="1" s="1"/>
  <c r="H384" i="1"/>
  <c r="G385" i="1"/>
  <c r="K385" i="1" s="1"/>
  <c r="H385" i="1"/>
  <c r="G386" i="1"/>
  <c r="I386" i="1" s="1"/>
  <c r="H386" i="1"/>
  <c r="N386" i="1"/>
  <c r="O386" i="1"/>
  <c r="P386" i="1"/>
  <c r="R386" i="1"/>
  <c r="G387" i="1"/>
  <c r="L387" i="1" s="1"/>
  <c r="H387" i="1"/>
  <c r="G388" i="1"/>
  <c r="I388" i="1" s="1"/>
  <c r="H388" i="1"/>
  <c r="G389" i="1"/>
  <c r="I389" i="1" s="1"/>
  <c r="H389" i="1"/>
  <c r="G390" i="1"/>
  <c r="I390" i="1" s="1"/>
  <c r="H390" i="1"/>
  <c r="G391" i="1"/>
  <c r="N391" i="1" s="1"/>
  <c r="H391" i="1"/>
  <c r="G392" i="1"/>
  <c r="I392" i="1" s="1"/>
  <c r="H392" i="1"/>
  <c r="G393" i="1"/>
  <c r="P393" i="1" s="1"/>
  <c r="H393" i="1"/>
  <c r="O393" i="1"/>
  <c r="G394" i="1"/>
  <c r="I394" i="1" s="1"/>
  <c r="H394" i="1"/>
  <c r="J394" i="1"/>
  <c r="N394" i="1"/>
  <c r="P394" i="1"/>
  <c r="G395" i="1"/>
  <c r="P395" i="1" s="1"/>
  <c r="H395" i="1"/>
  <c r="G396" i="1"/>
  <c r="I396" i="1" s="1"/>
  <c r="H396" i="1"/>
  <c r="J396" i="1"/>
  <c r="N396" i="1"/>
  <c r="G397" i="1"/>
  <c r="M397" i="1" s="1"/>
  <c r="H397" i="1"/>
  <c r="J397" i="1"/>
  <c r="K397" i="1"/>
  <c r="L397" i="1"/>
  <c r="H3" i="1"/>
  <c r="G3" i="1"/>
  <c r="K3" i="1" s="1"/>
  <c r="H2" i="1"/>
  <c r="G2" i="1"/>
  <c r="M387" i="1" l="1"/>
  <c r="L347" i="1"/>
  <c r="R333" i="1"/>
  <c r="O331" i="1"/>
  <c r="R317" i="1"/>
  <c r="N291" i="1"/>
  <c r="J291" i="1"/>
  <c r="O291" i="1"/>
  <c r="K291" i="1"/>
  <c r="P291" i="1"/>
  <c r="P285" i="1"/>
  <c r="R282" i="1"/>
  <c r="P282" i="1"/>
  <c r="J282" i="1"/>
  <c r="N276" i="1"/>
  <c r="M272" i="1"/>
  <c r="N272" i="1"/>
  <c r="J272" i="1"/>
  <c r="P272" i="1"/>
  <c r="O265" i="1"/>
  <c r="L265" i="1"/>
  <c r="I258" i="1"/>
  <c r="K258" i="1"/>
  <c r="L254" i="1"/>
  <c r="I254" i="1"/>
  <c r="R254" i="1"/>
  <c r="O254" i="1"/>
  <c r="K248" i="1"/>
  <c r="M226" i="1"/>
  <c r="I226" i="1"/>
  <c r="O226" i="1"/>
  <c r="M220" i="1"/>
  <c r="I220" i="1"/>
  <c r="Q220" i="1"/>
  <c r="J220" i="1"/>
  <c r="M210" i="1"/>
  <c r="I210" i="1"/>
  <c r="J210" i="1"/>
  <c r="O204" i="1"/>
  <c r="L204" i="1"/>
  <c r="N204" i="1"/>
  <c r="Q201" i="1"/>
  <c r="I201" i="1"/>
  <c r="R201" i="1"/>
  <c r="N341" i="1"/>
  <c r="K387" i="1"/>
  <c r="P374" i="1"/>
  <c r="R355" i="1"/>
  <c r="O350" i="1"/>
  <c r="O342" i="1"/>
  <c r="L341" i="1"/>
  <c r="N339" i="1"/>
  <c r="P338" i="1"/>
  <c r="K331" i="1"/>
  <c r="N326" i="1"/>
  <c r="R316" i="1"/>
  <c r="N310" i="1"/>
  <c r="O397" i="1"/>
  <c r="R394" i="1"/>
  <c r="O391" i="1"/>
  <c r="P390" i="1"/>
  <c r="P389" i="1"/>
  <c r="O387" i="1"/>
  <c r="I387" i="1"/>
  <c r="R384" i="1"/>
  <c r="Q383" i="1"/>
  <c r="O374" i="1"/>
  <c r="Q369" i="1"/>
  <c r="O367" i="1"/>
  <c r="J366" i="1"/>
  <c r="K363" i="1"/>
  <c r="R360" i="1"/>
  <c r="M356" i="1"/>
  <c r="P355" i="1"/>
  <c r="K355" i="1"/>
  <c r="N350" i="1"/>
  <c r="N347" i="1"/>
  <c r="J347" i="1"/>
  <c r="P346" i="1"/>
  <c r="N342" i="1"/>
  <c r="R341" i="1"/>
  <c r="J341" i="1"/>
  <c r="J339" i="1"/>
  <c r="P333" i="1"/>
  <c r="N331" i="1"/>
  <c r="J331" i="1"/>
  <c r="L329" i="1"/>
  <c r="M326" i="1"/>
  <c r="P325" i="1"/>
  <c r="M320" i="1"/>
  <c r="O317" i="1"/>
  <c r="O316" i="1"/>
  <c r="R315" i="1"/>
  <c r="M315" i="1"/>
  <c r="O314" i="1"/>
  <c r="P313" i="1"/>
  <c r="M310" i="1"/>
  <c r="P309" i="1"/>
  <c r="I301" i="1"/>
  <c r="J301" i="1"/>
  <c r="Q301" i="1"/>
  <c r="I296" i="1"/>
  <c r="M296" i="1"/>
  <c r="K293" i="1"/>
  <c r="I293" i="1"/>
  <c r="O293" i="1"/>
  <c r="J293" i="1"/>
  <c r="P293" i="1"/>
  <c r="M291" i="1"/>
  <c r="O282" i="1"/>
  <c r="L272" i="1"/>
  <c r="N265" i="1"/>
  <c r="Q254" i="1"/>
  <c r="R226" i="1"/>
  <c r="L220" i="1"/>
  <c r="K201" i="1"/>
  <c r="O189" i="1"/>
  <c r="P189" i="1"/>
  <c r="M183" i="1"/>
  <c r="J183" i="1"/>
  <c r="O183" i="1"/>
  <c r="K183" i="1"/>
  <c r="P183" i="1"/>
  <c r="R387" i="1"/>
  <c r="R366" i="1"/>
  <c r="O326" i="1"/>
  <c r="Q387" i="1"/>
  <c r="O366" i="1"/>
  <c r="L355" i="1"/>
  <c r="O347" i="1"/>
  <c r="K347" i="1"/>
  <c r="R346" i="1"/>
  <c r="N329" i="1"/>
  <c r="O320" i="1"/>
  <c r="P314" i="1"/>
  <c r="J392" i="1"/>
  <c r="K391" i="1"/>
  <c r="N390" i="1"/>
  <c r="O389" i="1"/>
  <c r="N387" i="1"/>
  <c r="Q385" i="1"/>
  <c r="P384" i="1"/>
  <c r="P369" i="1"/>
  <c r="O357" i="1"/>
  <c r="O355" i="1"/>
  <c r="J355" i="1"/>
  <c r="R347" i="1"/>
  <c r="M347" i="1"/>
  <c r="O346" i="1"/>
  <c r="M342" i="1"/>
  <c r="P341" i="1"/>
  <c r="R339" i="1"/>
  <c r="L333" i="1"/>
  <c r="R331" i="1"/>
  <c r="M331" i="1"/>
  <c r="P329" i="1"/>
  <c r="R326" i="1"/>
  <c r="M316" i="1"/>
  <c r="N314" i="1"/>
  <c r="R310" i="1"/>
  <c r="J300" i="1"/>
  <c r="N299" i="1"/>
  <c r="M299" i="1"/>
  <c r="J299" i="1"/>
  <c r="O299" i="1"/>
  <c r="L291" i="1"/>
  <c r="J288" i="1"/>
  <c r="R288" i="1"/>
  <c r="M282" i="1"/>
  <c r="K272" i="1"/>
  <c r="M265" i="1"/>
  <c r="P258" i="1"/>
  <c r="R256" i="1"/>
  <c r="M256" i="1"/>
  <c r="J256" i="1"/>
  <c r="P254" i="1"/>
  <c r="L228" i="1"/>
  <c r="I228" i="1"/>
  <c r="P228" i="1"/>
  <c r="J228" i="1"/>
  <c r="R228" i="1"/>
  <c r="Q226" i="1"/>
  <c r="N225" i="1"/>
  <c r="L225" i="1"/>
  <c r="O225" i="1"/>
  <c r="N224" i="1"/>
  <c r="M224" i="1"/>
  <c r="J224" i="1"/>
  <c r="O224" i="1"/>
  <c r="K220" i="1"/>
  <c r="I214" i="1"/>
  <c r="J214" i="1"/>
  <c r="Q210" i="1"/>
  <c r="M209" i="1"/>
  <c r="L209" i="1"/>
  <c r="J201" i="1"/>
  <c r="L193" i="1"/>
  <c r="N193" i="1"/>
  <c r="R183" i="1"/>
  <c r="R374" i="1"/>
  <c r="P339" i="1"/>
  <c r="I292" i="1"/>
  <c r="J292" i="1"/>
  <c r="L285" i="1"/>
  <c r="Q285" i="1"/>
  <c r="I285" i="1"/>
  <c r="R285" i="1"/>
  <c r="O281" i="1"/>
  <c r="M281" i="1"/>
  <c r="I276" i="1"/>
  <c r="R276" i="1"/>
  <c r="J276" i="1"/>
  <c r="R268" i="1"/>
  <c r="N268" i="1"/>
  <c r="M248" i="1"/>
  <c r="L248" i="1"/>
  <c r="I248" i="1"/>
  <c r="Q248" i="1"/>
  <c r="L243" i="1"/>
  <c r="N243" i="1"/>
  <c r="I236" i="1"/>
  <c r="O236" i="1"/>
  <c r="R191" i="1"/>
  <c r="J191" i="1"/>
  <c r="K191" i="1"/>
  <c r="M179" i="1"/>
  <c r="P177" i="1"/>
  <c r="K177" i="1"/>
  <c r="Q166" i="1"/>
  <c r="P164" i="1"/>
  <c r="O159" i="1"/>
  <c r="J152" i="1"/>
  <c r="N133" i="1"/>
  <c r="J123" i="1"/>
  <c r="L102" i="1"/>
  <c r="M89" i="1"/>
  <c r="P68" i="1"/>
  <c r="P64" i="1"/>
  <c r="K13" i="1"/>
  <c r="P295" i="1"/>
  <c r="M208" i="1"/>
  <c r="J185" i="1"/>
  <c r="N177" i="1"/>
  <c r="I177" i="1"/>
  <c r="O176" i="1"/>
  <c r="L168" i="1"/>
  <c r="O164" i="1"/>
  <c r="P163" i="1"/>
  <c r="Q162" i="1"/>
  <c r="Q152" i="1"/>
  <c r="I152" i="1"/>
  <c r="O136" i="1"/>
  <c r="L133" i="1"/>
  <c r="J131" i="1"/>
  <c r="P124" i="1"/>
  <c r="R123" i="1"/>
  <c r="I123" i="1"/>
  <c r="K119" i="1"/>
  <c r="Q116" i="1"/>
  <c r="P113" i="1"/>
  <c r="O111" i="1"/>
  <c r="R110" i="1"/>
  <c r="O105" i="1"/>
  <c r="I102" i="1"/>
  <c r="R99" i="1"/>
  <c r="I96" i="1"/>
  <c r="L89" i="1"/>
  <c r="P75" i="1"/>
  <c r="Q69" i="1"/>
  <c r="L68" i="1"/>
  <c r="J64" i="1"/>
  <c r="J13" i="1"/>
  <c r="Q283" i="1"/>
  <c r="R277" i="1"/>
  <c r="J277" i="1"/>
  <c r="O260" i="1"/>
  <c r="K260" i="1"/>
  <c r="Q238" i="1"/>
  <c r="K232" i="1"/>
  <c r="N215" i="1"/>
  <c r="R185" i="1"/>
  <c r="R177" i="1"/>
  <c r="M177" i="1"/>
  <c r="M174" i="1"/>
  <c r="M173" i="1"/>
  <c r="R168" i="1"/>
  <c r="I168" i="1"/>
  <c r="R164" i="1"/>
  <c r="O152" i="1"/>
  <c r="M136" i="1"/>
  <c r="P135" i="1"/>
  <c r="R134" i="1"/>
  <c r="R133" i="1"/>
  <c r="P132" i="1"/>
  <c r="R131" i="1"/>
  <c r="I131" i="1"/>
  <c r="J124" i="1"/>
  <c r="Q123" i="1"/>
  <c r="O119" i="1"/>
  <c r="J119" i="1"/>
  <c r="O118" i="1"/>
  <c r="Q117" i="1"/>
  <c r="I116" i="1"/>
  <c r="J111" i="1"/>
  <c r="L110" i="1"/>
  <c r="K105" i="1"/>
  <c r="J103" i="1"/>
  <c r="Q102" i="1"/>
  <c r="K97" i="1"/>
  <c r="J92" i="1"/>
  <c r="J75" i="1"/>
  <c r="P72" i="1"/>
  <c r="M66" i="1"/>
  <c r="L63" i="1"/>
  <c r="R60" i="1"/>
  <c r="N4" i="1"/>
  <c r="I340" i="1"/>
  <c r="M340" i="1"/>
  <c r="O340" i="1"/>
  <c r="I302" i="1"/>
  <c r="N302" i="1"/>
  <c r="O302" i="1"/>
  <c r="P302" i="1"/>
  <c r="R302" i="1"/>
  <c r="K289" i="1"/>
  <c r="R289" i="1"/>
  <c r="I289" i="1"/>
  <c r="J289" i="1"/>
  <c r="L289" i="1"/>
  <c r="O289" i="1"/>
  <c r="K192" i="1"/>
  <c r="R192" i="1"/>
  <c r="I192" i="1"/>
  <c r="P192" i="1"/>
  <c r="Q192" i="1"/>
  <c r="I354" i="1"/>
  <c r="O354" i="1"/>
  <c r="I334" i="1"/>
  <c r="M334" i="1"/>
  <c r="O334" i="1"/>
  <c r="K130" i="1"/>
  <c r="P130" i="1"/>
  <c r="Q130" i="1"/>
  <c r="J130" i="1"/>
  <c r="L130" i="1"/>
  <c r="M130" i="1"/>
  <c r="L93" i="1"/>
  <c r="O93" i="1"/>
  <c r="P93" i="1"/>
  <c r="R93" i="1"/>
  <c r="I93" i="1"/>
  <c r="J93" i="1"/>
  <c r="K93" i="1"/>
  <c r="Q93" i="1"/>
  <c r="M393" i="1"/>
  <c r="O385" i="1"/>
  <c r="N381" i="1"/>
  <c r="O343" i="1"/>
  <c r="I323" i="1"/>
  <c r="L323" i="1"/>
  <c r="M323" i="1"/>
  <c r="N323" i="1"/>
  <c r="O323" i="1"/>
  <c r="I308" i="1"/>
  <c r="M308" i="1"/>
  <c r="O308" i="1"/>
  <c r="R308" i="1"/>
  <c r="M187" i="1"/>
  <c r="N187" i="1"/>
  <c r="O187" i="1"/>
  <c r="I187" i="1"/>
  <c r="J187" i="1"/>
  <c r="K187" i="1"/>
  <c r="L187" i="1"/>
  <c r="Q187" i="1"/>
  <c r="R187" i="1"/>
  <c r="J143" i="1"/>
  <c r="M143" i="1"/>
  <c r="N143" i="1"/>
  <c r="O143" i="1"/>
  <c r="Q143" i="1"/>
  <c r="K143" i="1"/>
  <c r="L143" i="1"/>
  <c r="I143" i="1"/>
  <c r="P143" i="1"/>
  <c r="R165" i="1"/>
  <c r="I165" i="1"/>
  <c r="J165" i="1"/>
  <c r="K165" i="1"/>
  <c r="L165" i="1"/>
  <c r="N165" i="1"/>
  <c r="O165" i="1"/>
  <c r="Q165" i="1"/>
  <c r="J263" i="1"/>
  <c r="L263" i="1"/>
  <c r="R263" i="1"/>
  <c r="M343" i="1"/>
  <c r="I306" i="1"/>
  <c r="N306" i="1"/>
  <c r="O306" i="1"/>
  <c r="P306" i="1"/>
  <c r="R306" i="1"/>
  <c r="J274" i="1"/>
  <c r="M274" i="1"/>
  <c r="O274" i="1"/>
  <c r="J266" i="1"/>
  <c r="K266" i="1"/>
  <c r="L266" i="1"/>
  <c r="M266" i="1"/>
  <c r="P266" i="1"/>
  <c r="L233" i="1"/>
  <c r="N233" i="1"/>
  <c r="I362" i="1"/>
  <c r="N362" i="1"/>
  <c r="R362" i="1"/>
  <c r="I351" i="1"/>
  <c r="O351" i="1"/>
  <c r="J351" i="1"/>
  <c r="I307" i="1"/>
  <c r="L307" i="1"/>
  <c r="M307" i="1"/>
  <c r="N307" i="1"/>
  <c r="O307" i="1"/>
  <c r="P385" i="1"/>
  <c r="O381" i="1"/>
  <c r="N385" i="1"/>
  <c r="R364" i="1"/>
  <c r="M364" i="1"/>
  <c r="I363" i="1"/>
  <c r="L363" i="1"/>
  <c r="O363" i="1"/>
  <c r="I358" i="1"/>
  <c r="M358" i="1"/>
  <c r="P358" i="1"/>
  <c r="N351" i="1"/>
  <c r="I338" i="1"/>
  <c r="N338" i="1"/>
  <c r="O338" i="1"/>
  <c r="R338" i="1"/>
  <c r="O395" i="1"/>
  <c r="K393" i="1"/>
  <c r="P391" i="1"/>
  <c r="O390" i="1"/>
  <c r="J387" i="1"/>
  <c r="J386" i="1"/>
  <c r="M385" i="1"/>
  <c r="O384" i="1"/>
  <c r="L381" i="1"/>
  <c r="P379" i="1"/>
  <c r="K375" i="1"/>
  <c r="J375" i="1"/>
  <c r="P370" i="1"/>
  <c r="R363" i="1"/>
  <c r="P362" i="1"/>
  <c r="O360" i="1"/>
  <c r="R354" i="1"/>
  <c r="M351" i="1"/>
  <c r="I345" i="1"/>
  <c r="R345" i="1"/>
  <c r="J345" i="1"/>
  <c r="L343" i="1"/>
  <c r="R337" i="1"/>
  <c r="I335" i="1"/>
  <c r="J335" i="1"/>
  <c r="K335" i="1"/>
  <c r="M335" i="1"/>
  <c r="I324" i="1"/>
  <c r="M324" i="1"/>
  <c r="O324" i="1"/>
  <c r="R324" i="1"/>
  <c r="I319" i="1"/>
  <c r="J319" i="1"/>
  <c r="K319" i="1"/>
  <c r="L319" i="1"/>
  <c r="M319" i="1"/>
  <c r="I312" i="1"/>
  <c r="R312" i="1"/>
  <c r="P307" i="1"/>
  <c r="K303" i="1"/>
  <c r="L303" i="1"/>
  <c r="M303" i="1"/>
  <c r="N303" i="1"/>
  <c r="Q289" i="1"/>
  <c r="J244" i="1"/>
  <c r="P244" i="1"/>
  <c r="M149" i="1"/>
  <c r="K149" i="1"/>
  <c r="L149" i="1"/>
  <c r="N149" i="1"/>
  <c r="J149" i="1"/>
  <c r="O149" i="1"/>
  <c r="R149" i="1"/>
  <c r="I344" i="1"/>
  <c r="R344" i="1"/>
  <c r="L273" i="1"/>
  <c r="K273" i="1"/>
  <c r="M273" i="1"/>
  <c r="N273" i="1"/>
  <c r="O273" i="1"/>
  <c r="Q273" i="1"/>
  <c r="J250" i="1"/>
  <c r="K250" i="1"/>
  <c r="M250" i="1"/>
  <c r="R250" i="1"/>
  <c r="J393" i="1"/>
  <c r="L385" i="1"/>
  <c r="K381" i="1"/>
  <c r="R376" i="1"/>
  <c r="P372" i="1"/>
  <c r="N370" i="1"/>
  <c r="I366" i="1"/>
  <c r="M366" i="1"/>
  <c r="P366" i="1"/>
  <c r="P363" i="1"/>
  <c r="O362" i="1"/>
  <c r="P354" i="1"/>
  <c r="L351" i="1"/>
  <c r="O344" i="1"/>
  <c r="K343" i="1"/>
  <c r="O337" i="1"/>
  <c r="R334" i="1"/>
  <c r="I322" i="1"/>
  <c r="N322" i="1"/>
  <c r="O322" i="1"/>
  <c r="P322" i="1"/>
  <c r="R322" i="1"/>
  <c r="R318" i="1"/>
  <c r="I317" i="1"/>
  <c r="J317" i="1"/>
  <c r="L317" i="1"/>
  <c r="N317" i="1"/>
  <c r="K307" i="1"/>
  <c r="M302" i="1"/>
  <c r="P289" i="1"/>
  <c r="L281" i="1"/>
  <c r="Q281" i="1"/>
  <c r="I281" i="1"/>
  <c r="R281" i="1"/>
  <c r="J281" i="1"/>
  <c r="K281" i="1"/>
  <c r="N281" i="1"/>
  <c r="P273" i="1"/>
  <c r="M203" i="1"/>
  <c r="L203" i="1"/>
  <c r="N203" i="1"/>
  <c r="O203" i="1"/>
  <c r="N145" i="1"/>
  <c r="O145" i="1"/>
  <c r="R145" i="1"/>
  <c r="J145" i="1"/>
  <c r="R351" i="1"/>
  <c r="P343" i="1"/>
  <c r="I321" i="1"/>
  <c r="L321" i="1"/>
  <c r="N321" i="1"/>
  <c r="O321" i="1"/>
  <c r="P321" i="1"/>
  <c r="L269" i="1"/>
  <c r="O269" i="1"/>
  <c r="M74" i="1"/>
  <c r="R74" i="1"/>
  <c r="K74" i="1"/>
  <c r="L74" i="1"/>
  <c r="P74" i="1"/>
  <c r="L393" i="1"/>
  <c r="M381" i="1"/>
  <c r="R393" i="1"/>
  <c r="N379" i="1"/>
  <c r="P376" i="1"/>
  <c r="O372" i="1"/>
  <c r="J370" i="1"/>
  <c r="N363" i="1"/>
  <c r="I359" i="1"/>
  <c r="K359" i="1"/>
  <c r="N359" i="1"/>
  <c r="N354" i="1"/>
  <c r="L353" i="1"/>
  <c r="R353" i="1"/>
  <c r="K351" i="1"/>
  <c r="I350" i="1"/>
  <c r="R350" i="1"/>
  <c r="I346" i="1"/>
  <c r="M346" i="1"/>
  <c r="M344" i="1"/>
  <c r="R340" i="1"/>
  <c r="P334" i="1"/>
  <c r="I328" i="1"/>
  <c r="R328" i="1"/>
  <c r="R321" i="1"/>
  <c r="J307" i="1"/>
  <c r="J302" i="1"/>
  <c r="N289" i="1"/>
  <c r="I284" i="1"/>
  <c r="J284" i="1"/>
  <c r="M284" i="1"/>
  <c r="N284" i="1"/>
  <c r="P284" i="1"/>
  <c r="J273" i="1"/>
  <c r="J258" i="1"/>
  <c r="L258" i="1"/>
  <c r="M258" i="1"/>
  <c r="N258" i="1"/>
  <c r="O258" i="1"/>
  <c r="Q258" i="1"/>
  <c r="N222" i="1"/>
  <c r="J222" i="1"/>
  <c r="K222" i="1"/>
  <c r="L222" i="1"/>
  <c r="M222" i="1"/>
  <c r="O222" i="1"/>
  <c r="R222" i="1"/>
  <c r="P381" i="1"/>
  <c r="I343" i="1"/>
  <c r="N343" i="1"/>
  <c r="R343" i="1"/>
  <c r="I337" i="1"/>
  <c r="L337" i="1"/>
  <c r="N337" i="1"/>
  <c r="P337" i="1"/>
  <c r="I318" i="1"/>
  <c r="M318" i="1"/>
  <c r="N318" i="1"/>
  <c r="O318" i="1"/>
  <c r="N393" i="1"/>
  <c r="I242" i="1"/>
  <c r="N242" i="1"/>
  <c r="P242" i="1"/>
  <c r="R370" i="1"/>
  <c r="O379" i="1"/>
  <c r="R396" i="1"/>
  <c r="Q393" i="1"/>
  <c r="I393" i="1"/>
  <c r="M391" i="1"/>
  <c r="J385" i="1"/>
  <c r="I381" i="1"/>
  <c r="N368" i="1"/>
  <c r="R368" i="1"/>
  <c r="M362" i="1"/>
  <c r="R397" i="1"/>
  <c r="O396" i="1"/>
  <c r="L391" i="1"/>
  <c r="R385" i="1"/>
  <c r="I385" i="1"/>
  <c r="K379" i="1"/>
  <c r="O376" i="1"/>
  <c r="J367" i="1"/>
  <c r="R367" i="1"/>
  <c r="M367" i="1"/>
  <c r="M363" i="1"/>
  <c r="R359" i="1"/>
  <c r="R358" i="1"/>
  <c r="J357" i="1"/>
  <c r="N357" i="1"/>
  <c r="M354" i="1"/>
  <c r="I339" i="1"/>
  <c r="L339" i="1"/>
  <c r="M339" i="1"/>
  <c r="O339" i="1"/>
  <c r="N334" i="1"/>
  <c r="I333" i="1"/>
  <c r="J333" i="1"/>
  <c r="N333" i="1"/>
  <c r="K323" i="1"/>
  <c r="J321" i="1"/>
  <c r="I305" i="1"/>
  <c r="L305" i="1"/>
  <c r="N305" i="1"/>
  <c r="O305" i="1"/>
  <c r="P305" i="1"/>
  <c r="P303" i="1"/>
  <c r="K297" i="1"/>
  <c r="R297" i="1"/>
  <c r="I297" i="1"/>
  <c r="J297" i="1"/>
  <c r="L297" i="1"/>
  <c r="O297" i="1"/>
  <c r="I273" i="1"/>
  <c r="I216" i="1"/>
  <c r="N216" i="1"/>
  <c r="O216" i="1"/>
  <c r="P216" i="1"/>
  <c r="M205" i="1"/>
  <c r="L205" i="1"/>
  <c r="N205" i="1"/>
  <c r="O205" i="1"/>
  <c r="J171" i="1"/>
  <c r="K171" i="1"/>
  <c r="M171" i="1"/>
  <c r="N171" i="1"/>
  <c r="O171" i="1"/>
  <c r="R171" i="1"/>
  <c r="Q232" i="1"/>
  <c r="R210" i="1"/>
  <c r="Q206" i="1"/>
  <c r="K190" i="1"/>
  <c r="M190" i="1"/>
  <c r="N190" i="1"/>
  <c r="I181" i="1"/>
  <c r="O181" i="1"/>
  <c r="Q181" i="1"/>
  <c r="K157" i="1"/>
  <c r="R157" i="1"/>
  <c r="P186" i="1"/>
  <c r="M186" i="1"/>
  <c r="O186" i="1"/>
  <c r="R179" i="1"/>
  <c r="I179" i="1"/>
  <c r="J179" i="1"/>
  <c r="R169" i="1"/>
  <c r="N169" i="1"/>
  <c r="Q169" i="1"/>
  <c r="K154" i="1"/>
  <c r="P154" i="1"/>
  <c r="Q154" i="1"/>
  <c r="L154" i="1"/>
  <c r="K122" i="1"/>
  <c r="P122" i="1"/>
  <c r="Q122" i="1"/>
  <c r="J122" i="1"/>
  <c r="L122" i="1"/>
  <c r="M122" i="1"/>
  <c r="M330" i="1"/>
  <c r="J329" i="1"/>
  <c r="R327" i="1"/>
  <c r="M314" i="1"/>
  <c r="J313" i="1"/>
  <c r="R311" i="1"/>
  <c r="Q299" i="1"/>
  <c r="I299" i="1"/>
  <c r="J298" i="1"/>
  <c r="J296" i="1"/>
  <c r="M295" i="1"/>
  <c r="P294" i="1"/>
  <c r="Q291" i="1"/>
  <c r="I291" i="1"/>
  <c r="J290" i="1"/>
  <c r="R287" i="1"/>
  <c r="N285" i="1"/>
  <c r="L283" i="1"/>
  <c r="Q277" i="1"/>
  <c r="R272" i="1"/>
  <c r="I272" i="1"/>
  <c r="O270" i="1"/>
  <c r="M257" i="1"/>
  <c r="N254" i="1"/>
  <c r="R248" i="1"/>
  <c r="N239" i="1"/>
  <c r="K236" i="1"/>
  <c r="I234" i="1"/>
  <c r="O232" i="1"/>
  <c r="Q228" i="1"/>
  <c r="N226" i="1"/>
  <c r="R220" i="1"/>
  <c r="O210" i="1"/>
  <c r="O206" i="1"/>
  <c r="M201" i="1"/>
  <c r="L201" i="1"/>
  <c r="Q197" i="1"/>
  <c r="N195" i="1"/>
  <c r="L185" i="1"/>
  <c r="M185" i="1"/>
  <c r="N185" i="1"/>
  <c r="J176" i="1"/>
  <c r="Q176" i="1"/>
  <c r="R172" i="1"/>
  <c r="M172" i="1"/>
  <c r="P172" i="1"/>
  <c r="Q172" i="1"/>
  <c r="K163" i="1"/>
  <c r="L163" i="1"/>
  <c r="M163" i="1"/>
  <c r="O163" i="1"/>
  <c r="I163" i="1"/>
  <c r="J159" i="1"/>
  <c r="L159" i="1"/>
  <c r="M159" i="1"/>
  <c r="N159" i="1"/>
  <c r="I159" i="1"/>
  <c r="K148" i="1"/>
  <c r="M148" i="1"/>
  <c r="O148" i="1"/>
  <c r="P148" i="1"/>
  <c r="I148" i="1"/>
  <c r="L148" i="1"/>
  <c r="K144" i="1"/>
  <c r="J144" i="1"/>
  <c r="M144" i="1"/>
  <c r="O144" i="1"/>
  <c r="R144" i="1"/>
  <c r="I144" i="1"/>
  <c r="L115" i="1"/>
  <c r="O115" i="1"/>
  <c r="P115" i="1"/>
  <c r="J115" i="1"/>
  <c r="K115" i="1"/>
  <c r="M115" i="1"/>
  <c r="P95" i="1"/>
  <c r="L95" i="1"/>
  <c r="M95" i="1"/>
  <c r="N95" i="1"/>
  <c r="Q95" i="1"/>
  <c r="I95" i="1"/>
  <c r="R95" i="1"/>
  <c r="J95" i="1"/>
  <c r="K95" i="1"/>
  <c r="R300" i="1"/>
  <c r="L295" i="1"/>
  <c r="O294" i="1"/>
  <c r="R292" i="1"/>
  <c r="M285" i="1"/>
  <c r="Q275" i="1"/>
  <c r="M254" i="1"/>
  <c r="R240" i="1"/>
  <c r="N232" i="1"/>
  <c r="L226" i="1"/>
  <c r="N210" i="1"/>
  <c r="N206" i="1"/>
  <c r="M195" i="1"/>
  <c r="R180" i="1"/>
  <c r="M180" i="1"/>
  <c r="P180" i="1"/>
  <c r="I167" i="1"/>
  <c r="Q167" i="1"/>
  <c r="R167" i="1"/>
  <c r="O327" i="1"/>
  <c r="O311" i="1"/>
  <c r="O300" i="1"/>
  <c r="K295" i="1"/>
  <c r="N294" i="1"/>
  <c r="O292" i="1"/>
  <c r="O287" i="1"/>
  <c r="K285" i="1"/>
  <c r="O277" i="1"/>
  <c r="N275" i="1"/>
  <c r="K254" i="1"/>
  <c r="O252" i="1"/>
  <c r="O248" i="1"/>
  <c r="Q240" i="1"/>
  <c r="M232" i="1"/>
  <c r="O228" i="1"/>
  <c r="K226" i="1"/>
  <c r="O220" i="1"/>
  <c r="L210" i="1"/>
  <c r="M206" i="1"/>
  <c r="O201" i="1"/>
  <c r="O197" i="1"/>
  <c r="K195" i="1"/>
  <c r="K194" i="1"/>
  <c r="M194" i="1"/>
  <c r="N191" i="1"/>
  <c r="M191" i="1"/>
  <c r="O191" i="1"/>
  <c r="P185" i="1"/>
  <c r="N181" i="1"/>
  <c r="Q179" i="1"/>
  <c r="Q173" i="1"/>
  <c r="K139" i="1"/>
  <c r="M139" i="1"/>
  <c r="O139" i="1"/>
  <c r="P139" i="1"/>
  <c r="R139" i="1"/>
  <c r="I139" i="1"/>
  <c r="J139" i="1"/>
  <c r="L139" i="1"/>
  <c r="R78" i="1"/>
  <c r="K78" i="1"/>
  <c r="P78" i="1"/>
  <c r="M355" i="1"/>
  <c r="P342" i="1"/>
  <c r="O341" i="1"/>
  <c r="R329" i="1"/>
  <c r="N327" i="1"/>
  <c r="P326" i="1"/>
  <c r="O325" i="1"/>
  <c r="R313" i="1"/>
  <c r="N311" i="1"/>
  <c r="P310" i="1"/>
  <c r="O309" i="1"/>
  <c r="O301" i="1"/>
  <c r="M300" i="1"/>
  <c r="R298" i="1"/>
  <c r="R295" i="1"/>
  <c r="M294" i="1"/>
  <c r="M292" i="1"/>
  <c r="R290" i="1"/>
  <c r="N287" i="1"/>
  <c r="J285" i="1"/>
  <c r="N277" i="1"/>
  <c r="P276" i="1"/>
  <c r="L275" i="1"/>
  <c r="O272" i="1"/>
  <c r="R271" i="1"/>
  <c r="J254" i="1"/>
  <c r="N248" i="1"/>
  <c r="O240" i="1"/>
  <c r="L232" i="1"/>
  <c r="N228" i="1"/>
  <c r="J226" i="1"/>
  <c r="R224" i="1"/>
  <c r="N220" i="1"/>
  <c r="Q214" i="1"/>
  <c r="K210" i="1"/>
  <c r="R208" i="1"/>
  <c r="L206" i="1"/>
  <c r="N201" i="1"/>
  <c r="M197" i="1"/>
  <c r="J195" i="1"/>
  <c r="P190" i="1"/>
  <c r="J189" i="1"/>
  <c r="I189" i="1"/>
  <c r="N189" i="1"/>
  <c r="O185" i="1"/>
  <c r="L181" i="1"/>
  <c r="P179" i="1"/>
  <c r="R175" i="1"/>
  <c r="L175" i="1"/>
  <c r="O175" i="1"/>
  <c r="O173" i="1"/>
  <c r="L169" i="1"/>
  <c r="R163" i="1"/>
  <c r="Q159" i="1"/>
  <c r="K156" i="1"/>
  <c r="M156" i="1"/>
  <c r="O156" i="1"/>
  <c r="P156" i="1"/>
  <c r="I156" i="1"/>
  <c r="K146" i="1"/>
  <c r="P146" i="1"/>
  <c r="Q146" i="1"/>
  <c r="L146" i="1"/>
  <c r="M146" i="1"/>
  <c r="M85" i="1"/>
  <c r="N85" i="1"/>
  <c r="O85" i="1"/>
  <c r="P85" i="1"/>
  <c r="I85" i="1"/>
  <c r="J85" i="1"/>
  <c r="K85" i="1"/>
  <c r="I140" i="1"/>
  <c r="L138" i="1"/>
  <c r="K135" i="1"/>
  <c r="L114" i="1"/>
  <c r="M94" i="1"/>
  <c r="J88" i="1"/>
  <c r="I69" i="1"/>
  <c r="O67" i="1"/>
  <c r="J51" i="1"/>
  <c r="K32" i="1"/>
  <c r="O151" i="1"/>
  <c r="J138" i="1"/>
  <c r="I135" i="1"/>
  <c r="I132" i="1"/>
  <c r="L131" i="1"/>
  <c r="J129" i="1"/>
  <c r="I128" i="1"/>
  <c r="I124" i="1"/>
  <c r="L123" i="1"/>
  <c r="P118" i="1"/>
  <c r="I111" i="1"/>
  <c r="I110" i="1"/>
  <c r="I105" i="1"/>
  <c r="M103" i="1"/>
  <c r="P102" i="1"/>
  <c r="I98" i="1"/>
  <c r="L92" i="1"/>
  <c r="Q90" i="1"/>
  <c r="K87" i="1"/>
  <c r="K86" i="1"/>
  <c r="J80" i="1"/>
  <c r="Q71" i="1"/>
  <c r="Q140" i="1"/>
  <c r="O75" i="1"/>
  <c r="O71" i="1"/>
  <c r="R69" i="1"/>
  <c r="I63" i="1"/>
  <c r="M164" i="1"/>
  <c r="M160" i="1"/>
  <c r="K151" i="1"/>
  <c r="Q142" i="1"/>
  <c r="L141" i="1"/>
  <c r="O140" i="1"/>
  <c r="Q138" i="1"/>
  <c r="N135" i="1"/>
  <c r="O132" i="1"/>
  <c r="R129" i="1"/>
  <c r="Q128" i="1"/>
  <c r="O124" i="1"/>
  <c r="R114" i="1"/>
  <c r="N111" i="1"/>
  <c r="Q110" i="1"/>
  <c r="N105" i="1"/>
  <c r="Q99" i="1"/>
  <c r="R94" i="1"/>
  <c r="P84" i="1"/>
  <c r="P81" i="1"/>
  <c r="J79" i="1"/>
  <c r="L71" i="1"/>
  <c r="P69" i="1"/>
  <c r="Q168" i="1"/>
  <c r="L164" i="1"/>
  <c r="J160" i="1"/>
  <c r="P155" i="1"/>
  <c r="I151" i="1"/>
  <c r="P147" i="1"/>
  <c r="P142" i="1"/>
  <c r="K141" i="1"/>
  <c r="M140" i="1"/>
  <c r="P138" i="1"/>
  <c r="N137" i="1"/>
  <c r="J136" i="1"/>
  <c r="M135" i="1"/>
  <c r="P134" i="1"/>
  <c r="K133" i="1"/>
  <c r="M132" i="1"/>
  <c r="P131" i="1"/>
  <c r="P129" i="1"/>
  <c r="O128" i="1"/>
  <c r="M124" i="1"/>
  <c r="P123" i="1"/>
  <c r="O114" i="1"/>
  <c r="M111" i="1"/>
  <c r="O110" i="1"/>
  <c r="M105" i="1"/>
  <c r="I99" i="1"/>
  <c r="P94" i="1"/>
  <c r="Q88" i="1"/>
  <c r="R86" i="1"/>
  <c r="L84" i="1"/>
  <c r="K81" i="1"/>
  <c r="I71" i="1"/>
  <c r="O69" i="1"/>
  <c r="Q63" i="1"/>
  <c r="Q55" i="1"/>
  <c r="L14" i="1"/>
  <c r="O177" i="1"/>
  <c r="P168" i="1"/>
  <c r="I164" i="1"/>
  <c r="P161" i="1"/>
  <c r="I160" i="1"/>
  <c r="O155" i="1"/>
  <c r="R152" i="1"/>
  <c r="Q151" i="1"/>
  <c r="O147" i="1"/>
  <c r="J141" i="1"/>
  <c r="L140" i="1"/>
  <c r="M138" i="1"/>
  <c r="I136" i="1"/>
  <c r="L135" i="1"/>
  <c r="J133" i="1"/>
  <c r="L132" i="1"/>
  <c r="O131" i="1"/>
  <c r="M128" i="1"/>
  <c r="J125" i="1"/>
  <c r="L124" i="1"/>
  <c r="O123" i="1"/>
  <c r="O117" i="1"/>
  <c r="M114" i="1"/>
  <c r="K111" i="1"/>
  <c r="Q103" i="1"/>
  <c r="O94" i="1"/>
  <c r="O92" i="1"/>
  <c r="P88" i="1"/>
  <c r="M87" i="1"/>
  <c r="P86" i="1"/>
  <c r="N69" i="1"/>
  <c r="P67" i="1"/>
  <c r="P63" i="1"/>
  <c r="J55" i="1"/>
  <c r="O32" i="1"/>
  <c r="M4" i="1"/>
  <c r="M62" i="1"/>
  <c r="O62" i="1"/>
  <c r="K62" i="1"/>
  <c r="N61" i="1"/>
  <c r="M60" i="1"/>
  <c r="Q60" i="1"/>
  <c r="K60" i="1"/>
  <c r="O59" i="1"/>
  <c r="K59" i="1"/>
  <c r="O57" i="1"/>
  <c r="I57" i="1"/>
  <c r="P57" i="1"/>
  <c r="K56" i="1"/>
  <c r="N54" i="1"/>
  <c r="R53" i="1"/>
  <c r="Q53" i="1"/>
  <c r="K53" i="1"/>
  <c r="J53" i="1"/>
  <c r="L52" i="1"/>
  <c r="M52" i="1"/>
  <c r="O49" i="1"/>
  <c r="N48" i="1"/>
  <c r="O48" i="1"/>
  <c r="L48" i="1"/>
  <c r="M46" i="1"/>
  <c r="N46" i="1"/>
  <c r="L46" i="1"/>
  <c r="J43" i="1"/>
  <c r="N40" i="1"/>
  <c r="L40" i="1"/>
  <c r="K40" i="1"/>
  <c r="Q37" i="1"/>
  <c r="O37" i="1"/>
  <c r="L37" i="1"/>
  <c r="K37" i="1"/>
  <c r="J37" i="1"/>
  <c r="I37" i="1"/>
  <c r="R37" i="1"/>
  <c r="P36" i="1"/>
  <c r="O36" i="1"/>
  <c r="N36" i="1"/>
  <c r="M36" i="1"/>
  <c r="L36" i="1"/>
  <c r="L33" i="1"/>
  <c r="J33" i="1"/>
  <c r="R29" i="1"/>
  <c r="Q29" i="1"/>
  <c r="L29" i="1"/>
  <c r="K29" i="1"/>
  <c r="I29" i="1"/>
  <c r="M28" i="1"/>
  <c r="K28" i="1"/>
  <c r="P26" i="1"/>
  <c r="M26" i="1"/>
  <c r="L25" i="1"/>
  <c r="J25" i="1"/>
  <c r="K24" i="1"/>
  <c r="O24" i="1"/>
  <c r="R21" i="1"/>
  <c r="J21" i="1"/>
  <c r="Q21" i="1"/>
  <c r="K21" i="1"/>
  <c r="L20" i="1"/>
  <c r="M20" i="1"/>
  <c r="R19" i="1"/>
  <c r="K19" i="1"/>
  <c r="J19" i="1"/>
  <c r="L18" i="1"/>
  <c r="O17" i="1"/>
  <c r="L17" i="1"/>
  <c r="I17" i="1"/>
  <c r="P14" i="1"/>
  <c r="I13" i="1"/>
  <c r="Q13" i="1"/>
  <c r="O13" i="1"/>
  <c r="P12" i="1"/>
  <c r="O12" i="1"/>
  <c r="M12" i="1"/>
  <c r="L12" i="1"/>
  <c r="K12" i="1"/>
  <c r="R11" i="1"/>
  <c r="P11" i="1"/>
  <c r="J11" i="1"/>
  <c r="O9" i="1"/>
  <c r="O8" i="1"/>
  <c r="N8" i="1"/>
  <c r="L8" i="1"/>
  <c r="P7" i="1"/>
  <c r="L7" i="1"/>
  <c r="J7" i="1"/>
  <c r="J70" i="1"/>
  <c r="K70" i="1"/>
  <c r="O70" i="1"/>
  <c r="P70" i="1"/>
  <c r="R70" i="1"/>
  <c r="I380" i="1"/>
  <c r="J380" i="1"/>
  <c r="O373" i="1"/>
  <c r="O371" i="1"/>
  <c r="J369" i="1"/>
  <c r="L369" i="1"/>
  <c r="I352" i="1"/>
  <c r="J352" i="1"/>
  <c r="N352" i="1"/>
  <c r="P352" i="1"/>
  <c r="I286" i="1"/>
  <c r="N286" i="1"/>
  <c r="J286" i="1"/>
  <c r="M286" i="1"/>
  <c r="O286" i="1"/>
  <c r="P286" i="1"/>
  <c r="R286" i="1"/>
  <c r="K188" i="1"/>
  <c r="I188" i="1"/>
  <c r="L188" i="1"/>
  <c r="M188" i="1"/>
  <c r="P188" i="1"/>
  <c r="R188" i="1"/>
  <c r="P371" i="1"/>
  <c r="I361" i="1"/>
  <c r="Q361" i="1"/>
  <c r="K361" i="1"/>
  <c r="M361" i="1"/>
  <c r="N395" i="1"/>
  <c r="M373" i="1"/>
  <c r="N371" i="1"/>
  <c r="I365" i="1"/>
  <c r="Q365" i="1"/>
  <c r="K365" i="1"/>
  <c r="M365" i="1"/>
  <c r="P361" i="1"/>
  <c r="I349" i="1"/>
  <c r="Q349" i="1"/>
  <c r="K349" i="1"/>
  <c r="M349" i="1"/>
  <c r="K150" i="1"/>
  <c r="I150" i="1"/>
  <c r="L150" i="1"/>
  <c r="M150" i="1"/>
  <c r="O150" i="1"/>
  <c r="J150" i="1"/>
  <c r="P150" i="1"/>
  <c r="Q150" i="1"/>
  <c r="R150" i="1"/>
  <c r="I3" i="1"/>
  <c r="R388" i="1"/>
  <c r="I378" i="1"/>
  <c r="P378" i="1"/>
  <c r="Q3" i="1"/>
  <c r="Q397" i="1"/>
  <c r="I397" i="1"/>
  <c r="L395" i="1"/>
  <c r="O394" i="1"/>
  <c r="R391" i="1"/>
  <c r="J391" i="1"/>
  <c r="J390" i="1"/>
  <c r="M389" i="1"/>
  <c r="P388" i="1"/>
  <c r="P387" i="1"/>
  <c r="N384" i="1"/>
  <c r="N383" i="1"/>
  <c r="R382" i="1"/>
  <c r="J381" i="1"/>
  <c r="R381" i="1"/>
  <c r="Q379" i="1"/>
  <c r="R377" i="1"/>
  <c r="I377" i="1"/>
  <c r="L375" i="1"/>
  <c r="L373" i="1"/>
  <c r="N372" i="1"/>
  <c r="O370" i="1"/>
  <c r="O369" i="1"/>
  <c r="P368" i="1"/>
  <c r="R365" i="1"/>
  <c r="O361" i="1"/>
  <c r="L357" i="1"/>
  <c r="I356" i="1"/>
  <c r="J356" i="1"/>
  <c r="N356" i="1"/>
  <c r="P356" i="1"/>
  <c r="R349" i="1"/>
  <c r="I371" i="1"/>
  <c r="Q371" i="1"/>
  <c r="N389" i="1"/>
  <c r="P3" i="1"/>
  <c r="P397" i="1"/>
  <c r="K395" i="1"/>
  <c r="R392" i="1"/>
  <c r="Q391" i="1"/>
  <c r="I391" i="1"/>
  <c r="L389" i="1"/>
  <c r="O388" i="1"/>
  <c r="J384" i="1"/>
  <c r="M383" i="1"/>
  <c r="P382" i="1"/>
  <c r="R380" i="1"/>
  <c r="Q377" i="1"/>
  <c r="K373" i="1"/>
  <c r="L371" i="1"/>
  <c r="N369" i="1"/>
  <c r="P365" i="1"/>
  <c r="N361" i="1"/>
  <c r="I353" i="1"/>
  <c r="Q353" i="1"/>
  <c r="K353" i="1"/>
  <c r="M353" i="1"/>
  <c r="P349" i="1"/>
  <c r="K218" i="1"/>
  <c r="L218" i="1"/>
  <c r="M218" i="1"/>
  <c r="N218" i="1"/>
  <c r="I218" i="1"/>
  <c r="J218" i="1"/>
  <c r="O218" i="1"/>
  <c r="P218" i="1"/>
  <c r="Q218" i="1"/>
  <c r="R218" i="1"/>
  <c r="O3" i="1"/>
  <c r="R395" i="1"/>
  <c r="K389" i="1"/>
  <c r="N388" i="1"/>
  <c r="L383" i="1"/>
  <c r="O382" i="1"/>
  <c r="P380" i="1"/>
  <c r="R378" i="1"/>
  <c r="I374" i="1"/>
  <c r="N374" i="1"/>
  <c r="J373" i="1"/>
  <c r="K371" i="1"/>
  <c r="M369" i="1"/>
  <c r="O365" i="1"/>
  <c r="L361" i="1"/>
  <c r="I360" i="1"/>
  <c r="J360" i="1"/>
  <c r="N360" i="1"/>
  <c r="P360" i="1"/>
  <c r="R352" i="1"/>
  <c r="O349" i="1"/>
  <c r="J3" i="1"/>
  <c r="M395" i="1"/>
  <c r="N397" i="1"/>
  <c r="R389" i="1"/>
  <c r="J388" i="1"/>
  <c r="O378" i="1"/>
  <c r="N377" i="1"/>
  <c r="I373" i="1"/>
  <c r="I372" i="1"/>
  <c r="R372" i="1"/>
  <c r="J371" i="1"/>
  <c r="K369" i="1"/>
  <c r="I368" i="1"/>
  <c r="J368" i="1"/>
  <c r="O368" i="1"/>
  <c r="N365" i="1"/>
  <c r="J361" i="1"/>
  <c r="I357" i="1"/>
  <c r="Q357" i="1"/>
  <c r="K357" i="1"/>
  <c r="M357" i="1"/>
  <c r="O352" i="1"/>
  <c r="N349" i="1"/>
  <c r="K262" i="1"/>
  <c r="N262" i="1"/>
  <c r="R262" i="1"/>
  <c r="I262" i="1"/>
  <c r="J262" i="1"/>
  <c r="L262" i="1"/>
  <c r="M262" i="1"/>
  <c r="O262" i="1"/>
  <c r="P262" i="1"/>
  <c r="P199" i="1"/>
  <c r="K199" i="1"/>
  <c r="L199" i="1"/>
  <c r="M199" i="1"/>
  <c r="N199" i="1"/>
  <c r="I199" i="1"/>
  <c r="J199" i="1"/>
  <c r="O199" i="1"/>
  <c r="Q199" i="1"/>
  <c r="R199" i="1"/>
  <c r="R3" i="1"/>
  <c r="J395" i="1"/>
  <c r="P392" i="1"/>
  <c r="N3" i="1"/>
  <c r="Q395" i="1"/>
  <c r="I395" i="1"/>
  <c r="O392" i="1"/>
  <c r="J389" i="1"/>
  <c r="K383" i="1"/>
  <c r="N382" i="1"/>
  <c r="O380" i="1"/>
  <c r="R373" i="1"/>
  <c r="M3" i="1"/>
  <c r="P396" i="1"/>
  <c r="N392" i="1"/>
  <c r="R390" i="1"/>
  <c r="Q389" i="1"/>
  <c r="R383" i="1"/>
  <c r="J382" i="1"/>
  <c r="N380" i="1"/>
  <c r="L379" i="1"/>
  <c r="N378" i="1"/>
  <c r="M377" i="1"/>
  <c r="Q373" i="1"/>
  <c r="R371" i="1"/>
  <c r="I369" i="1"/>
  <c r="L365" i="1"/>
  <c r="I364" i="1"/>
  <c r="J364" i="1"/>
  <c r="N364" i="1"/>
  <c r="P364" i="1"/>
  <c r="R357" i="1"/>
  <c r="R356" i="1"/>
  <c r="O353" i="1"/>
  <c r="M352" i="1"/>
  <c r="L349" i="1"/>
  <c r="I348" i="1"/>
  <c r="J348" i="1"/>
  <c r="N348" i="1"/>
  <c r="P348" i="1"/>
  <c r="Q363" i="1"/>
  <c r="J362" i="1"/>
  <c r="Q359" i="1"/>
  <c r="J358" i="1"/>
  <c r="Q355" i="1"/>
  <c r="J354" i="1"/>
  <c r="Q351" i="1"/>
  <c r="J350" i="1"/>
  <c r="Q347" i="1"/>
  <c r="J346" i="1"/>
  <c r="M345" i="1"/>
  <c r="P344" i="1"/>
  <c r="Q343" i="1"/>
  <c r="J342" i="1"/>
  <c r="M341" i="1"/>
  <c r="P340" i="1"/>
  <c r="Q339" i="1"/>
  <c r="J338" i="1"/>
  <c r="M337" i="1"/>
  <c r="P336" i="1"/>
  <c r="Q335" i="1"/>
  <c r="J334" i="1"/>
  <c r="M333" i="1"/>
  <c r="P332" i="1"/>
  <c r="Q331" i="1"/>
  <c r="J330" i="1"/>
  <c r="M329" i="1"/>
  <c r="P328" i="1"/>
  <c r="Q327" i="1"/>
  <c r="J326" i="1"/>
  <c r="M325" i="1"/>
  <c r="P324" i="1"/>
  <c r="Q323" i="1"/>
  <c r="J322" i="1"/>
  <c r="M321" i="1"/>
  <c r="P320" i="1"/>
  <c r="Q319" i="1"/>
  <c r="J318" i="1"/>
  <c r="M317" i="1"/>
  <c r="P316" i="1"/>
  <c r="Q315" i="1"/>
  <c r="J314" i="1"/>
  <c r="M313" i="1"/>
  <c r="P312" i="1"/>
  <c r="Q311" i="1"/>
  <c r="J310" i="1"/>
  <c r="M309" i="1"/>
  <c r="P308" i="1"/>
  <c r="Q307" i="1"/>
  <c r="J306" i="1"/>
  <c r="M305" i="1"/>
  <c r="P304" i="1"/>
  <c r="M301" i="1"/>
  <c r="P300" i="1"/>
  <c r="M297" i="1"/>
  <c r="P296" i="1"/>
  <c r="M293" i="1"/>
  <c r="P292" i="1"/>
  <c r="M289" i="1"/>
  <c r="P288" i="1"/>
  <c r="J283" i="1"/>
  <c r="N279" i="1"/>
  <c r="P278" i="1"/>
  <c r="I274" i="1"/>
  <c r="N274" i="1"/>
  <c r="P271" i="1"/>
  <c r="N270" i="1"/>
  <c r="M269" i="1"/>
  <c r="L268" i="1"/>
  <c r="R265" i="1"/>
  <c r="J265" i="1"/>
  <c r="O261" i="1"/>
  <c r="O259" i="1"/>
  <c r="N256" i="1"/>
  <c r="P256" i="1"/>
  <c r="I256" i="1"/>
  <c r="Q256" i="1"/>
  <c r="L250" i="1"/>
  <c r="J246" i="1"/>
  <c r="O244" i="1"/>
  <c r="P240" i="1"/>
  <c r="N236" i="1"/>
  <c r="O234" i="1"/>
  <c r="L227" i="1"/>
  <c r="O227" i="1"/>
  <c r="J216" i="1"/>
  <c r="R216" i="1"/>
  <c r="K216" i="1"/>
  <c r="L216" i="1"/>
  <c r="M216" i="1"/>
  <c r="O214" i="1"/>
  <c r="P202" i="1"/>
  <c r="M198" i="1"/>
  <c r="P196" i="1"/>
  <c r="I178" i="1"/>
  <c r="M178" i="1"/>
  <c r="R178" i="1"/>
  <c r="J178" i="1"/>
  <c r="L178" i="1"/>
  <c r="O178" i="1"/>
  <c r="Q178" i="1"/>
  <c r="K100" i="1"/>
  <c r="R100" i="1"/>
  <c r="O100" i="1"/>
  <c r="I100" i="1"/>
  <c r="J100" i="1"/>
  <c r="L100" i="1"/>
  <c r="M100" i="1"/>
  <c r="P100" i="1"/>
  <c r="Q100" i="1"/>
  <c r="N288" i="1"/>
  <c r="I283" i="1"/>
  <c r="O278" i="1"/>
  <c r="P275" i="1"/>
  <c r="K275" i="1"/>
  <c r="M270" i="1"/>
  <c r="K268" i="1"/>
  <c r="J267" i="1"/>
  <c r="O267" i="1"/>
  <c r="J264" i="1"/>
  <c r="R264" i="1"/>
  <c r="M264" i="1"/>
  <c r="N261" i="1"/>
  <c r="N259" i="1"/>
  <c r="M253" i="1"/>
  <c r="O253" i="1"/>
  <c r="N252" i="1"/>
  <c r="P252" i="1"/>
  <c r="I252" i="1"/>
  <c r="Q252" i="1"/>
  <c r="N244" i="1"/>
  <c r="J242" i="1"/>
  <c r="R242" i="1"/>
  <c r="L242" i="1"/>
  <c r="M242" i="1"/>
  <c r="L223" i="1"/>
  <c r="O223" i="1"/>
  <c r="N207" i="1"/>
  <c r="O202" i="1"/>
  <c r="N196" i="1"/>
  <c r="M193" i="1"/>
  <c r="P193" i="1"/>
  <c r="I193" i="1"/>
  <c r="Q193" i="1"/>
  <c r="J193" i="1"/>
  <c r="R193" i="1"/>
  <c r="K193" i="1"/>
  <c r="K345" i="1"/>
  <c r="N344" i="1"/>
  <c r="K341" i="1"/>
  <c r="N340" i="1"/>
  <c r="K337" i="1"/>
  <c r="N336" i="1"/>
  <c r="K333" i="1"/>
  <c r="N332" i="1"/>
  <c r="K329" i="1"/>
  <c r="N328" i="1"/>
  <c r="K325" i="1"/>
  <c r="N324" i="1"/>
  <c r="K321" i="1"/>
  <c r="N320" i="1"/>
  <c r="K317" i="1"/>
  <c r="N316" i="1"/>
  <c r="K313" i="1"/>
  <c r="N312" i="1"/>
  <c r="K309" i="1"/>
  <c r="N308" i="1"/>
  <c r="K305" i="1"/>
  <c r="N304" i="1"/>
  <c r="K301" i="1"/>
  <c r="N300" i="1"/>
  <c r="N296" i="1"/>
  <c r="N292" i="1"/>
  <c r="M288" i="1"/>
  <c r="M287" i="1"/>
  <c r="I282" i="1"/>
  <c r="N282" i="1"/>
  <c r="M278" i="1"/>
  <c r="O275" i="1"/>
  <c r="R274" i="1"/>
  <c r="L271" i="1"/>
  <c r="K270" i="1"/>
  <c r="J268" i="1"/>
  <c r="N266" i="1"/>
  <c r="I266" i="1"/>
  <c r="Q266" i="1"/>
  <c r="P264" i="1"/>
  <c r="L261" i="1"/>
  <c r="O256" i="1"/>
  <c r="R252" i="1"/>
  <c r="M244" i="1"/>
  <c r="Q242" i="1"/>
  <c r="K238" i="1"/>
  <c r="M238" i="1"/>
  <c r="N238" i="1"/>
  <c r="Q216" i="1"/>
  <c r="M204" i="1"/>
  <c r="P204" i="1"/>
  <c r="I204" i="1"/>
  <c r="Q204" i="1"/>
  <c r="J204" i="1"/>
  <c r="R204" i="1"/>
  <c r="K204" i="1"/>
  <c r="K104" i="1"/>
  <c r="M104" i="1"/>
  <c r="P104" i="1"/>
  <c r="I104" i="1"/>
  <c r="J104" i="1"/>
  <c r="L104" i="1"/>
  <c r="O104" i="1"/>
  <c r="Q104" i="1"/>
  <c r="R104" i="1"/>
  <c r="P283" i="1"/>
  <c r="K283" i="1"/>
  <c r="J269" i="1"/>
  <c r="N269" i="1"/>
  <c r="I268" i="1"/>
  <c r="K246" i="1"/>
  <c r="M246" i="1"/>
  <c r="N246" i="1"/>
  <c r="L221" i="1"/>
  <c r="O221" i="1"/>
  <c r="M211" i="1"/>
  <c r="L211" i="1"/>
  <c r="N211" i="1"/>
  <c r="O211" i="1"/>
  <c r="K198" i="1"/>
  <c r="O198" i="1"/>
  <c r="P198" i="1"/>
  <c r="Q198" i="1"/>
  <c r="R198" i="1"/>
  <c r="I153" i="1"/>
  <c r="Q153" i="1"/>
  <c r="K153" i="1"/>
  <c r="L153" i="1"/>
  <c r="M153" i="1"/>
  <c r="J153" i="1"/>
  <c r="N153" i="1"/>
  <c r="O153" i="1"/>
  <c r="P153" i="1"/>
  <c r="R153" i="1"/>
  <c r="I121" i="1"/>
  <c r="Q121" i="1"/>
  <c r="K121" i="1"/>
  <c r="L121" i="1"/>
  <c r="M121" i="1"/>
  <c r="J121" i="1"/>
  <c r="N121" i="1"/>
  <c r="O121" i="1"/>
  <c r="P121" i="1"/>
  <c r="R121" i="1"/>
  <c r="Q345" i="1"/>
  <c r="J344" i="1"/>
  <c r="Q341" i="1"/>
  <c r="J340" i="1"/>
  <c r="Q337" i="1"/>
  <c r="J336" i="1"/>
  <c r="Q333" i="1"/>
  <c r="J332" i="1"/>
  <c r="Q329" i="1"/>
  <c r="J328" i="1"/>
  <c r="Q325" i="1"/>
  <c r="J324" i="1"/>
  <c r="Q321" i="1"/>
  <c r="J320" i="1"/>
  <c r="Q317" i="1"/>
  <c r="J316" i="1"/>
  <c r="Q313" i="1"/>
  <c r="J312" i="1"/>
  <c r="Q309" i="1"/>
  <c r="J308" i="1"/>
  <c r="Q305" i="1"/>
  <c r="J304" i="1"/>
  <c r="O283" i="1"/>
  <c r="M275" i="1"/>
  <c r="N264" i="1"/>
  <c r="M252" i="1"/>
  <c r="L251" i="1"/>
  <c r="O251" i="1"/>
  <c r="N250" i="1"/>
  <c r="P250" i="1"/>
  <c r="I250" i="1"/>
  <c r="Q250" i="1"/>
  <c r="Q246" i="1"/>
  <c r="O242" i="1"/>
  <c r="L237" i="1"/>
  <c r="O237" i="1"/>
  <c r="J236" i="1"/>
  <c r="R236" i="1"/>
  <c r="L236" i="1"/>
  <c r="M236" i="1"/>
  <c r="P214" i="1"/>
  <c r="K214" i="1"/>
  <c r="L214" i="1"/>
  <c r="M214" i="1"/>
  <c r="N214" i="1"/>
  <c r="M207" i="1"/>
  <c r="O207" i="1"/>
  <c r="N202" i="1"/>
  <c r="I202" i="1"/>
  <c r="Q202" i="1"/>
  <c r="J202" i="1"/>
  <c r="R202" i="1"/>
  <c r="K202" i="1"/>
  <c r="L202" i="1"/>
  <c r="K108" i="1"/>
  <c r="R108" i="1"/>
  <c r="P108" i="1"/>
  <c r="I108" i="1"/>
  <c r="J108" i="1"/>
  <c r="L108" i="1"/>
  <c r="M108" i="1"/>
  <c r="O108" i="1"/>
  <c r="Q108" i="1"/>
  <c r="I288" i="1"/>
  <c r="O288" i="1"/>
  <c r="I278" i="1"/>
  <c r="N278" i="1"/>
  <c r="I270" i="1"/>
  <c r="Q270" i="1"/>
  <c r="L270" i="1"/>
  <c r="M268" i="1"/>
  <c r="P268" i="1"/>
  <c r="M261" i="1"/>
  <c r="R261" i="1"/>
  <c r="P246" i="1"/>
  <c r="I244" i="1"/>
  <c r="Q244" i="1"/>
  <c r="K244" i="1"/>
  <c r="L244" i="1"/>
  <c r="M283" i="1"/>
  <c r="P279" i="1"/>
  <c r="K279" i="1"/>
  <c r="J275" i="1"/>
  <c r="P270" i="1"/>
  <c r="R269" i="1"/>
  <c r="O268" i="1"/>
  <c r="R267" i="1"/>
  <c r="K264" i="1"/>
  <c r="N253" i="1"/>
  <c r="K252" i="1"/>
  <c r="O250" i="1"/>
  <c r="L249" i="1"/>
  <c r="M249" i="1"/>
  <c r="O246" i="1"/>
  <c r="R244" i="1"/>
  <c r="O243" i="1"/>
  <c r="K242" i="1"/>
  <c r="K240" i="1"/>
  <c r="M240" i="1"/>
  <c r="N240" i="1"/>
  <c r="P236" i="1"/>
  <c r="P234" i="1"/>
  <c r="J234" i="1"/>
  <c r="R234" i="1"/>
  <c r="K234" i="1"/>
  <c r="R214" i="1"/>
  <c r="M213" i="1"/>
  <c r="L213" i="1"/>
  <c r="N213" i="1"/>
  <c r="O213" i="1"/>
  <c r="K186" i="1"/>
  <c r="N186" i="1"/>
  <c r="Q186" i="1"/>
  <c r="I186" i="1"/>
  <c r="R186" i="1"/>
  <c r="J186" i="1"/>
  <c r="L186" i="1"/>
  <c r="O263" i="1"/>
  <c r="R260" i="1"/>
  <c r="R258" i="1"/>
  <c r="P248" i="1"/>
  <c r="O239" i="1"/>
  <c r="R232" i="1"/>
  <c r="P230" i="1"/>
  <c r="P226" i="1"/>
  <c r="Q224" i="1"/>
  <c r="I224" i="1"/>
  <c r="Q222" i="1"/>
  <c r="I222" i="1"/>
  <c r="P220" i="1"/>
  <c r="N217" i="1"/>
  <c r="P210" i="1"/>
  <c r="Q208" i="1"/>
  <c r="I208" i="1"/>
  <c r="P201" i="1"/>
  <c r="O192" i="1"/>
  <c r="Q191" i="1"/>
  <c r="I191" i="1"/>
  <c r="J190" i="1"/>
  <c r="M189" i="1"/>
  <c r="P187" i="1"/>
  <c r="K175" i="1"/>
  <c r="L173" i="1"/>
  <c r="I170" i="1"/>
  <c r="J170" i="1"/>
  <c r="O170" i="1"/>
  <c r="I169" i="1"/>
  <c r="M167" i="1"/>
  <c r="P162" i="1"/>
  <c r="O161" i="1"/>
  <c r="R158" i="1"/>
  <c r="O157" i="1"/>
  <c r="I145" i="1"/>
  <c r="Q145" i="1"/>
  <c r="K145" i="1"/>
  <c r="L145" i="1"/>
  <c r="M145" i="1"/>
  <c r="K142" i="1"/>
  <c r="I142" i="1"/>
  <c r="L142" i="1"/>
  <c r="M142" i="1"/>
  <c r="O142" i="1"/>
  <c r="R126" i="1"/>
  <c r="R120" i="1"/>
  <c r="P224" i="1"/>
  <c r="P222" i="1"/>
  <c r="P208" i="1"/>
  <c r="N192" i="1"/>
  <c r="P191" i="1"/>
  <c r="L189" i="1"/>
  <c r="K182" i="1"/>
  <c r="R182" i="1"/>
  <c r="I182" i="1"/>
  <c r="K179" i="1"/>
  <c r="N179" i="1"/>
  <c r="J175" i="1"/>
  <c r="J173" i="1"/>
  <c r="L167" i="1"/>
  <c r="J166" i="1"/>
  <c r="I166" i="1"/>
  <c r="R166" i="1"/>
  <c r="M162" i="1"/>
  <c r="N161" i="1"/>
  <c r="Q158" i="1"/>
  <c r="N157" i="1"/>
  <c r="I137" i="1"/>
  <c r="Q137" i="1"/>
  <c r="K137" i="1"/>
  <c r="L137" i="1"/>
  <c r="M137" i="1"/>
  <c r="K134" i="1"/>
  <c r="I134" i="1"/>
  <c r="L134" i="1"/>
  <c r="M134" i="1"/>
  <c r="O134" i="1"/>
  <c r="Q126" i="1"/>
  <c r="L120" i="1"/>
  <c r="P109" i="1"/>
  <c r="J82" i="1"/>
  <c r="K82" i="1"/>
  <c r="M82" i="1"/>
  <c r="N82" i="1"/>
  <c r="R82" i="1"/>
  <c r="P82" i="1"/>
  <c r="O209" i="1"/>
  <c r="M192" i="1"/>
  <c r="K189" i="1"/>
  <c r="J181" i="1"/>
  <c r="R181" i="1"/>
  <c r="M181" i="1"/>
  <c r="I176" i="1"/>
  <c r="M176" i="1"/>
  <c r="I175" i="1"/>
  <c r="I173" i="1"/>
  <c r="I171" i="1"/>
  <c r="Q171" i="1"/>
  <c r="L171" i="1"/>
  <c r="M169" i="1"/>
  <c r="P169" i="1"/>
  <c r="J167" i="1"/>
  <c r="L162" i="1"/>
  <c r="K161" i="1"/>
  <c r="P158" i="1"/>
  <c r="L157" i="1"/>
  <c r="P126" i="1"/>
  <c r="O284" i="1"/>
  <c r="O280" i="1"/>
  <c r="O276" i="1"/>
  <c r="N209" i="1"/>
  <c r="L192" i="1"/>
  <c r="Q190" i="1"/>
  <c r="R189" i="1"/>
  <c r="N183" i="1"/>
  <c r="I183" i="1"/>
  <c r="Q183" i="1"/>
  <c r="P181" i="1"/>
  <c r="O179" i="1"/>
  <c r="R176" i="1"/>
  <c r="P171" i="1"/>
  <c r="R170" i="1"/>
  <c r="O169" i="1"/>
  <c r="M165" i="1"/>
  <c r="P165" i="1"/>
  <c r="P145" i="1"/>
  <c r="R142" i="1"/>
  <c r="R137" i="1"/>
  <c r="I129" i="1"/>
  <c r="Q129" i="1"/>
  <c r="K129" i="1"/>
  <c r="L129" i="1"/>
  <c r="M129" i="1"/>
  <c r="J113" i="1"/>
  <c r="R113" i="1"/>
  <c r="N113" i="1"/>
  <c r="Q113" i="1"/>
  <c r="I113" i="1"/>
  <c r="K113" i="1"/>
  <c r="L113" i="1"/>
  <c r="M113" i="1"/>
  <c r="M175" i="1"/>
  <c r="P175" i="1"/>
  <c r="P173" i="1"/>
  <c r="K173" i="1"/>
  <c r="K120" i="1"/>
  <c r="M120" i="1"/>
  <c r="J120" i="1"/>
  <c r="O120" i="1"/>
  <c r="P120" i="1"/>
  <c r="Q120" i="1"/>
  <c r="N109" i="1"/>
  <c r="M109" i="1"/>
  <c r="Q109" i="1"/>
  <c r="I109" i="1"/>
  <c r="R109" i="1"/>
  <c r="J109" i="1"/>
  <c r="K109" i="1"/>
  <c r="L109" i="1"/>
  <c r="K91" i="1"/>
  <c r="L91" i="1"/>
  <c r="M91" i="1"/>
  <c r="Q91" i="1"/>
  <c r="I91" i="1"/>
  <c r="J91" i="1"/>
  <c r="N91" i="1"/>
  <c r="O91" i="1"/>
  <c r="P91" i="1"/>
  <c r="K167" i="1"/>
  <c r="N167" i="1"/>
  <c r="K162" i="1"/>
  <c r="O162" i="1"/>
  <c r="R162" i="1"/>
  <c r="I162" i="1"/>
  <c r="I161" i="1"/>
  <c r="Q161" i="1"/>
  <c r="L161" i="1"/>
  <c r="M161" i="1"/>
  <c r="K126" i="1"/>
  <c r="I126" i="1"/>
  <c r="L126" i="1"/>
  <c r="M126" i="1"/>
  <c r="O126" i="1"/>
  <c r="N175" i="1"/>
  <c r="N173" i="1"/>
  <c r="P167" i="1"/>
  <c r="R161" i="1"/>
  <c r="K158" i="1"/>
  <c r="I158" i="1"/>
  <c r="M158" i="1"/>
  <c r="O158" i="1"/>
  <c r="M157" i="1"/>
  <c r="P157" i="1"/>
  <c r="I157" i="1"/>
  <c r="Q157" i="1"/>
  <c r="N117" i="1"/>
  <c r="I117" i="1"/>
  <c r="R117" i="1"/>
  <c r="J117" i="1"/>
  <c r="K117" i="1"/>
  <c r="L117" i="1"/>
  <c r="M117" i="1"/>
  <c r="K112" i="1"/>
  <c r="M112" i="1"/>
  <c r="Q112" i="1"/>
  <c r="I112" i="1"/>
  <c r="J112" i="1"/>
  <c r="L112" i="1"/>
  <c r="O112" i="1"/>
  <c r="P112" i="1"/>
  <c r="I154" i="1"/>
  <c r="Q149" i="1"/>
  <c r="I149" i="1"/>
  <c r="I146" i="1"/>
  <c r="Q141" i="1"/>
  <c r="I141" i="1"/>
  <c r="I138" i="1"/>
  <c r="Q133" i="1"/>
  <c r="I133" i="1"/>
  <c r="I130" i="1"/>
  <c r="Q125" i="1"/>
  <c r="I125" i="1"/>
  <c r="I122" i="1"/>
  <c r="R119" i="1"/>
  <c r="I119" i="1"/>
  <c r="L118" i="1"/>
  <c r="P116" i="1"/>
  <c r="R115" i="1"/>
  <c r="I115" i="1"/>
  <c r="J114" i="1"/>
  <c r="P99" i="1"/>
  <c r="R98" i="1"/>
  <c r="P97" i="1"/>
  <c r="R96" i="1"/>
  <c r="M77" i="1"/>
  <c r="I77" i="1"/>
  <c r="N77" i="1"/>
  <c r="P77" i="1"/>
  <c r="K44" i="1"/>
  <c r="L44" i="1"/>
  <c r="M44" i="1"/>
  <c r="N44" i="1"/>
  <c r="P44" i="1"/>
  <c r="I41" i="1"/>
  <c r="J41" i="1"/>
  <c r="L41" i="1"/>
  <c r="O41" i="1"/>
  <c r="R41" i="1"/>
  <c r="J164" i="1"/>
  <c r="N163" i="1"/>
  <c r="P160" i="1"/>
  <c r="R159" i="1"/>
  <c r="J156" i="1"/>
  <c r="N155" i="1"/>
  <c r="R154" i="1"/>
  <c r="P152" i="1"/>
  <c r="R151" i="1"/>
  <c r="P149" i="1"/>
  <c r="J148" i="1"/>
  <c r="N147" i="1"/>
  <c r="R146" i="1"/>
  <c r="P144" i="1"/>
  <c r="R143" i="1"/>
  <c r="P141" i="1"/>
  <c r="J140" i="1"/>
  <c r="N139" i="1"/>
  <c r="R138" i="1"/>
  <c r="P136" i="1"/>
  <c r="R135" i="1"/>
  <c r="P133" i="1"/>
  <c r="N131" i="1"/>
  <c r="R130" i="1"/>
  <c r="P128" i="1"/>
  <c r="P125" i="1"/>
  <c r="N123" i="1"/>
  <c r="R122" i="1"/>
  <c r="Q119" i="1"/>
  <c r="O116" i="1"/>
  <c r="Q115" i="1"/>
  <c r="N103" i="1"/>
  <c r="K102" i="1"/>
  <c r="J102" i="1"/>
  <c r="O99" i="1"/>
  <c r="Q98" i="1"/>
  <c r="O97" i="1"/>
  <c r="Q96" i="1"/>
  <c r="M79" i="1"/>
  <c r="L79" i="1"/>
  <c r="N79" i="1"/>
  <c r="P79" i="1"/>
  <c r="Q79" i="1"/>
  <c r="M61" i="1"/>
  <c r="P61" i="1"/>
  <c r="R61" i="1"/>
  <c r="R45" i="1"/>
  <c r="J15" i="1"/>
  <c r="K15" i="1"/>
  <c r="L15" i="1"/>
  <c r="P15" i="1"/>
  <c r="M116" i="1"/>
  <c r="K110" i="1"/>
  <c r="J110" i="1"/>
  <c r="K106" i="1"/>
  <c r="P106" i="1"/>
  <c r="N99" i="1"/>
  <c r="M98" i="1"/>
  <c r="N97" i="1"/>
  <c r="P96" i="1"/>
  <c r="K94" i="1"/>
  <c r="I94" i="1"/>
  <c r="J94" i="1"/>
  <c r="K88" i="1"/>
  <c r="L88" i="1"/>
  <c r="M88" i="1"/>
  <c r="O88" i="1"/>
  <c r="R88" i="1"/>
  <c r="M83" i="1"/>
  <c r="J83" i="1"/>
  <c r="O83" i="1"/>
  <c r="P83" i="1"/>
  <c r="Q83" i="1"/>
  <c r="I49" i="1"/>
  <c r="J49" i="1"/>
  <c r="L49" i="1"/>
  <c r="Q49" i="1"/>
  <c r="J47" i="1"/>
  <c r="K47" i="1"/>
  <c r="Q45" i="1"/>
  <c r="J31" i="1"/>
  <c r="K31" i="1"/>
  <c r="P31" i="1"/>
  <c r="J23" i="1"/>
  <c r="K23" i="1"/>
  <c r="L23" i="1"/>
  <c r="K118" i="1"/>
  <c r="J118" i="1"/>
  <c r="L116" i="1"/>
  <c r="K114" i="1"/>
  <c r="P114" i="1"/>
  <c r="M99" i="1"/>
  <c r="L98" i="1"/>
  <c r="M97" i="1"/>
  <c r="O96" i="1"/>
  <c r="M65" i="1"/>
  <c r="K65" i="1"/>
  <c r="P65" i="1"/>
  <c r="M30" i="1"/>
  <c r="L10" i="1"/>
  <c r="M10" i="1"/>
  <c r="O5" i="1"/>
  <c r="P5" i="1"/>
  <c r="Q174" i="1"/>
  <c r="L160" i="1"/>
  <c r="O154" i="1"/>
  <c r="L152" i="1"/>
  <c r="O146" i="1"/>
  <c r="L144" i="1"/>
  <c r="O138" i="1"/>
  <c r="L136" i="1"/>
  <c r="O130" i="1"/>
  <c r="L128" i="1"/>
  <c r="O122" i="1"/>
  <c r="M119" i="1"/>
  <c r="Q118" i="1"/>
  <c r="N115" i="1"/>
  <c r="Q114" i="1"/>
  <c r="L111" i="1"/>
  <c r="P110" i="1"/>
  <c r="M107" i="1"/>
  <c r="O106" i="1"/>
  <c r="J105" i="1"/>
  <c r="R105" i="1"/>
  <c r="K103" i="1"/>
  <c r="O102" i="1"/>
  <c r="Q94" i="1"/>
  <c r="M93" i="1"/>
  <c r="N93" i="1"/>
  <c r="I89" i="1"/>
  <c r="Q89" i="1"/>
  <c r="J89" i="1"/>
  <c r="R89" i="1"/>
  <c r="K89" i="1"/>
  <c r="N89" i="1"/>
  <c r="P51" i="1"/>
  <c r="Q51" i="1"/>
  <c r="R51" i="1"/>
  <c r="I45" i="1"/>
  <c r="J45" i="1"/>
  <c r="K45" i="1"/>
  <c r="L45" i="1"/>
  <c r="P45" i="1"/>
  <c r="L42" i="1"/>
  <c r="M42" i="1"/>
  <c r="P42" i="1"/>
  <c r="J35" i="1"/>
  <c r="K35" i="1"/>
  <c r="L50" i="1"/>
  <c r="M50" i="1"/>
  <c r="P50" i="1"/>
  <c r="K116" i="1"/>
  <c r="R116" i="1"/>
  <c r="K99" i="1"/>
  <c r="L99" i="1"/>
  <c r="K98" i="1"/>
  <c r="O98" i="1"/>
  <c r="P98" i="1"/>
  <c r="I97" i="1"/>
  <c r="Q97" i="1"/>
  <c r="J97" i="1"/>
  <c r="R97" i="1"/>
  <c r="K96" i="1"/>
  <c r="L96" i="1"/>
  <c r="M96" i="1"/>
  <c r="N56" i="1"/>
  <c r="O56" i="1"/>
  <c r="N16" i="1"/>
  <c r="O16" i="1"/>
  <c r="I9" i="1"/>
  <c r="J9" i="1"/>
  <c r="L9" i="1"/>
  <c r="Q9" i="1"/>
  <c r="I4" i="1"/>
  <c r="K4" i="1"/>
  <c r="L4" i="1"/>
  <c r="O4" i="1"/>
  <c r="J74" i="1"/>
  <c r="J67" i="1"/>
  <c r="J66" i="1"/>
  <c r="N64" i="1"/>
  <c r="L62" i="1"/>
  <c r="L60" i="1"/>
  <c r="J59" i="1"/>
  <c r="J57" i="1"/>
  <c r="I53" i="1"/>
  <c r="K52" i="1"/>
  <c r="R43" i="1"/>
  <c r="L38" i="1"/>
  <c r="P34" i="1"/>
  <c r="I33" i="1"/>
  <c r="J29" i="1"/>
  <c r="L28" i="1"/>
  <c r="I25" i="1"/>
  <c r="I21" i="1"/>
  <c r="K20" i="1"/>
  <c r="J17" i="1"/>
  <c r="L13" i="1"/>
  <c r="K7" i="1"/>
  <c r="O78" i="1"/>
  <c r="O74" i="1"/>
  <c r="R66" i="1"/>
  <c r="P53" i="1"/>
  <c r="P52" i="1"/>
  <c r="R33" i="1"/>
  <c r="R25" i="1"/>
  <c r="P21" i="1"/>
  <c r="P20" i="1"/>
  <c r="R92" i="1"/>
  <c r="P90" i="1"/>
  <c r="R85" i="1"/>
  <c r="P80" i="1"/>
  <c r="M78" i="1"/>
  <c r="L75" i="1"/>
  <c r="N74" i="1"/>
  <c r="K71" i="1"/>
  <c r="K69" i="1"/>
  <c r="P66" i="1"/>
  <c r="P60" i="1"/>
  <c r="R59" i="1"/>
  <c r="O53" i="1"/>
  <c r="O52" i="1"/>
  <c r="Q33" i="1"/>
  <c r="N32" i="1"/>
  <c r="P29" i="1"/>
  <c r="P28" i="1"/>
  <c r="Q25" i="1"/>
  <c r="N24" i="1"/>
  <c r="O21" i="1"/>
  <c r="O20" i="1"/>
  <c r="R17" i="1"/>
  <c r="O90" i="1"/>
  <c r="N80" i="1"/>
  <c r="L78" i="1"/>
  <c r="K75" i="1"/>
  <c r="J71" i="1"/>
  <c r="J69" i="1"/>
  <c r="Q67" i="1"/>
  <c r="P62" i="1"/>
  <c r="Q7" i="1"/>
  <c r="M396" i="1"/>
  <c r="M390" i="1"/>
  <c r="M386" i="1"/>
  <c r="M378" i="1"/>
  <c r="M374" i="1"/>
  <c r="P255" i="1"/>
  <c r="I255" i="1"/>
  <c r="Q255" i="1"/>
  <c r="J255" i="1"/>
  <c r="R255" i="1"/>
  <c r="K255" i="1"/>
  <c r="M245" i="1"/>
  <c r="P245" i="1"/>
  <c r="I245" i="1"/>
  <c r="Q245" i="1"/>
  <c r="J245" i="1"/>
  <c r="R245" i="1"/>
  <c r="K245" i="1"/>
  <c r="M229" i="1"/>
  <c r="P229" i="1"/>
  <c r="I229" i="1"/>
  <c r="Q229" i="1"/>
  <c r="J229" i="1"/>
  <c r="R229" i="1"/>
  <c r="K229" i="1"/>
  <c r="K200" i="1"/>
  <c r="Q200" i="1"/>
  <c r="I200" i="1"/>
  <c r="R200" i="1"/>
  <c r="J200" i="1"/>
  <c r="L200" i="1"/>
  <c r="M200" i="1"/>
  <c r="N200" i="1"/>
  <c r="O200" i="1"/>
  <c r="K184" i="1"/>
  <c r="Q184" i="1"/>
  <c r="I184" i="1"/>
  <c r="R184" i="1"/>
  <c r="J184" i="1"/>
  <c r="L184" i="1"/>
  <c r="M184" i="1"/>
  <c r="N184" i="1"/>
  <c r="O184" i="1"/>
  <c r="M231" i="1"/>
  <c r="P231" i="1"/>
  <c r="I231" i="1"/>
  <c r="Q231" i="1"/>
  <c r="J231" i="1"/>
  <c r="R231" i="1"/>
  <c r="K231" i="1"/>
  <c r="M392" i="1"/>
  <c r="M388" i="1"/>
  <c r="M382" i="1"/>
  <c r="M380" i="1"/>
  <c r="M376" i="1"/>
  <c r="M370" i="1"/>
  <c r="L390" i="1"/>
  <c r="L386" i="1"/>
  <c r="L384" i="1"/>
  <c r="L382" i="1"/>
  <c r="L380" i="1"/>
  <c r="L378" i="1"/>
  <c r="L376" i="1"/>
  <c r="L374" i="1"/>
  <c r="L372" i="1"/>
  <c r="L370" i="1"/>
  <c r="L368" i="1"/>
  <c r="L366" i="1"/>
  <c r="L364" i="1"/>
  <c r="L362" i="1"/>
  <c r="L360" i="1"/>
  <c r="L358" i="1"/>
  <c r="L356" i="1"/>
  <c r="L354" i="1"/>
  <c r="L352" i="1"/>
  <c r="L350" i="1"/>
  <c r="L348" i="1"/>
  <c r="L346" i="1"/>
  <c r="L344" i="1"/>
  <c r="L342" i="1"/>
  <c r="L340" i="1"/>
  <c r="L338" i="1"/>
  <c r="L336" i="1"/>
  <c r="L334" i="1"/>
  <c r="L332" i="1"/>
  <c r="L330" i="1"/>
  <c r="L328" i="1"/>
  <c r="L326" i="1"/>
  <c r="L324" i="1"/>
  <c r="L322" i="1"/>
  <c r="L320" i="1"/>
  <c r="L318" i="1"/>
  <c r="L316" i="1"/>
  <c r="L314" i="1"/>
  <c r="L312" i="1"/>
  <c r="L310" i="1"/>
  <c r="L308" i="1"/>
  <c r="L306" i="1"/>
  <c r="L304" i="1"/>
  <c r="L302" i="1"/>
  <c r="L300" i="1"/>
  <c r="L298" i="1"/>
  <c r="L296" i="1"/>
  <c r="L294" i="1"/>
  <c r="L292" i="1"/>
  <c r="L290" i="1"/>
  <c r="L288" i="1"/>
  <c r="L286" i="1"/>
  <c r="L284" i="1"/>
  <c r="L282" i="1"/>
  <c r="L280" i="1"/>
  <c r="L278" i="1"/>
  <c r="L276" i="1"/>
  <c r="L274" i="1"/>
  <c r="N271" i="1"/>
  <c r="N267" i="1"/>
  <c r="N263" i="1"/>
  <c r="M259" i="1"/>
  <c r="O257" i="1"/>
  <c r="M251" i="1"/>
  <c r="O249" i="1"/>
  <c r="M243" i="1"/>
  <c r="P243" i="1"/>
  <c r="I243" i="1"/>
  <c r="Q243" i="1"/>
  <c r="J243" i="1"/>
  <c r="R243" i="1"/>
  <c r="K243" i="1"/>
  <c r="N237" i="1"/>
  <c r="O235" i="1"/>
  <c r="M227" i="1"/>
  <c r="P227" i="1"/>
  <c r="I227" i="1"/>
  <c r="Q227" i="1"/>
  <c r="J227" i="1"/>
  <c r="R227" i="1"/>
  <c r="K227" i="1"/>
  <c r="N221" i="1"/>
  <c r="O219" i="1"/>
  <c r="M247" i="1"/>
  <c r="P247" i="1"/>
  <c r="I247" i="1"/>
  <c r="Q247" i="1"/>
  <c r="J247" i="1"/>
  <c r="R247" i="1"/>
  <c r="K247" i="1"/>
  <c r="M39" i="1"/>
  <c r="N39" i="1"/>
  <c r="O39" i="1"/>
  <c r="R39" i="1"/>
  <c r="I39" i="1"/>
  <c r="J39" i="1"/>
  <c r="K39" i="1"/>
  <c r="L39" i="1"/>
  <c r="P39" i="1"/>
  <c r="Q39" i="1"/>
  <c r="M394" i="1"/>
  <c r="M384" i="1"/>
  <c r="M372" i="1"/>
  <c r="M368" i="1"/>
  <c r="L396" i="1"/>
  <c r="L394" i="1"/>
  <c r="L392" i="1"/>
  <c r="L388" i="1"/>
  <c r="K396" i="1"/>
  <c r="K394" i="1"/>
  <c r="K392" i="1"/>
  <c r="K390" i="1"/>
  <c r="K388" i="1"/>
  <c r="K386" i="1"/>
  <c r="K384" i="1"/>
  <c r="K382" i="1"/>
  <c r="K380" i="1"/>
  <c r="K378" i="1"/>
  <c r="K376" i="1"/>
  <c r="K374" i="1"/>
  <c r="K372" i="1"/>
  <c r="K370" i="1"/>
  <c r="K368" i="1"/>
  <c r="K366" i="1"/>
  <c r="K364" i="1"/>
  <c r="K362" i="1"/>
  <c r="K360" i="1"/>
  <c r="K358" i="1"/>
  <c r="K356" i="1"/>
  <c r="K354" i="1"/>
  <c r="K352" i="1"/>
  <c r="K350" i="1"/>
  <c r="K348" i="1"/>
  <c r="K346" i="1"/>
  <c r="K344" i="1"/>
  <c r="K342" i="1"/>
  <c r="K340" i="1"/>
  <c r="K338" i="1"/>
  <c r="K336" i="1"/>
  <c r="K334" i="1"/>
  <c r="K332" i="1"/>
  <c r="K330" i="1"/>
  <c r="K328" i="1"/>
  <c r="K326" i="1"/>
  <c r="K324" i="1"/>
  <c r="K322" i="1"/>
  <c r="K320" i="1"/>
  <c r="K318" i="1"/>
  <c r="K316" i="1"/>
  <c r="K314" i="1"/>
  <c r="K312" i="1"/>
  <c r="K310" i="1"/>
  <c r="K308" i="1"/>
  <c r="K306" i="1"/>
  <c r="K304" i="1"/>
  <c r="K302" i="1"/>
  <c r="K300" i="1"/>
  <c r="K298" i="1"/>
  <c r="K296" i="1"/>
  <c r="K294" i="1"/>
  <c r="K292" i="1"/>
  <c r="K290" i="1"/>
  <c r="K288" i="1"/>
  <c r="K286" i="1"/>
  <c r="K284" i="1"/>
  <c r="K282" i="1"/>
  <c r="K280" i="1"/>
  <c r="K278" i="1"/>
  <c r="K276" i="1"/>
  <c r="K274" i="1"/>
  <c r="M271" i="1"/>
  <c r="P269" i="1"/>
  <c r="I269" i="1"/>
  <c r="Q269" i="1"/>
  <c r="K269" i="1"/>
  <c r="M267" i="1"/>
  <c r="P265" i="1"/>
  <c r="I265" i="1"/>
  <c r="Q265" i="1"/>
  <c r="K265" i="1"/>
  <c r="M263" i="1"/>
  <c r="P261" i="1"/>
  <c r="I261" i="1"/>
  <c r="Q261" i="1"/>
  <c r="K261" i="1"/>
  <c r="N257" i="1"/>
  <c r="P253" i="1"/>
  <c r="I253" i="1"/>
  <c r="Q253" i="1"/>
  <c r="J253" i="1"/>
  <c r="R253" i="1"/>
  <c r="K253" i="1"/>
  <c r="N249" i="1"/>
  <c r="M241" i="1"/>
  <c r="P241" i="1"/>
  <c r="I241" i="1"/>
  <c r="Q241" i="1"/>
  <c r="J241" i="1"/>
  <c r="R241" i="1"/>
  <c r="K241" i="1"/>
  <c r="N235" i="1"/>
  <c r="O233" i="1"/>
  <c r="M225" i="1"/>
  <c r="P225" i="1"/>
  <c r="I225" i="1"/>
  <c r="Q225" i="1"/>
  <c r="J225" i="1"/>
  <c r="R225" i="1"/>
  <c r="K225" i="1"/>
  <c r="N219" i="1"/>
  <c r="O217" i="1"/>
  <c r="O255" i="1"/>
  <c r="O247" i="1"/>
  <c r="M239" i="1"/>
  <c r="P239" i="1"/>
  <c r="I239" i="1"/>
  <c r="Q239" i="1"/>
  <c r="J239" i="1"/>
  <c r="R239" i="1"/>
  <c r="K239" i="1"/>
  <c r="O231" i="1"/>
  <c r="M223" i="1"/>
  <c r="P223" i="1"/>
  <c r="I223" i="1"/>
  <c r="Q223" i="1"/>
  <c r="J223" i="1"/>
  <c r="R223" i="1"/>
  <c r="K223" i="1"/>
  <c r="Q396" i="1"/>
  <c r="Q394" i="1"/>
  <c r="Q392" i="1"/>
  <c r="Q390" i="1"/>
  <c r="Q388" i="1"/>
  <c r="Q386" i="1"/>
  <c r="Q384" i="1"/>
  <c r="Q382" i="1"/>
  <c r="Q380" i="1"/>
  <c r="Q378" i="1"/>
  <c r="Q376" i="1"/>
  <c r="Q374" i="1"/>
  <c r="Q372" i="1"/>
  <c r="Q370" i="1"/>
  <c r="Q368" i="1"/>
  <c r="Q366" i="1"/>
  <c r="Q364" i="1"/>
  <c r="Q362" i="1"/>
  <c r="Q360" i="1"/>
  <c r="Q358" i="1"/>
  <c r="Q356" i="1"/>
  <c r="Q354" i="1"/>
  <c r="Q352" i="1"/>
  <c r="Q350" i="1"/>
  <c r="Q348" i="1"/>
  <c r="Q346" i="1"/>
  <c r="Q344" i="1"/>
  <c r="Q342" i="1"/>
  <c r="Q340" i="1"/>
  <c r="Q338" i="1"/>
  <c r="Q336" i="1"/>
  <c r="Q334" i="1"/>
  <c r="Q332" i="1"/>
  <c r="Q330" i="1"/>
  <c r="Q328" i="1"/>
  <c r="Q326" i="1"/>
  <c r="Q324" i="1"/>
  <c r="Q322" i="1"/>
  <c r="Q320" i="1"/>
  <c r="Q318" i="1"/>
  <c r="Q316" i="1"/>
  <c r="Q314" i="1"/>
  <c r="Q312" i="1"/>
  <c r="Q310" i="1"/>
  <c r="Q308" i="1"/>
  <c r="Q306" i="1"/>
  <c r="Q304" i="1"/>
  <c r="Q302" i="1"/>
  <c r="Q300" i="1"/>
  <c r="Q298" i="1"/>
  <c r="Q296" i="1"/>
  <c r="Q294" i="1"/>
  <c r="Q292" i="1"/>
  <c r="Q290" i="1"/>
  <c r="Q288" i="1"/>
  <c r="Q286" i="1"/>
  <c r="Q284" i="1"/>
  <c r="Q282" i="1"/>
  <c r="Q280" i="1"/>
  <c r="Q278" i="1"/>
  <c r="Q276" i="1"/>
  <c r="Q274" i="1"/>
  <c r="P259" i="1"/>
  <c r="I259" i="1"/>
  <c r="Q259" i="1"/>
  <c r="J259" i="1"/>
  <c r="R259" i="1"/>
  <c r="K259" i="1"/>
  <c r="N255" i="1"/>
  <c r="P251" i="1"/>
  <c r="I251" i="1"/>
  <c r="Q251" i="1"/>
  <c r="J251" i="1"/>
  <c r="R251" i="1"/>
  <c r="K251" i="1"/>
  <c r="N247" i="1"/>
  <c r="O245" i="1"/>
  <c r="M237" i="1"/>
  <c r="P237" i="1"/>
  <c r="I237" i="1"/>
  <c r="Q237" i="1"/>
  <c r="J237" i="1"/>
  <c r="R237" i="1"/>
  <c r="K237" i="1"/>
  <c r="N231" i="1"/>
  <c r="O229" i="1"/>
  <c r="M221" i="1"/>
  <c r="P221" i="1"/>
  <c r="I221" i="1"/>
  <c r="Q221" i="1"/>
  <c r="J221" i="1"/>
  <c r="R221" i="1"/>
  <c r="K221" i="1"/>
  <c r="M255" i="1"/>
  <c r="L247" i="1"/>
  <c r="N245" i="1"/>
  <c r="M235" i="1"/>
  <c r="P235" i="1"/>
  <c r="I235" i="1"/>
  <c r="Q235" i="1"/>
  <c r="J235" i="1"/>
  <c r="R235" i="1"/>
  <c r="K235" i="1"/>
  <c r="L231" i="1"/>
  <c r="M219" i="1"/>
  <c r="P219" i="1"/>
  <c r="I219" i="1"/>
  <c r="Q219" i="1"/>
  <c r="J219" i="1"/>
  <c r="R219" i="1"/>
  <c r="K219" i="1"/>
  <c r="I271" i="1"/>
  <c r="Q271" i="1"/>
  <c r="K271" i="1"/>
  <c r="P267" i="1"/>
  <c r="I267" i="1"/>
  <c r="Q267" i="1"/>
  <c r="K267" i="1"/>
  <c r="P263" i="1"/>
  <c r="I263" i="1"/>
  <c r="Q263" i="1"/>
  <c r="K263" i="1"/>
  <c r="P257" i="1"/>
  <c r="I257" i="1"/>
  <c r="Q257" i="1"/>
  <c r="J257" i="1"/>
  <c r="R257" i="1"/>
  <c r="K257" i="1"/>
  <c r="L255" i="1"/>
  <c r="P249" i="1"/>
  <c r="I249" i="1"/>
  <c r="Q249" i="1"/>
  <c r="J249" i="1"/>
  <c r="R249" i="1"/>
  <c r="K249" i="1"/>
  <c r="L245" i="1"/>
  <c r="M233" i="1"/>
  <c r="P233" i="1"/>
  <c r="I233" i="1"/>
  <c r="Q233" i="1"/>
  <c r="J233" i="1"/>
  <c r="R233" i="1"/>
  <c r="K233" i="1"/>
  <c r="L229" i="1"/>
  <c r="M217" i="1"/>
  <c r="P217" i="1"/>
  <c r="I217" i="1"/>
  <c r="Q217" i="1"/>
  <c r="J217" i="1"/>
  <c r="R217" i="1"/>
  <c r="K217" i="1"/>
  <c r="P200" i="1"/>
  <c r="P184" i="1"/>
  <c r="K215" i="1"/>
  <c r="K213" i="1"/>
  <c r="K211" i="1"/>
  <c r="K209" i="1"/>
  <c r="K207" i="1"/>
  <c r="K205" i="1"/>
  <c r="K203" i="1"/>
  <c r="N198" i="1"/>
  <c r="M196" i="1"/>
  <c r="L194" i="1"/>
  <c r="J192" i="1"/>
  <c r="R190" i="1"/>
  <c r="I190" i="1"/>
  <c r="Q188" i="1"/>
  <c r="N182" i="1"/>
  <c r="L180" i="1"/>
  <c r="K176" i="1"/>
  <c r="N176" i="1"/>
  <c r="O174" i="1"/>
  <c r="L172" i="1"/>
  <c r="K168" i="1"/>
  <c r="N168" i="1"/>
  <c r="O166" i="1"/>
  <c r="I76" i="1"/>
  <c r="Q76" i="1"/>
  <c r="R76" i="1"/>
  <c r="J76" i="1"/>
  <c r="K76" i="1"/>
  <c r="L76" i="1"/>
  <c r="M76" i="1"/>
  <c r="N76" i="1"/>
  <c r="O76" i="1"/>
  <c r="I22" i="1"/>
  <c r="Q22" i="1"/>
  <c r="J22" i="1"/>
  <c r="R22" i="1"/>
  <c r="O22" i="1"/>
  <c r="K22" i="1"/>
  <c r="L22" i="1"/>
  <c r="M22" i="1"/>
  <c r="N22" i="1"/>
  <c r="P22" i="1"/>
  <c r="R215" i="1"/>
  <c r="J215" i="1"/>
  <c r="R213" i="1"/>
  <c r="J213" i="1"/>
  <c r="R211" i="1"/>
  <c r="J211" i="1"/>
  <c r="R209" i="1"/>
  <c r="J209" i="1"/>
  <c r="R207" i="1"/>
  <c r="J207" i="1"/>
  <c r="R205" i="1"/>
  <c r="J205" i="1"/>
  <c r="R203" i="1"/>
  <c r="J203" i="1"/>
  <c r="L196" i="1"/>
  <c r="J194" i="1"/>
  <c r="J180" i="1"/>
  <c r="J172" i="1"/>
  <c r="M166" i="1"/>
  <c r="Q215" i="1"/>
  <c r="I215" i="1"/>
  <c r="Q213" i="1"/>
  <c r="I213" i="1"/>
  <c r="Q211" i="1"/>
  <c r="I211" i="1"/>
  <c r="Q209" i="1"/>
  <c r="I209" i="1"/>
  <c r="Q207" i="1"/>
  <c r="I207" i="1"/>
  <c r="Q205" i="1"/>
  <c r="I205" i="1"/>
  <c r="Q203" i="1"/>
  <c r="I203" i="1"/>
  <c r="L198" i="1"/>
  <c r="J196" i="1"/>
  <c r="R194" i="1"/>
  <c r="I194" i="1"/>
  <c r="O188" i="1"/>
  <c r="L182" i="1"/>
  <c r="I180" i="1"/>
  <c r="K178" i="1"/>
  <c r="N178" i="1"/>
  <c r="L174" i="1"/>
  <c r="I172" i="1"/>
  <c r="K170" i="1"/>
  <c r="N170" i="1"/>
  <c r="L166" i="1"/>
  <c r="P215" i="1"/>
  <c r="P213" i="1"/>
  <c r="P211" i="1"/>
  <c r="P209" i="1"/>
  <c r="P207" i="1"/>
  <c r="P205" i="1"/>
  <c r="P203" i="1"/>
  <c r="J198" i="1"/>
  <c r="R196" i="1"/>
  <c r="I196" i="1"/>
  <c r="Q194" i="1"/>
  <c r="O190" i="1"/>
  <c r="N188" i="1"/>
  <c r="J182" i="1"/>
  <c r="P178" i="1"/>
  <c r="P170" i="1"/>
  <c r="Q196" i="1"/>
  <c r="K180" i="1"/>
  <c r="N180" i="1"/>
  <c r="K172" i="1"/>
  <c r="N172" i="1"/>
  <c r="M73" i="1"/>
  <c r="Q73" i="1"/>
  <c r="I73" i="1"/>
  <c r="R73" i="1"/>
  <c r="J73" i="1"/>
  <c r="K73" i="1"/>
  <c r="L73" i="1"/>
  <c r="N73" i="1"/>
  <c r="O73" i="1"/>
  <c r="I58" i="1"/>
  <c r="Q58" i="1"/>
  <c r="J58" i="1"/>
  <c r="R58" i="1"/>
  <c r="K58" i="1"/>
  <c r="L58" i="1"/>
  <c r="M58" i="1"/>
  <c r="N58" i="1"/>
  <c r="O58" i="1"/>
  <c r="P58" i="1"/>
  <c r="M27" i="1"/>
  <c r="N27" i="1"/>
  <c r="I27" i="1"/>
  <c r="L27" i="1"/>
  <c r="O27" i="1"/>
  <c r="J27" i="1"/>
  <c r="K27" i="1"/>
  <c r="P27" i="1"/>
  <c r="Q27" i="1"/>
  <c r="R27" i="1"/>
  <c r="O196" i="1"/>
  <c r="N194" i="1"/>
  <c r="J188" i="1"/>
  <c r="O180" i="1"/>
  <c r="K174" i="1"/>
  <c r="N174" i="1"/>
  <c r="O172" i="1"/>
  <c r="K166" i="1"/>
  <c r="N166" i="1"/>
  <c r="N86" i="1"/>
  <c r="K84" i="1"/>
  <c r="N83" i="1"/>
  <c r="I82" i="1"/>
  <c r="Q82" i="1"/>
  <c r="J81" i="1"/>
  <c r="M80" i="1"/>
  <c r="J78" i="1"/>
  <c r="L77" i="1"/>
  <c r="R75" i="1"/>
  <c r="I75" i="1"/>
  <c r="N70" i="1"/>
  <c r="K68" i="1"/>
  <c r="N67" i="1"/>
  <c r="I66" i="1"/>
  <c r="Q66" i="1"/>
  <c r="J65" i="1"/>
  <c r="M64" i="1"/>
  <c r="J62" i="1"/>
  <c r="L61" i="1"/>
  <c r="M59" i="1"/>
  <c r="N59" i="1"/>
  <c r="I59" i="1"/>
  <c r="M57" i="1"/>
  <c r="N57" i="1"/>
  <c r="K57" i="1"/>
  <c r="P55" i="1"/>
  <c r="M54" i="1"/>
  <c r="Q47" i="1"/>
  <c r="Q43" i="1"/>
  <c r="P38" i="1"/>
  <c r="R35" i="1"/>
  <c r="M34" i="1"/>
  <c r="M31" i="1"/>
  <c r="N31" i="1"/>
  <c r="O31" i="1"/>
  <c r="R31" i="1"/>
  <c r="I31" i="1"/>
  <c r="M19" i="1"/>
  <c r="N19" i="1"/>
  <c r="I19" i="1"/>
  <c r="L19" i="1"/>
  <c r="O19" i="1"/>
  <c r="I14" i="1"/>
  <c r="Q14" i="1"/>
  <c r="J14" i="1"/>
  <c r="R14" i="1"/>
  <c r="O14" i="1"/>
  <c r="K14" i="1"/>
  <c r="N164" i="1"/>
  <c r="N162" i="1"/>
  <c r="N160" i="1"/>
  <c r="N158" i="1"/>
  <c r="N156" i="1"/>
  <c r="N154" i="1"/>
  <c r="N152" i="1"/>
  <c r="N150" i="1"/>
  <c r="N148" i="1"/>
  <c r="N146" i="1"/>
  <c r="N144" i="1"/>
  <c r="N142" i="1"/>
  <c r="N140" i="1"/>
  <c r="N138" i="1"/>
  <c r="N136" i="1"/>
  <c r="N134" i="1"/>
  <c r="N132" i="1"/>
  <c r="N130" i="1"/>
  <c r="N128" i="1"/>
  <c r="N126" i="1"/>
  <c r="N124" i="1"/>
  <c r="N122" i="1"/>
  <c r="N120" i="1"/>
  <c r="N118" i="1"/>
  <c r="N116" i="1"/>
  <c r="N114" i="1"/>
  <c r="N112" i="1"/>
  <c r="N110" i="1"/>
  <c r="N108" i="1"/>
  <c r="N106" i="1"/>
  <c r="N104" i="1"/>
  <c r="N102" i="1"/>
  <c r="N100" i="1"/>
  <c r="N98" i="1"/>
  <c r="N96" i="1"/>
  <c r="N94" i="1"/>
  <c r="N92" i="1"/>
  <c r="N90" i="1"/>
  <c r="N88" i="1"/>
  <c r="M86" i="1"/>
  <c r="J84" i="1"/>
  <c r="L83" i="1"/>
  <c r="O82" i="1"/>
  <c r="R81" i="1"/>
  <c r="I81" i="1"/>
  <c r="L80" i="1"/>
  <c r="O79" i="1"/>
  <c r="K77" i="1"/>
  <c r="Q75" i="1"/>
  <c r="I72" i="1"/>
  <c r="Q72" i="1"/>
  <c r="M70" i="1"/>
  <c r="J68" i="1"/>
  <c r="L67" i="1"/>
  <c r="O66" i="1"/>
  <c r="R65" i="1"/>
  <c r="I65" i="1"/>
  <c r="L64" i="1"/>
  <c r="O63" i="1"/>
  <c r="K61" i="1"/>
  <c r="Q59" i="1"/>
  <c r="Q57" i="1"/>
  <c r="L55" i="1"/>
  <c r="I50" i="1"/>
  <c r="Q50" i="1"/>
  <c r="J50" i="1"/>
  <c r="R50" i="1"/>
  <c r="K50" i="1"/>
  <c r="N50" i="1"/>
  <c r="O50" i="1"/>
  <c r="P47" i="1"/>
  <c r="P43" i="1"/>
  <c r="N38" i="1"/>
  <c r="Q35" i="1"/>
  <c r="P30" i="1"/>
  <c r="M23" i="1"/>
  <c r="N23" i="1"/>
  <c r="O23" i="1"/>
  <c r="R23" i="1"/>
  <c r="I23" i="1"/>
  <c r="P18" i="1"/>
  <c r="M11" i="1"/>
  <c r="N11" i="1"/>
  <c r="I11" i="1"/>
  <c r="L11" i="1"/>
  <c r="O11" i="1"/>
  <c r="L86" i="1"/>
  <c r="K83" i="1"/>
  <c r="Q81" i="1"/>
  <c r="K80" i="1"/>
  <c r="I78" i="1"/>
  <c r="Q78" i="1"/>
  <c r="J77" i="1"/>
  <c r="L70" i="1"/>
  <c r="K67" i="1"/>
  <c r="Q65" i="1"/>
  <c r="K64" i="1"/>
  <c r="I62" i="1"/>
  <c r="Q62" i="1"/>
  <c r="J61" i="1"/>
  <c r="L47" i="1"/>
  <c r="I42" i="1"/>
  <c r="Q42" i="1"/>
  <c r="J42" i="1"/>
  <c r="R42" i="1"/>
  <c r="K42" i="1"/>
  <c r="N42" i="1"/>
  <c r="O42" i="1"/>
  <c r="P35" i="1"/>
  <c r="N30" i="1"/>
  <c r="M15" i="1"/>
  <c r="N15" i="1"/>
  <c r="O15" i="1"/>
  <c r="R15" i="1"/>
  <c r="I15" i="1"/>
  <c r="P10" i="1"/>
  <c r="I84" i="1"/>
  <c r="Q84" i="1"/>
  <c r="I68" i="1"/>
  <c r="Q68" i="1"/>
  <c r="I54" i="1"/>
  <c r="Q54" i="1"/>
  <c r="J54" i="1"/>
  <c r="R54" i="1"/>
  <c r="O54" i="1"/>
  <c r="K54" i="1"/>
  <c r="I34" i="1"/>
  <c r="Q34" i="1"/>
  <c r="J34" i="1"/>
  <c r="R34" i="1"/>
  <c r="K34" i="1"/>
  <c r="N34" i="1"/>
  <c r="O34" i="1"/>
  <c r="L85" i="1"/>
  <c r="O84" i="1"/>
  <c r="R83" i="1"/>
  <c r="I83" i="1"/>
  <c r="L82" i="1"/>
  <c r="O81" i="1"/>
  <c r="K79" i="1"/>
  <c r="N78" i="1"/>
  <c r="Q77" i="1"/>
  <c r="N75" i="1"/>
  <c r="I74" i="1"/>
  <c r="Q74" i="1"/>
  <c r="M72" i="1"/>
  <c r="L69" i="1"/>
  <c r="O68" i="1"/>
  <c r="R67" i="1"/>
  <c r="I67" i="1"/>
  <c r="L66" i="1"/>
  <c r="O65" i="1"/>
  <c r="K63" i="1"/>
  <c r="N62" i="1"/>
  <c r="Q61" i="1"/>
  <c r="L59" i="1"/>
  <c r="L57" i="1"/>
  <c r="M51" i="1"/>
  <c r="N51" i="1"/>
  <c r="I51" i="1"/>
  <c r="L51" i="1"/>
  <c r="O51" i="1"/>
  <c r="I46" i="1"/>
  <c r="Q46" i="1"/>
  <c r="J46" i="1"/>
  <c r="R46" i="1"/>
  <c r="O46" i="1"/>
  <c r="K46" i="1"/>
  <c r="L31" i="1"/>
  <c r="I26" i="1"/>
  <c r="Q26" i="1"/>
  <c r="J26" i="1"/>
  <c r="R26" i="1"/>
  <c r="K26" i="1"/>
  <c r="N26" i="1"/>
  <c r="O26" i="1"/>
  <c r="P23" i="1"/>
  <c r="P19" i="1"/>
  <c r="Q15" i="1"/>
  <c r="N14" i="1"/>
  <c r="Q11" i="1"/>
  <c r="N84" i="1"/>
  <c r="N81" i="1"/>
  <c r="I80" i="1"/>
  <c r="Q80" i="1"/>
  <c r="N68" i="1"/>
  <c r="N65" i="1"/>
  <c r="I64" i="1"/>
  <c r="Q64" i="1"/>
  <c r="M55" i="1"/>
  <c r="N55" i="1"/>
  <c r="O55" i="1"/>
  <c r="R55" i="1"/>
  <c r="I55" i="1"/>
  <c r="M43" i="1"/>
  <c r="N43" i="1"/>
  <c r="I43" i="1"/>
  <c r="L43" i="1"/>
  <c r="O43" i="1"/>
  <c r="I38" i="1"/>
  <c r="Q38" i="1"/>
  <c r="J38" i="1"/>
  <c r="R38" i="1"/>
  <c r="O38" i="1"/>
  <c r="K38" i="1"/>
  <c r="I18" i="1"/>
  <c r="Q18" i="1"/>
  <c r="J18" i="1"/>
  <c r="R18" i="1"/>
  <c r="K18" i="1"/>
  <c r="N18" i="1"/>
  <c r="O18" i="1"/>
  <c r="I86" i="1"/>
  <c r="Q86" i="1"/>
  <c r="M84" i="1"/>
  <c r="L81" i="1"/>
  <c r="O80" i="1"/>
  <c r="O77" i="1"/>
  <c r="I70" i="1"/>
  <c r="Q70" i="1"/>
  <c r="M68" i="1"/>
  <c r="L65" i="1"/>
  <c r="O64" i="1"/>
  <c r="O61" i="1"/>
  <c r="P54" i="1"/>
  <c r="M47" i="1"/>
  <c r="N47" i="1"/>
  <c r="O47" i="1"/>
  <c r="R47" i="1"/>
  <c r="I47" i="1"/>
  <c r="M35" i="1"/>
  <c r="N35" i="1"/>
  <c r="I35" i="1"/>
  <c r="L35" i="1"/>
  <c r="O35" i="1"/>
  <c r="I30" i="1"/>
  <c r="Q30" i="1"/>
  <c r="J30" i="1"/>
  <c r="R30" i="1"/>
  <c r="O30" i="1"/>
  <c r="K30" i="1"/>
  <c r="I10" i="1"/>
  <c r="Q10" i="1"/>
  <c r="J10" i="1"/>
  <c r="R10" i="1"/>
  <c r="K10" i="1"/>
  <c r="N10" i="1"/>
  <c r="O10" i="1"/>
  <c r="I56" i="1"/>
  <c r="Q56" i="1"/>
  <c r="J56" i="1"/>
  <c r="R56" i="1"/>
  <c r="M49" i="1"/>
  <c r="N49" i="1"/>
  <c r="I48" i="1"/>
  <c r="Q48" i="1"/>
  <c r="J48" i="1"/>
  <c r="R48" i="1"/>
  <c r="M41" i="1"/>
  <c r="N41" i="1"/>
  <c r="I40" i="1"/>
  <c r="Q40" i="1"/>
  <c r="J40" i="1"/>
  <c r="R40" i="1"/>
  <c r="M33" i="1"/>
  <c r="N33" i="1"/>
  <c r="I32" i="1"/>
  <c r="Q32" i="1"/>
  <c r="J32" i="1"/>
  <c r="R32" i="1"/>
  <c r="M25" i="1"/>
  <c r="N25" i="1"/>
  <c r="I24" i="1"/>
  <c r="Q24" i="1"/>
  <c r="J24" i="1"/>
  <c r="R24" i="1"/>
  <c r="M17" i="1"/>
  <c r="N17" i="1"/>
  <c r="I16" i="1"/>
  <c r="Q16" i="1"/>
  <c r="J16" i="1"/>
  <c r="R16" i="1"/>
  <c r="M9" i="1"/>
  <c r="N9" i="1"/>
  <c r="I8" i="1"/>
  <c r="Q8" i="1"/>
  <c r="J8" i="1"/>
  <c r="R8" i="1"/>
  <c r="I7" i="1"/>
  <c r="P56" i="1"/>
  <c r="P49" i="1"/>
  <c r="P48" i="1"/>
  <c r="P41" i="1"/>
  <c r="P40" i="1"/>
  <c r="P33" i="1"/>
  <c r="P32" i="1"/>
  <c r="P25" i="1"/>
  <c r="P24" i="1"/>
  <c r="P17" i="1"/>
  <c r="P16" i="1"/>
  <c r="P9" i="1"/>
  <c r="P8" i="1"/>
  <c r="M7" i="1"/>
  <c r="N7" i="1"/>
  <c r="I60" i="1"/>
  <c r="J60" i="1"/>
  <c r="M56" i="1"/>
  <c r="M53" i="1"/>
  <c r="N53" i="1"/>
  <c r="I52" i="1"/>
  <c r="Q52" i="1"/>
  <c r="J52" i="1"/>
  <c r="R52" i="1"/>
  <c r="K49" i="1"/>
  <c r="M48" i="1"/>
  <c r="M45" i="1"/>
  <c r="N45" i="1"/>
  <c r="I44" i="1"/>
  <c r="Q44" i="1"/>
  <c r="J44" i="1"/>
  <c r="R44" i="1"/>
  <c r="K41" i="1"/>
  <c r="M40" i="1"/>
  <c r="M37" i="1"/>
  <c r="N37" i="1"/>
  <c r="I36" i="1"/>
  <c r="Q36" i="1"/>
  <c r="J36" i="1"/>
  <c r="R36" i="1"/>
  <c r="K33" i="1"/>
  <c r="M32" i="1"/>
  <c r="M29" i="1"/>
  <c r="N29" i="1"/>
  <c r="I28" i="1"/>
  <c r="Q28" i="1"/>
  <c r="J28" i="1"/>
  <c r="R28" i="1"/>
  <c r="K25" i="1"/>
  <c r="M24" i="1"/>
  <c r="M21" i="1"/>
  <c r="N21" i="1"/>
  <c r="I20" i="1"/>
  <c r="Q20" i="1"/>
  <c r="J20" i="1"/>
  <c r="R20" i="1"/>
  <c r="K17" i="1"/>
  <c r="M16" i="1"/>
  <c r="M13" i="1"/>
  <c r="N13" i="1"/>
  <c r="I12" i="1"/>
  <c r="Q12" i="1"/>
  <c r="J12" i="1"/>
  <c r="R12" i="1"/>
  <c r="K9" i="1"/>
  <c r="M8" i="1"/>
  <c r="O7" i="1"/>
  <c r="K5" i="1"/>
  <c r="L5" i="1"/>
  <c r="M5" i="1"/>
  <c r="N5" i="1"/>
  <c r="I5" i="1"/>
  <c r="Q5" i="1"/>
  <c r="J5" i="1"/>
  <c r="R5" i="1"/>
  <c r="R6" i="1"/>
  <c r="R4" i="1"/>
  <c r="J4" i="1"/>
  <c r="Q4" i="1"/>
  <c r="L3" i="1"/>
  <c r="V3" i="3"/>
  <c r="F3" i="3"/>
  <c r="R2" i="1" l="1"/>
  <c r="Q2" i="1"/>
  <c r="P2" i="1"/>
  <c r="O2" i="1"/>
  <c r="N2" i="1"/>
  <c r="M2" i="1"/>
  <c r="L2" i="1"/>
  <c r="K2" i="1"/>
  <c r="J2" i="1"/>
  <c r="I2" i="1"/>
  <c r="F294" i="2"/>
  <c r="H382" i="2"/>
  <c r="E290" i="2"/>
  <c r="I283" i="2"/>
  <c r="J377" i="2"/>
  <c r="G384" i="2"/>
  <c r="F362" i="2"/>
  <c r="F319" i="2"/>
  <c r="G307" i="2"/>
  <c r="G351" i="2"/>
  <c r="G300" i="2"/>
  <c r="G378" i="2"/>
  <c r="F317" i="2"/>
  <c r="H348" i="2"/>
  <c r="H287" i="2"/>
  <c r="H345" i="2"/>
  <c r="H302" i="2"/>
  <c r="E374" i="2"/>
  <c r="I308" i="2"/>
  <c r="J385" i="2"/>
  <c r="E389" i="2"/>
  <c r="I300" i="2"/>
  <c r="F360" i="2"/>
  <c r="H388" i="2"/>
  <c r="G375" i="2"/>
  <c r="I280" i="2"/>
  <c r="G362" i="2"/>
  <c r="J284" i="2"/>
  <c r="G297" i="2"/>
  <c r="G303" i="2"/>
  <c r="G301" i="2"/>
  <c r="G294" i="2"/>
  <c r="H304" i="2"/>
  <c r="F308" i="2"/>
  <c r="J323" i="2"/>
  <c r="F363" i="2"/>
  <c r="E315" i="2"/>
  <c r="G349" i="2"/>
  <c r="I295" i="2"/>
  <c r="J357" i="2"/>
  <c r="H350" i="2"/>
  <c r="I376" i="2"/>
  <c r="G339" i="2"/>
  <c r="F388" i="2"/>
  <c r="I390" i="2"/>
  <c r="G382" i="2"/>
  <c r="E278" i="2"/>
  <c r="E346" i="2"/>
  <c r="I299" i="2"/>
  <c r="G328" i="2"/>
  <c r="G365" i="2"/>
  <c r="J314" i="2"/>
  <c r="I282" i="2"/>
  <c r="E317" i="2"/>
  <c r="F377" i="2"/>
  <c r="E348" i="2"/>
  <c r="I386" i="2"/>
  <c r="J369" i="2"/>
  <c r="F325" i="2"/>
  <c r="J351" i="2"/>
  <c r="F318" i="2"/>
  <c r="H363" i="2"/>
  <c r="J366" i="2"/>
  <c r="J330" i="2"/>
  <c r="H374" i="2"/>
  <c r="F387" i="2"/>
  <c r="E281" i="2"/>
  <c r="J312" i="2"/>
  <c r="G336" i="2"/>
  <c r="H328" i="2"/>
  <c r="I290" i="2"/>
  <c r="F310" i="2"/>
  <c r="G302" i="2"/>
  <c r="E367" i="2"/>
  <c r="I314" i="2"/>
  <c r="E336" i="2"/>
  <c r="G337" i="2"/>
  <c r="E369" i="2"/>
  <c r="G357" i="2"/>
  <c r="J342" i="2"/>
  <c r="G282" i="2"/>
  <c r="G331" i="2"/>
  <c r="F328" i="2"/>
  <c r="H292" i="2"/>
  <c r="H290" i="2"/>
  <c r="G284" i="2"/>
  <c r="H344" i="2"/>
  <c r="H308" i="2"/>
  <c r="I327" i="2"/>
  <c r="G368" i="2"/>
  <c r="F297" i="2"/>
  <c r="J363" i="2"/>
  <c r="E282" i="2"/>
  <c r="G314" i="2"/>
  <c r="E364" i="2"/>
  <c r="F301" i="2"/>
  <c r="I366" i="2"/>
  <c r="F332" i="2"/>
  <c r="H318" i="2"/>
  <c r="F304" i="2"/>
  <c r="F348" i="2"/>
  <c r="J370" i="2"/>
  <c r="H387" i="2"/>
  <c r="J375" i="2"/>
  <c r="I367" i="2"/>
  <c r="H278" i="2"/>
  <c r="J337" i="2"/>
  <c r="G286" i="2"/>
  <c r="E314" i="2"/>
  <c r="I383" i="2"/>
  <c r="H367" i="2"/>
  <c r="H368" i="2"/>
  <c r="J354" i="2"/>
  <c r="I346" i="2"/>
  <c r="E329" i="2"/>
  <c r="F288" i="2"/>
  <c r="F390" i="2"/>
  <c r="F300" i="2"/>
  <c r="H298" i="2"/>
  <c r="G325" i="2"/>
  <c r="J318" i="2"/>
  <c r="G332" i="2"/>
  <c r="F339" i="2"/>
  <c r="E283" i="2"/>
  <c r="G319" i="2"/>
  <c r="I288" i="2"/>
  <c r="F355" i="2"/>
  <c r="J334" i="2"/>
  <c r="G353" i="2"/>
  <c r="F330" i="2"/>
  <c r="J279" i="2"/>
  <c r="I322" i="2"/>
  <c r="E340" i="2"/>
  <c r="F349" i="2"/>
  <c r="I377" i="2"/>
  <c r="J292" i="2"/>
  <c r="H293" i="2"/>
  <c r="H294" i="2"/>
  <c r="I284" i="2"/>
  <c r="H364" i="2"/>
  <c r="J386" i="2"/>
  <c r="I329" i="2"/>
  <c r="E299" i="2"/>
  <c r="H296" i="2"/>
  <c r="F295" i="2"/>
  <c r="E300" i="2"/>
  <c r="F374" i="2"/>
  <c r="F340" i="2"/>
  <c r="H390" i="2"/>
  <c r="F336" i="2"/>
  <c r="J368" i="2"/>
  <c r="E291" i="2"/>
  <c r="G324" i="2"/>
  <c r="E381" i="2"/>
  <c r="G327" i="2"/>
  <c r="E286" i="2"/>
  <c r="E296" i="2"/>
  <c r="G299" i="2"/>
  <c r="I380" i="2"/>
  <c r="J283" i="2"/>
  <c r="I311" i="2"/>
  <c r="J293" i="2"/>
  <c r="H376" i="2"/>
  <c r="E307" i="2"/>
  <c r="F281" i="2"/>
  <c r="F278" i="2"/>
  <c r="I361" i="2"/>
  <c r="I345" i="2"/>
  <c r="H306" i="2"/>
  <c r="F284" i="2"/>
  <c r="E370" i="2"/>
  <c r="G316" i="2"/>
  <c r="J328" i="2"/>
  <c r="I285" i="2"/>
  <c r="H323" i="2"/>
  <c r="J383" i="2"/>
  <c r="G293" i="2"/>
  <c r="E384" i="2"/>
  <c r="G352" i="2"/>
  <c r="I297" i="2"/>
  <c r="E304" i="2"/>
  <c r="J290" i="2"/>
  <c r="I349" i="2"/>
  <c r="E288" i="2"/>
  <c r="I352" i="2"/>
  <c r="J287" i="2"/>
  <c r="H289" i="2"/>
  <c r="E385" i="2"/>
  <c r="J280" i="2"/>
  <c r="J341" i="2"/>
  <c r="F329" i="2"/>
  <c r="J345" i="2"/>
  <c r="F306" i="2"/>
  <c r="I338" i="2"/>
  <c r="E330" i="2"/>
  <c r="E349" i="2"/>
  <c r="E305" i="2"/>
  <c r="I294" i="2"/>
  <c r="H369" i="2"/>
  <c r="E355" i="2"/>
  <c r="E321" i="2"/>
  <c r="F293" i="2"/>
  <c r="J381" i="2"/>
  <c r="E366" i="2"/>
  <c r="E328" i="2"/>
  <c r="F283" i="2"/>
  <c r="J278" i="2"/>
  <c r="F375" i="2"/>
  <c r="H355" i="2"/>
  <c r="F311" i="2"/>
  <c r="J329" i="2"/>
  <c r="J320" i="2"/>
  <c r="F287" i="2"/>
  <c r="J313" i="2"/>
  <c r="H378" i="2"/>
  <c r="J281" i="2"/>
  <c r="J367" i="2"/>
  <c r="F351" i="2"/>
  <c r="I318" i="2"/>
  <c r="E382" i="2"/>
  <c r="E353" i="2"/>
  <c r="H322" i="2"/>
  <c r="F370" i="2"/>
  <c r="H300" i="2"/>
  <c r="F279" i="2"/>
  <c r="H375" i="2"/>
  <c r="G305" i="2"/>
  <c r="I334" i="2"/>
  <c r="I364" i="2"/>
  <c r="H280" i="2"/>
  <c r="J319" i="2"/>
  <c r="G377" i="2"/>
  <c r="E310" i="2"/>
  <c r="J297" i="2"/>
  <c r="I289" i="2"/>
  <c r="I326" i="2"/>
  <c r="H379" i="2"/>
  <c r="I357" i="2"/>
  <c r="H334" i="2"/>
  <c r="E335" i="2"/>
  <c r="J376" i="2"/>
  <c r="G379" i="2"/>
  <c r="J332" i="2"/>
  <c r="J384" i="2"/>
  <c r="E318" i="2"/>
  <c r="G309" i="2"/>
  <c r="G342" i="2"/>
  <c r="J374" i="2"/>
  <c r="F359" i="2"/>
  <c r="F326" i="2"/>
  <c r="G313" i="2"/>
  <c r="E368" i="2"/>
  <c r="G317" i="2"/>
  <c r="I374" i="2"/>
  <c r="G315" i="2"/>
  <c r="I351" i="2"/>
  <c r="H365" i="2"/>
  <c r="H351" i="2"/>
  <c r="G318" i="2"/>
  <c r="E332" i="2"/>
  <c r="E320" i="2"/>
  <c r="E361" i="2"/>
  <c r="H343" i="2"/>
  <c r="E309" i="2"/>
  <c r="G298" i="2"/>
  <c r="G291" i="2"/>
  <c r="I344" i="2"/>
  <c r="G306" i="2"/>
  <c r="H282" i="2"/>
  <c r="I291" i="2"/>
  <c r="I312" i="2"/>
  <c r="E345" i="2"/>
  <c r="G292" i="2"/>
  <c r="E325" i="2"/>
  <c r="I360" i="2"/>
  <c r="G383" i="2"/>
  <c r="H325" i="2"/>
  <c r="J358" i="2"/>
  <c r="I331" i="2"/>
  <c r="F361" i="2"/>
  <c r="E316" i="2"/>
  <c r="E306" i="2"/>
  <c r="G289" i="2"/>
  <c r="I305" i="2"/>
  <c r="F282" i="2"/>
  <c r="G366" i="2"/>
  <c r="E311" i="2"/>
  <c r="I385" i="2"/>
  <c r="I324" i="2"/>
  <c r="J331" i="2"/>
  <c r="F322" i="2"/>
  <c r="F368" i="2"/>
  <c r="J288" i="2"/>
  <c r="F335" i="2"/>
  <c r="G335" i="2"/>
  <c r="I296" i="2"/>
  <c r="J317" i="2"/>
  <c r="E293" i="2"/>
  <c r="J300" i="2"/>
  <c r="I359" i="2"/>
  <c r="E387" i="2"/>
  <c r="J388" i="2"/>
  <c r="I298" i="2"/>
  <c r="I371" i="2"/>
  <c r="E360" i="2"/>
  <c r="I339" i="2"/>
  <c r="G354" i="2"/>
  <c r="I356" i="2"/>
  <c r="J372" i="2"/>
  <c r="I328" i="2"/>
  <c r="I309" i="2"/>
  <c r="E371" i="2"/>
  <c r="G374" i="2"/>
  <c r="G312" i="2"/>
  <c r="F312" i="2"/>
  <c r="I319" i="2"/>
  <c r="E352" i="2"/>
  <c r="G278" i="2"/>
  <c r="H383" i="2"/>
  <c r="G350" i="2"/>
  <c r="J364" i="2"/>
  <c r="F353" i="2"/>
  <c r="E303" i="2"/>
  <c r="H285" i="2"/>
  <c r="J340" i="2"/>
  <c r="I342" i="2"/>
  <c r="E362" i="2"/>
  <c r="F305" i="2"/>
  <c r="F381" i="2"/>
  <c r="J306" i="2"/>
  <c r="E363" i="2"/>
  <c r="E354" i="2"/>
  <c r="J302" i="2"/>
  <c r="J285" i="2"/>
  <c r="J315" i="2"/>
  <c r="E351" i="2"/>
  <c r="E378" i="2"/>
  <c r="F367" i="2"/>
  <c r="E337" i="2"/>
  <c r="G371" i="2"/>
  <c r="F379" i="2"/>
  <c r="J379" i="2"/>
  <c r="G279" i="2"/>
  <c r="G348" i="2"/>
  <c r="I337" i="2"/>
  <c r="I347" i="2"/>
  <c r="G387" i="2"/>
  <c r="F346" i="2"/>
  <c r="J344" i="2"/>
  <c r="J347" i="2"/>
  <c r="E379" i="2"/>
  <c r="H340" i="2"/>
  <c r="G344" i="2"/>
  <c r="J361" i="2"/>
  <c r="F331" i="2"/>
  <c r="J360" i="2"/>
  <c r="F285" i="2"/>
  <c r="H362" i="2"/>
  <c r="I373" i="2"/>
  <c r="J390" i="2"/>
  <c r="I307" i="2"/>
  <c r="J371" i="2"/>
  <c r="E386" i="2"/>
  <c r="F372" i="2"/>
  <c r="E295" i="2"/>
  <c r="G321" i="2"/>
  <c r="H320" i="2"/>
  <c r="I279" i="2"/>
  <c r="H361" i="2"/>
  <c r="H337" i="2"/>
  <c r="F386" i="2"/>
  <c r="G296" i="2"/>
  <c r="F382" i="2"/>
  <c r="E358" i="2"/>
  <c r="J324" i="2"/>
  <c r="E323" i="2"/>
  <c r="I365" i="2"/>
  <c r="H338" i="2"/>
  <c r="I354" i="2"/>
  <c r="E319" i="2"/>
  <c r="I281" i="2"/>
  <c r="E350" i="2"/>
  <c r="J304" i="2"/>
  <c r="F324" i="2"/>
  <c r="E347" i="2"/>
  <c r="H305" i="2"/>
  <c r="J333" i="2"/>
  <c r="I278" i="2"/>
  <c r="I320" i="2"/>
  <c r="F298" i="2"/>
  <c r="G367" i="2"/>
  <c r="G386" i="2"/>
  <c r="F385" i="2"/>
  <c r="H321" i="2"/>
  <c r="G311" i="2"/>
  <c r="G341" i="2"/>
  <c r="H377" i="2"/>
  <c r="J325" i="2"/>
  <c r="H319" i="2"/>
  <c r="G323" i="2"/>
  <c r="G381" i="2"/>
  <c r="E284" i="2"/>
  <c r="J389" i="2"/>
  <c r="F314" i="2"/>
  <c r="J346" i="2"/>
  <c r="J309" i="2"/>
  <c r="H291" i="2"/>
  <c r="E302" i="2"/>
  <c r="I335" i="2"/>
  <c r="G347" i="2"/>
  <c r="F337" i="2"/>
  <c r="G370" i="2"/>
  <c r="G285" i="2"/>
  <c r="E390" i="2"/>
  <c r="I372" i="2"/>
  <c r="H371" i="2"/>
  <c r="I287" i="2"/>
  <c r="E344" i="2"/>
  <c r="J282" i="2"/>
  <c r="I313" i="2"/>
  <c r="J349" i="2"/>
  <c r="I368" i="2"/>
  <c r="G330" i="2"/>
  <c r="H356" i="2"/>
  <c r="J365" i="2"/>
  <c r="I332" i="2"/>
  <c r="I388" i="2"/>
  <c r="G385" i="2"/>
  <c r="E383" i="2"/>
  <c r="J362" i="2"/>
  <c r="F338" i="2"/>
  <c r="H326" i="2"/>
  <c r="I330" i="2"/>
  <c r="H357" i="2"/>
  <c r="H286" i="2"/>
  <c r="E388" i="2"/>
  <c r="E372" i="2"/>
  <c r="E289" i="2"/>
  <c r="G380" i="2"/>
  <c r="H331" i="2"/>
  <c r="E357" i="2"/>
  <c r="H312" i="2"/>
  <c r="J356" i="2"/>
  <c r="G333" i="2"/>
  <c r="G356" i="2"/>
  <c r="F321" i="2"/>
  <c r="I375" i="2"/>
  <c r="J307" i="2"/>
  <c r="G369" i="2"/>
  <c r="I325" i="2"/>
  <c r="E338" i="2"/>
  <c r="I315" i="2"/>
  <c r="E365" i="2"/>
  <c r="E294" i="2"/>
  <c r="E377" i="2"/>
  <c r="G360" i="2"/>
  <c r="H347" i="2"/>
  <c r="F344" i="2"/>
  <c r="J380" i="2"/>
  <c r="J335" i="2"/>
  <c r="J322" i="2"/>
  <c r="E327" i="2"/>
  <c r="G346" i="2"/>
  <c r="H327" i="2"/>
  <c r="E308" i="2"/>
  <c r="F302" i="2"/>
  <c r="I353" i="2"/>
  <c r="J303" i="2"/>
  <c r="I362" i="2"/>
  <c r="I343" i="2"/>
  <c r="F364" i="2"/>
  <c r="G334" i="2"/>
  <c r="G388" i="2"/>
  <c r="J355" i="2"/>
  <c r="E342" i="2"/>
  <c r="J286" i="2"/>
  <c r="E339" i="2"/>
  <c r="H336" i="2"/>
  <c r="J382" i="2"/>
  <c r="J339" i="2"/>
  <c r="G359" i="2"/>
  <c r="F286" i="2"/>
  <c r="F373" i="2"/>
  <c r="F354" i="2"/>
  <c r="E298" i="2"/>
  <c r="E324" i="2"/>
  <c r="H329" i="2"/>
  <c r="J326" i="2"/>
  <c r="H335" i="2"/>
  <c r="H309" i="2"/>
  <c r="H352" i="2"/>
  <c r="I306" i="2"/>
  <c r="I333" i="2"/>
  <c r="E279" i="2"/>
  <c r="H339" i="2"/>
  <c r="I348" i="2"/>
  <c r="E333" i="2"/>
  <c r="F383" i="2"/>
  <c r="F342" i="2"/>
  <c r="H353" i="2"/>
  <c r="F320" i="2"/>
  <c r="F350" i="2"/>
  <c r="E334" i="2"/>
  <c r="H385" i="2"/>
  <c r="F345" i="2"/>
  <c r="E356" i="2"/>
  <c r="I316" i="2"/>
  <c r="G358" i="2"/>
  <c r="H295" i="2"/>
  <c r="E280" i="2"/>
  <c r="H333" i="2"/>
  <c r="E376" i="2"/>
  <c r="H370" i="2"/>
  <c r="G308" i="2"/>
  <c r="G355" i="2"/>
  <c r="E312" i="2"/>
  <c r="H307" i="2"/>
  <c r="F299" i="2"/>
  <c r="F384" i="2"/>
  <c r="G295" i="2"/>
  <c r="F316" i="2"/>
  <c r="I389" i="2"/>
  <c r="G322" i="2"/>
  <c r="H380" i="2"/>
  <c r="J321" i="2"/>
  <c r="F315" i="2"/>
  <c r="G281" i="2"/>
  <c r="I323" i="2"/>
  <c r="H316" i="2"/>
  <c r="I369" i="2"/>
  <c r="E331" i="2"/>
  <c r="H332" i="2"/>
  <c r="G338" i="2"/>
  <c r="I379" i="2"/>
  <c r="J316" i="2"/>
  <c r="H301" i="2"/>
  <c r="I355" i="2"/>
  <c r="G283" i="2"/>
  <c r="F358" i="2"/>
  <c r="J373" i="2"/>
  <c r="J350" i="2"/>
  <c r="J387" i="2"/>
  <c r="G390" i="2"/>
  <c r="H303" i="2"/>
  <c r="G304" i="2"/>
  <c r="H346" i="2"/>
  <c r="G376" i="2"/>
  <c r="E343" i="2"/>
  <c r="G287" i="2"/>
  <c r="G290" i="2"/>
  <c r="J310" i="2"/>
  <c r="H386" i="2"/>
  <c r="H317" i="2"/>
  <c r="F292" i="2"/>
  <c r="J352" i="2"/>
  <c r="E285" i="2"/>
  <c r="I387" i="2"/>
  <c r="F356" i="2"/>
  <c r="H315" i="2"/>
  <c r="H314" i="2"/>
  <c r="F341" i="2"/>
  <c r="H299" i="2"/>
  <c r="F323" i="2"/>
  <c r="H354" i="2"/>
  <c r="F378" i="2"/>
  <c r="J295" i="2"/>
  <c r="H358" i="2"/>
  <c r="F307" i="2"/>
  <c r="J311" i="2"/>
  <c r="J348" i="2"/>
  <c r="G372" i="2"/>
  <c r="F333" i="2"/>
  <c r="I378" i="2"/>
  <c r="F334" i="2"/>
  <c r="H381" i="2"/>
  <c r="H372" i="2"/>
  <c r="F280" i="2"/>
  <c r="H313" i="2"/>
  <c r="I321" i="2"/>
  <c r="I381" i="2"/>
  <c r="J338" i="2"/>
  <c r="H359" i="2"/>
  <c r="H288" i="2"/>
  <c r="G326" i="2"/>
  <c r="J289" i="2"/>
  <c r="I341" i="2"/>
  <c r="F303" i="2"/>
  <c r="J359" i="2"/>
  <c r="H366" i="2"/>
  <c r="J296" i="2"/>
  <c r="F380" i="2"/>
  <c r="H311" i="2"/>
  <c r="F369" i="2"/>
  <c r="G345" i="2"/>
  <c r="G340" i="2"/>
  <c r="H281" i="2"/>
  <c r="I301" i="2"/>
  <c r="G389" i="2"/>
  <c r="I310" i="2"/>
  <c r="I303" i="2"/>
  <c r="I317" i="2"/>
  <c r="F371" i="2"/>
  <c r="J299" i="2"/>
  <c r="H330" i="2"/>
  <c r="H324" i="2"/>
  <c r="H297" i="2"/>
  <c r="E341" i="2"/>
  <c r="G364" i="2"/>
  <c r="I370" i="2"/>
  <c r="J343" i="2"/>
  <c r="F347" i="2"/>
  <c r="F290" i="2"/>
  <c r="J308" i="2"/>
  <c r="H389" i="2"/>
  <c r="E313" i="2"/>
  <c r="E301" i="2"/>
  <c r="J378" i="2"/>
  <c r="E292" i="2"/>
  <c r="F365" i="2"/>
  <c r="H342" i="2"/>
  <c r="F366" i="2"/>
  <c r="J301" i="2"/>
  <c r="J305" i="2"/>
  <c r="F389" i="2"/>
  <c r="F313" i="2"/>
  <c r="H384" i="2"/>
  <c r="I358" i="2"/>
  <c r="G310" i="2"/>
  <c r="H360" i="2"/>
  <c r="H310" i="2"/>
  <c r="I302" i="2"/>
  <c r="F296" i="2"/>
  <c r="J336" i="2"/>
  <c r="J294" i="2"/>
  <c r="I336" i="2"/>
  <c r="G329" i="2"/>
  <c r="H284" i="2"/>
  <c r="F291" i="2"/>
  <c r="J298" i="2"/>
  <c r="I304" i="2"/>
  <c r="J327" i="2"/>
  <c r="J291" i="2"/>
  <c r="G343" i="2"/>
  <c r="F343" i="2"/>
  <c r="E287" i="2"/>
  <c r="H283" i="2"/>
  <c r="H373" i="2"/>
  <c r="E322" i="2"/>
  <c r="F289" i="2"/>
  <c r="G288" i="2"/>
  <c r="G280" i="2"/>
  <c r="H349" i="2"/>
  <c r="F327" i="2"/>
  <c r="E375" i="2"/>
  <c r="E380" i="2"/>
  <c r="E297" i="2"/>
  <c r="G373" i="2"/>
  <c r="E359" i="2"/>
  <c r="E326" i="2"/>
  <c r="I340" i="2"/>
  <c r="H279" i="2"/>
  <c r="I292" i="2"/>
  <c r="I293" i="2"/>
  <c r="F376" i="2"/>
  <c r="I384" i="2"/>
  <c r="I363" i="2"/>
  <c r="F352" i="2"/>
  <c r="G363" i="2"/>
  <c r="I382" i="2"/>
  <c r="E373" i="2"/>
  <c r="F357" i="2"/>
  <c r="F309" i="2"/>
  <c r="J353" i="2"/>
  <c r="I286" i="2"/>
  <c r="H341" i="2"/>
  <c r="I350" i="2"/>
  <c r="G320" i="2"/>
  <c r="G361" i="2"/>
  <c r="F97" i="2"/>
  <c r="G114" i="2"/>
  <c r="G79" i="2"/>
  <c r="H62" i="2"/>
  <c r="F106" i="2"/>
  <c r="G158" i="2"/>
  <c r="G234" i="2"/>
  <c r="F276" i="2"/>
  <c r="F144" i="2"/>
  <c r="F3" i="2"/>
  <c r="I51" i="2"/>
  <c r="H35" i="2"/>
  <c r="F15" i="2"/>
  <c r="H12" i="2"/>
  <c r="G273" i="2"/>
  <c r="F85" i="2"/>
  <c r="I170" i="2"/>
  <c r="H18" i="2"/>
  <c r="F103" i="2"/>
  <c r="E76" i="2"/>
  <c r="J252" i="2"/>
  <c r="J62" i="2"/>
  <c r="F55" i="2"/>
  <c r="G56" i="2"/>
  <c r="F83" i="2"/>
  <c r="F52" i="2"/>
  <c r="E204" i="2"/>
  <c r="J168" i="2"/>
  <c r="F77" i="2"/>
  <c r="F151" i="2"/>
  <c r="G138" i="2"/>
  <c r="E99" i="2"/>
  <c r="F111" i="2"/>
  <c r="E150" i="2"/>
  <c r="F162" i="2"/>
  <c r="H53" i="2"/>
  <c r="H87" i="2"/>
  <c r="J32" i="2"/>
  <c r="E39" i="2"/>
  <c r="J5" i="2"/>
  <c r="I8" i="2"/>
  <c r="E162" i="2"/>
  <c r="G146" i="2"/>
  <c r="G177" i="2"/>
  <c r="I90" i="2"/>
  <c r="J167" i="2"/>
  <c r="J131" i="2"/>
  <c r="G262" i="2"/>
  <c r="G65" i="2"/>
  <c r="I172" i="2"/>
  <c r="J269" i="2"/>
  <c r="F272" i="2"/>
  <c r="F47" i="2"/>
  <c r="I99" i="2"/>
  <c r="I76" i="2"/>
  <c r="J150" i="2"/>
  <c r="H137" i="2"/>
  <c r="F253" i="2"/>
  <c r="I134" i="2"/>
  <c r="I255" i="2"/>
  <c r="G137" i="2"/>
  <c r="G41" i="2"/>
  <c r="J244" i="2"/>
  <c r="E168" i="2"/>
  <c r="F242" i="2"/>
  <c r="F13" i="2"/>
  <c r="G11" i="2"/>
  <c r="G261" i="2"/>
  <c r="H99" i="2"/>
  <c r="J180" i="2"/>
  <c r="E23" i="2"/>
  <c r="H166" i="2"/>
  <c r="I210" i="2"/>
  <c r="F118" i="2"/>
  <c r="H184" i="2"/>
  <c r="H113" i="2"/>
  <c r="I29" i="2"/>
  <c r="G20" i="2"/>
  <c r="J64" i="2"/>
  <c r="H203" i="2"/>
  <c r="J265" i="2"/>
  <c r="E184" i="2"/>
  <c r="I43" i="2"/>
  <c r="I4" i="2"/>
  <c r="I40" i="2"/>
  <c r="F40" i="2"/>
  <c r="G35" i="2"/>
  <c r="I81" i="2"/>
  <c r="H27" i="2"/>
  <c r="G160" i="2"/>
  <c r="I14" i="2"/>
  <c r="J101" i="2"/>
  <c r="F148" i="2"/>
  <c r="H100" i="2"/>
  <c r="G187" i="2"/>
  <c r="I18" i="2"/>
  <c r="G161" i="2"/>
  <c r="I215" i="2"/>
  <c r="H154" i="2"/>
  <c r="H129" i="2"/>
  <c r="G191" i="2"/>
  <c r="H115" i="2"/>
  <c r="I206" i="2"/>
  <c r="G232" i="2"/>
  <c r="F50" i="2"/>
  <c r="G166" i="2"/>
  <c r="E91" i="2"/>
  <c r="J146" i="2"/>
  <c r="J123" i="2"/>
  <c r="E273" i="2"/>
  <c r="I275" i="2"/>
  <c r="G197" i="2"/>
  <c r="G202" i="2"/>
  <c r="E80" i="2"/>
  <c r="I272" i="2"/>
  <c r="J210" i="2"/>
  <c r="H67" i="2"/>
  <c r="H149" i="2"/>
  <c r="H171" i="2"/>
  <c r="E87" i="2"/>
  <c r="E43" i="2"/>
  <c r="F48" i="2"/>
  <c r="G106" i="2"/>
  <c r="E176" i="2"/>
  <c r="J241" i="2"/>
  <c r="J124" i="2"/>
  <c r="J100" i="2"/>
  <c r="H22" i="2"/>
  <c r="F142" i="2"/>
  <c r="F182" i="2"/>
  <c r="J7" i="2"/>
  <c r="I48" i="2"/>
  <c r="I276" i="2"/>
  <c r="G155" i="2"/>
  <c r="I60" i="2"/>
  <c r="F175" i="2"/>
  <c r="H168" i="2"/>
  <c r="F26" i="2"/>
  <c r="F132" i="2"/>
  <c r="E255" i="2"/>
  <c r="F82" i="2"/>
  <c r="G258" i="2"/>
  <c r="G173" i="2"/>
  <c r="G199" i="2"/>
  <c r="I24" i="2"/>
  <c r="E175" i="2"/>
  <c r="G230" i="2"/>
  <c r="G93" i="2"/>
  <c r="I127" i="2"/>
  <c r="J41" i="2"/>
  <c r="F19" i="2"/>
  <c r="I167" i="2"/>
  <c r="J202" i="2"/>
  <c r="E262" i="2"/>
  <c r="I33" i="2"/>
  <c r="F95" i="2"/>
  <c r="F75" i="2"/>
  <c r="H233" i="2"/>
  <c r="E216" i="2"/>
  <c r="J65" i="2"/>
  <c r="H272" i="2"/>
  <c r="E28" i="2"/>
  <c r="G97" i="2"/>
  <c r="J226" i="2"/>
  <c r="E210" i="2"/>
  <c r="H138" i="2"/>
  <c r="E69" i="2"/>
  <c r="F68" i="2"/>
  <c r="I157" i="2"/>
  <c r="G182" i="2"/>
  <c r="H161" i="2"/>
  <c r="E15" i="2"/>
  <c r="G22" i="2"/>
  <c r="F229" i="2"/>
  <c r="I11" i="2"/>
  <c r="E84" i="2"/>
  <c r="H58" i="2"/>
  <c r="F24" i="2"/>
  <c r="H29" i="2"/>
  <c r="F245" i="2"/>
  <c r="F2" i="2"/>
  <c r="F199" i="2"/>
  <c r="H189" i="2"/>
  <c r="J76" i="2"/>
  <c r="I64" i="2"/>
  <c r="I95" i="2"/>
  <c r="I146" i="2"/>
  <c r="J238" i="2"/>
  <c r="J97" i="2"/>
  <c r="I96" i="2"/>
  <c r="F9" i="2"/>
  <c r="G229" i="2"/>
  <c r="J3" i="2"/>
  <c r="J153" i="2"/>
  <c r="I160" i="2"/>
  <c r="F121" i="2"/>
  <c r="G36" i="2"/>
  <c r="J129" i="2"/>
  <c r="I15" i="2"/>
  <c r="E237" i="2"/>
  <c r="J113" i="2"/>
  <c r="H175" i="2"/>
  <c r="H257" i="2"/>
  <c r="I249" i="2"/>
  <c r="G254" i="2"/>
  <c r="F143" i="2"/>
  <c r="I52" i="2"/>
  <c r="F66" i="2"/>
  <c r="I36" i="2"/>
  <c r="H148" i="2"/>
  <c r="E114" i="2"/>
  <c r="I59" i="2"/>
  <c r="J258" i="2"/>
  <c r="G271" i="2"/>
  <c r="F79" i="2"/>
  <c r="G211" i="2"/>
  <c r="F54" i="2"/>
  <c r="H44" i="2"/>
  <c r="I35" i="2"/>
  <c r="H258" i="2"/>
  <c r="G213" i="2"/>
  <c r="E32" i="2"/>
  <c r="E34" i="2"/>
  <c r="I139" i="2"/>
  <c r="E241" i="2"/>
  <c r="H194" i="2"/>
  <c r="J270" i="2"/>
  <c r="H84" i="2"/>
  <c r="G162" i="2"/>
  <c r="J92" i="2"/>
  <c r="F152" i="2"/>
  <c r="E42" i="2"/>
  <c r="F73" i="2"/>
  <c r="F18" i="2"/>
  <c r="H143" i="2"/>
  <c r="I180" i="2"/>
  <c r="G104" i="2"/>
  <c r="H71" i="2"/>
  <c r="E199" i="2"/>
  <c r="F74" i="2"/>
  <c r="E202" i="2"/>
  <c r="E240" i="2"/>
  <c r="E77" i="2"/>
  <c r="F163" i="2"/>
  <c r="J90" i="2"/>
  <c r="J196" i="2"/>
  <c r="F136" i="2"/>
  <c r="G130" i="2"/>
  <c r="I171" i="2"/>
  <c r="H216" i="2"/>
  <c r="J169" i="2"/>
  <c r="F257" i="2"/>
  <c r="H165" i="2"/>
  <c r="G14" i="2"/>
  <c r="I254" i="2"/>
  <c r="I63" i="2"/>
  <c r="H157" i="2"/>
  <c r="E53" i="2"/>
  <c r="E269" i="2"/>
  <c r="G24" i="2"/>
  <c r="G62" i="2"/>
  <c r="F262" i="2"/>
  <c r="J57" i="2"/>
  <c r="H215" i="2"/>
  <c r="H82" i="2"/>
  <c r="I116" i="2"/>
  <c r="E92" i="2"/>
  <c r="I221" i="2"/>
  <c r="E141" i="2"/>
  <c r="G265" i="2"/>
  <c r="E263" i="2"/>
  <c r="J134" i="2"/>
  <c r="I119" i="2"/>
  <c r="J95" i="2"/>
  <c r="G25" i="2"/>
  <c r="E248" i="2"/>
  <c r="F32" i="2"/>
  <c r="F204" i="2"/>
  <c r="J16" i="2"/>
  <c r="J203" i="2"/>
  <c r="G58" i="2"/>
  <c r="E2" i="2"/>
  <c r="E118" i="2"/>
  <c r="F128" i="2"/>
  <c r="H210" i="2"/>
  <c r="E186" i="2"/>
  <c r="G80" i="2"/>
  <c r="J99" i="2"/>
  <c r="J82" i="2"/>
  <c r="F39" i="2"/>
  <c r="I78" i="2"/>
  <c r="F123" i="2"/>
  <c r="F228" i="2"/>
  <c r="G50" i="2"/>
  <c r="F191" i="2"/>
  <c r="E51" i="2"/>
  <c r="I155" i="2"/>
  <c r="I37" i="2"/>
  <c r="E21" i="2"/>
  <c r="J199" i="2"/>
  <c r="E155" i="2"/>
  <c r="E149" i="2"/>
  <c r="E137" i="2"/>
  <c r="E35" i="2"/>
  <c r="G46" i="2"/>
  <c r="J121" i="2"/>
  <c r="F212" i="2"/>
  <c r="G171" i="2"/>
  <c r="J61" i="2"/>
  <c r="F238" i="2"/>
  <c r="F23" i="2"/>
  <c r="J50" i="2"/>
  <c r="E214" i="2"/>
  <c r="J256" i="2"/>
  <c r="E123" i="2"/>
  <c r="E187" i="2"/>
  <c r="J33" i="2"/>
  <c r="E61" i="2"/>
  <c r="G83" i="2"/>
  <c r="F96" i="2"/>
  <c r="I152" i="2"/>
  <c r="E191" i="2"/>
  <c r="F256" i="2"/>
  <c r="E147" i="2"/>
  <c r="J224" i="2"/>
  <c r="I107" i="2"/>
  <c r="J71" i="2"/>
  <c r="J38" i="2"/>
  <c r="E203" i="2"/>
  <c r="I49" i="2"/>
  <c r="H102" i="2"/>
  <c r="J217" i="2"/>
  <c r="I246" i="2"/>
  <c r="F188" i="2"/>
  <c r="G70" i="2"/>
  <c r="I212" i="2"/>
  <c r="H32" i="2"/>
  <c r="H50" i="2"/>
  <c r="H133" i="2"/>
  <c r="F274" i="2"/>
  <c r="H20" i="2"/>
  <c r="J46" i="2"/>
  <c r="I110" i="2"/>
  <c r="E107" i="2"/>
  <c r="G169" i="2"/>
  <c r="E148" i="2"/>
  <c r="I277" i="2"/>
  <c r="G135" i="2"/>
  <c r="H52" i="2"/>
  <c r="H192" i="2"/>
  <c r="J166" i="2"/>
  <c r="H224" i="2"/>
  <c r="E31" i="2"/>
  <c r="G140" i="2"/>
  <c r="G90" i="2"/>
  <c r="E249" i="2"/>
  <c r="G51" i="2"/>
  <c r="H266" i="2"/>
  <c r="J106" i="2"/>
  <c r="I80" i="2"/>
  <c r="E119" i="2"/>
  <c r="I261" i="2"/>
  <c r="F37" i="2"/>
  <c r="E192" i="2"/>
  <c r="J12" i="2"/>
  <c r="I70" i="2"/>
  <c r="H60" i="2"/>
  <c r="F227" i="2"/>
  <c r="H126" i="2"/>
  <c r="F254" i="2"/>
  <c r="E5" i="2"/>
  <c r="J178" i="2"/>
  <c r="I230" i="2"/>
  <c r="J159" i="2"/>
  <c r="E54" i="2"/>
  <c r="G40" i="2"/>
  <c r="J56" i="2"/>
  <c r="E268" i="2"/>
  <c r="H160" i="2"/>
  <c r="I106" i="2"/>
  <c r="F42" i="2"/>
  <c r="E17" i="2"/>
  <c r="I214" i="2"/>
  <c r="F91" i="2"/>
  <c r="G72" i="2"/>
  <c r="G216" i="2"/>
  <c r="F243" i="2"/>
  <c r="J214" i="2"/>
  <c r="J154" i="2"/>
  <c r="F222" i="2"/>
  <c r="J75" i="2"/>
  <c r="G129" i="2"/>
  <c r="F86" i="2"/>
  <c r="I225" i="2"/>
  <c r="G259" i="2"/>
  <c r="G68" i="2"/>
  <c r="I235" i="2"/>
  <c r="E219" i="2"/>
  <c r="J2" i="2"/>
  <c r="E151" i="2"/>
  <c r="G198" i="2"/>
  <c r="H195" i="2"/>
  <c r="E256" i="2"/>
  <c r="G196" i="2"/>
  <c r="G153" i="2"/>
  <c r="G152" i="2"/>
  <c r="E220" i="2"/>
  <c r="F147" i="2"/>
  <c r="I191" i="2"/>
  <c r="H221" i="2"/>
  <c r="I112" i="2"/>
  <c r="I16" i="2"/>
  <c r="F135" i="2"/>
  <c r="G154" i="2"/>
  <c r="F5" i="2"/>
  <c r="H198" i="2"/>
  <c r="I125" i="2"/>
  <c r="I93" i="2"/>
  <c r="I182" i="2"/>
  <c r="E172" i="2"/>
  <c r="H78" i="2"/>
  <c r="I82" i="2"/>
  <c r="I229" i="2"/>
  <c r="J77" i="2"/>
  <c r="F56" i="2"/>
  <c r="H225" i="2"/>
  <c r="E70" i="2"/>
  <c r="H55" i="2"/>
  <c r="H91" i="2"/>
  <c r="F174" i="2"/>
  <c r="H56" i="2"/>
  <c r="J272" i="2"/>
  <c r="I211" i="2"/>
  <c r="I197" i="2"/>
  <c r="G94" i="2"/>
  <c r="G275" i="2"/>
  <c r="G208" i="2"/>
  <c r="E68" i="2"/>
  <c r="F209" i="2"/>
  <c r="F235" i="2"/>
  <c r="F112" i="2"/>
  <c r="H48" i="2"/>
  <c r="I128" i="2"/>
  <c r="J234" i="2"/>
  <c r="J117" i="2"/>
  <c r="G244" i="2"/>
  <c r="E102" i="2"/>
  <c r="G21" i="2"/>
  <c r="H254" i="2"/>
  <c r="I38" i="2"/>
  <c r="H223" i="2"/>
  <c r="I130" i="2"/>
  <c r="F181" i="2"/>
  <c r="J88" i="2"/>
  <c r="J232" i="2"/>
  <c r="I103" i="2"/>
  <c r="J39" i="2"/>
  <c r="F25" i="2"/>
  <c r="G172" i="2"/>
  <c r="E81" i="2"/>
  <c r="F166" i="2"/>
  <c r="I77" i="2"/>
  <c r="H145" i="2"/>
  <c r="J181" i="2"/>
  <c r="H63" i="2"/>
  <c r="E78" i="2"/>
  <c r="I233" i="2"/>
  <c r="E232" i="2"/>
  <c r="E171" i="2"/>
  <c r="H190" i="2"/>
  <c r="E145" i="2"/>
  <c r="E160" i="2"/>
  <c r="H191" i="2"/>
  <c r="I56" i="2"/>
  <c r="G113" i="2"/>
  <c r="F99" i="2"/>
  <c r="F27" i="2"/>
  <c r="J115" i="2"/>
  <c r="H242" i="2"/>
  <c r="I142" i="2"/>
  <c r="H236" i="2"/>
  <c r="J137" i="2"/>
  <c r="E243" i="2"/>
  <c r="E20" i="2"/>
  <c r="F133" i="2"/>
  <c r="G29" i="2"/>
  <c r="E65" i="2"/>
  <c r="I23" i="2"/>
  <c r="F81" i="2"/>
  <c r="J10" i="2"/>
  <c r="G78" i="2"/>
  <c r="H159" i="2"/>
  <c r="H114" i="2"/>
  <c r="H57" i="2"/>
  <c r="H125" i="2"/>
  <c r="I57" i="2"/>
  <c r="F114" i="2"/>
  <c r="H227" i="2"/>
  <c r="I159" i="2"/>
  <c r="E10" i="2"/>
  <c r="I7" i="2"/>
  <c r="F215" i="2"/>
  <c r="G228" i="2"/>
  <c r="H61" i="2"/>
  <c r="E251" i="2"/>
  <c r="E195" i="2"/>
  <c r="H127" i="2"/>
  <c r="J179" i="2"/>
  <c r="I265" i="2"/>
  <c r="I189" i="2"/>
  <c r="J20" i="2"/>
  <c r="E29" i="2"/>
  <c r="F277" i="2"/>
  <c r="H134" i="2"/>
  <c r="J200" i="2"/>
  <c r="E139" i="2"/>
  <c r="F170" i="2"/>
  <c r="H104" i="2"/>
  <c r="F167" i="2"/>
  <c r="J70" i="2"/>
  <c r="F263" i="2"/>
  <c r="E52" i="2"/>
  <c r="G239" i="2"/>
  <c r="E37" i="2"/>
  <c r="G81" i="2"/>
  <c r="J110" i="2"/>
  <c r="I69" i="2"/>
  <c r="E156" i="2"/>
  <c r="F252" i="2"/>
  <c r="F201" i="2"/>
  <c r="E212" i="2"/>
  <c r="J171" i="2"/>
  <c r="J11" i="2"/>
  <c r="J271" i="2"/>
  <c r="I136" i="2"/>
  <c r="G8" i="2"/>
  <c r="E211" i="2"/>
  <c r="H5" i="2"/>
  <c r="H213" i="2"/>
  <c r="J25" i="2"/>
  <c r="E88" i="2"/>
  <c r="I251" i="2"/>
  <c r="J242" i="2"/>
  <c r="G203" i="2"/>
  <c r="I75" i="2"/>
  <c r="F41" i="2"/>
  <c r="E117" i="2"/>
  <c r="E19" i="2"/>
  <c r="E166" i="2"/>
  <c r="I242" i="2"/>
  <c r="E134" i="2"/>
  <c r="F183" i="2"/>
  <c r="H248" i="2"/>
  <c r="J42" i="2"/>
  <c r="I20" i="2"/>
  <c r="I53" i="2"/>
  <c r="I186" i="2"/>
  <c r="G45" i="2"/>
  <c r="E64" i="2"/>
  <c r="H21" i="2"/>
  <c r="J144" i="2"/>
  <c r="J237" i="2"/>
  <c r="G257" i="2"/>
  <c r="I42" i="2"/>
  <c r="I140" i="2"/>
  <c r="J125" i="2"/>
  <c r="I84" i="2"/>
  <c r="H214" i="2"/>
  <c r="G167" i="2"/>
  <c r="E93" i="2"/>
  <c r="H240" i="2"/>
  <c r="J48" i="2"/>
  <c r="I148" i="2"/>
  <c r="I9" i="2"/>
  <c r="E127" i="2"/>
  <c r="I98" i="2"/>
  <c r="J142" i="2"/>
  <c r="H81" i="2"/>
  <c r="G101" i="2"/>
  <c r="G188" i="2"/>
  <c r="J59" i="2"/>
  <c r="F180" i="2"/>
  <c r="G32" i="2"/>
  <c r="H77" i="2"/>
  <c r="J13" i="2"/>
  <c r="H95" i="2"/>
  <c r="I147" i="2"/>
  <c r="H15" i="2"/>
  <c r="F14" i="2"/>
  <c r="I181" i="2"/>
  <c r="F240" i="2"/>
  <c r="G260" i="2"/>
  <c r="E207" i="2"/>
  <c r="J208" i="2"/>
  <c r="G238" i="2"/>
  <c r="H120" i="2"/>
  <c r="H4" i="2"/>
  <c r="E231" i="2"/>
  <c r="E112" i="2"/>
  <c r="J49" i="2"/>
  <c r="F104" i="2"/>
  <c r="E46" i="2"/>
  <c r="F224" i="2"/>
  <c r="F130" i="2"/>
  <c r="F100" i="2"/>
  <c r="G107" i="2"/>
  <c r="G246" i="2"/>
  <c r="J87" i="2"/>
  <c r="E194" i="2"/>
  <c r="J105" i="2"/>
  <c r="E74" i="2"/>
  <c r="E58" i="2"/>
  <c r="H197" i="2"/>
  <c r="I94" i="2"/>
  <c r="H19" i="2"/>
  <c r="J213" i="2"/>
  <c r="H178" i="2"/>
  <c r="H31" i="2"/>
  <c r="G96" i="2"/>
  <c r="I190" i="2"/>
  <c r="I208" i="2"/>
  <c r="G66" i="2"/>
  <c r="I195" i="2"/>
  <c r="F127" i="2"/>
  <c r="G126" i="2"/>
  <c r="F221" i="2"/>
  <c r="G136" i="2"/>
  <c r="J80" i="2"/>
  <c r="E270" i="2"/>
  <c r="E109" i="2"/>
  <c r="H182" i="2"/>
  <c r="E73" i="2"/>
  <c r="G82" i="2"/>
  <c r="F206" i="2"/>
  <c r="I169" i="2"/>
  <c r="J139" i="2"/>
  <c r="H264" i="2"/>
  <c r="F207" i="2"/>
  <c r="E72" i="2"/>
  <c r="I115" i="2"/>
  <c r="J223" i="2"/>
  <c r="J227" i="2"/>
  <c r="I199" i="2"/>
  <c r="H204" i="2"/>
  <c r="J218" i="2"/>
  <c r="I269" i="2"/>
  <c r="J136" i="2"/>
  <c r="H46" i="2"/>
  <c r="H247" i="2"/>
  <c r="I259" i="2"/>
  <c r="G207" i="2"/>
  <c r="H183" i="2"/>
  <c r="J220" i="2"/>
  <c r="F211" i="2"/>
  <c r="G69" i="2"/>
  <c r="J22" i="2"/>
  <c r="F110" i="2"/>
  <c r="I97" i="2"/>
  <c r="H261" i="2"/>
  <c r="J173" i="2"/>
  <c r="E224" i="2"/>
  <c r="E136" i="2"/>
  <c r="J249" i="2"/>
  <c r="E180" i="2"/>
  <c r="I183" i="2"/>
  <c r="J235" i="2"/>
  <c r="E79" i="2"/>
  <c r="F122" i="2"/>
  <c r="I17" i="2"/>
  <c r="J259" i="2"/>
  <c r="J263" i="2"/>
  <c r="F155" i="2"/>
  <c r="I102" i="2"/>
  <c r="H92" i="2"/>
  <c r="H163" i="2"/>
  <c r="H98" i="2"/>
  <c r="G141" i="2"/>
  <c r="F205" i="2"/>
  <c r="H25" i="2"/>
  <c r="J85" i="2"/>
  <c r="H69" i="2"/>
  <c r="J268" i="2"/>
  <c r="H150" i="2"/>
  <c r="I26" i="2"/>
  <c r="G86" i="2"/>
  <c r="J236" i="2"/>
  <c r="F38" i="2"/>
  <c r="H206" i="2"/>
  <c r="J201" i="2"/>
  <c r="J190" i="2"/>
  <c r="J152" i="2"/>
  <c r="H110" i="2"/>
  <c r="G176" i="2"/>
  <c r="G249" i="2"/>
  <c r="E96" i="2"/>
  <c r="I166" i="2"/>
  <c r="F226" i="2"/>
  <c r="J185" i="2"/>
  <c r="H186" i="2"/>
  <c r="E83" i="2"/>
  <c r="E218" i="2"/>
  <c r="H277" i="2"/>
  <c r="J30" i="2"/>
  <c r="H42" i="2"/>
  <c r="I108" i="2"/>
  <c r="I196" i="2"/>
  <c r="J98" i="2"/>
  <c r="J138" i="2"/>
  <c r="H147" i="2"/>
  <c r="G183" i="2"/>
  <c r="F89" i="2"/>
  <c r="J165" i="2"/>
  <c r="F134" i="2"/>
  <c r="F12" i="2"/>
  <c r="G235" i="2"/>
  <c r="G3" i="2"/>
  <c r="E271" i="2"/>
  <c r="I185" i="2"/>
  <c r="G55" i="2"/>
  <c r="G186" i="2"/>
  <c r="I79" i="2"/>
  <c r="J212" i="2"/>
  <c r="E234" i="2"/>
  <c r="J174" i="2"/>
  <c r="H17" i="2"/>
  <c r="J243" i="2"/>
  <c r="E89" i="2"/>
  <c r="H128" i="2"/>
  <c r="F117" i="2"/>
  <c r="F46" i="2"/>
  <c r="F247" i="2"/>
  <c r="J228" i="2"/>
  <c r="J229" i="2"/>
  <c r="E257" i="2"/>
  <c r="H119" i="2"/>
  <c r="G272" i="2"/>
  <c r="E254" i="2"/>
  <c r="J44" i="2"/>
  <c r="I179" i="2"/>
  <c r="H103" i="2"/>
  <c r="H188" i="2"/>
  <c r="E229" i="2"/>
  <c r="E197" i="2"/>
  <c r="F200" i="2"/>
  <c r="F70" i="2"/>
  <c r="J35" i="2"/>
  <c r="E167" i="2"/>
  <c r="H141" i="2"/>
  <c r="F90" i="2"/>
  <c r="F248" i="2"/>
  <c r="J261" i="2"/>
  <c r="F159" i="2"/>
  <c r="H146" i="2"/>
  <c r="J127" i="2"/>
  <c r="J260" i="2"/>
  <c r="I270" i="2"/>
  <c r="J74" i="2"/>
  <c r="G49" i="2"/>
  <c r="F244" i="2"/>
  <c r="E94" i="2"/>
  <c r="J133" i="2"/>
  <c r="H245" i="2"/>
  <c r="H259" i="2"/>
  <c r="J247" i="2"/>
  <c r="H33" i="2"/>
  <c r="G201" i="2"/>
  <c r="H271" i="2"/>
  <c r="G168" i="2"/>
  <c r="J158" i="2"/>
  <c r="J116" i="2"/>
  <c r="E201" i="2"/>
  <c r="F268" i="2"/>
  <c r="E205" i="2"/>
  <c r="F249" i="2"/>
  <c r="E266" i="2"/>
  <c r="I273" i="2"/>
  <c r="H207" i="2"/>
  <c r="J102" i="2"/>
  <c r="I143" i="2"/>
  <c r="F189" i="2"/>
  <c r="F196" i="2"/>
  <c r="E193" i="2"/>
  <c r="F36" i="2"/>
  <c r="H246" i="2"/>
  <c r="H96" i="2"/>
  <c r="F210" i="2"/>
  <c r="F30" i="2"/>
  <c r="J112" i="2"/>
  <c r="G144" i="2"/>
  <c r="I21" i="2"/>
  <c r="E265" i="2"/>
  <c r="E179" i="2"/>
  <c r="H263" i="2"/>
  <c r="H124" i="2"/>
  <c r="H239" i="2"/>
  <c r="H273" i="2"/>
  <c r="E14" i="2"/>
  <c r="E135" i="2"/>
  <c r="I154" i="2"/>
  <c r="F44" i="2"/>
  <c r="I54" i="2"/>
  <c r="H164" i="2"/>
  <c r="I228" i="2"/>
  <c r="I250" i="2"/>
  <c r="J141" i="2"/>
  <c r="G67" i="2"/>
  <c r="F129" i="2"/>
  <c r="H252" i="2"/>
  <c r="F137" i="2"/>
  <c r="G139" i="2"/>
  <c r="F172" i="2"/>
  <c r="G125" i="2"/>
  <c r="F232" i="2"/>
  <c r="H268" i="2"/>
  <c r="F29" i="2"/>
  <c r="H40" i="2"/>
  <c r="I234" i="2"/>
  <c r="H231" i="2"/>
  <c r="E143" i="2"/>
  <c r="E208" i="2"/>
  <c r="E253" i="2"/>
  <c r="G103" i="2"/>
  <c r="F241" i="2"/>
  <c r="E144" i="2"/>
  <c r="G256" i="2"/>
  <c r="E22" i="2"/>
  <c r="E16" i="2"/>
  <c r="F270" i="2"/>
  <c r="I243" i="2"/>
  <c r="H2" i="2"/>
  <c r="F7" i="2"/>
  <c r="F184" i="2"/>
  <c r="G89" i="2"/>
  <c r="E209" i="2"/>
  <c r="E275" i="2"/>
  <c r="H238" i="2"/>
  <c r="I138" i="2"/>
  <c r="G179" i="2"/>
  <c r="H107" i="2"/>
  <c r="H135" i="2"/>
  <c r="F264" i="2"/>
  <c r="F11" i="2"/>
  <c r="J91" i="2"/>
  <c r="F67" i="2"/>
  <c r="H105" i="2"/>
  <c r="E105" i="2"/>
  <c r="E215" i="2"/>
  <c r="I85" i="2"/>
  <c r="I104" i="2"/>
  <c r="H200" i="2"/>
  <c r="F141" i="2"/>
  <c r="I67" i="2"/>
  <c r="J205" i="2"/>
  <c r="I30" i="2"/>
  <c r="G63" i="2"/>
  <c r="J130" i="2"/>
  <c r="J119" i="2"/>
  <c r="H122" i="2"/>
  <c r="J15" i="2"/>
  <c r="G17" i="2"/>
  <c r="H169" i="2"/>
  <c r="F178" i="2"/>
  <c r="H158" i="2"/>
  <c r="J276" i="2"/>
  <c r="I223" i="2"/>
  <c r="J81" i="2"/>
  <c r="J147" i="2"/>
  <c r="E116" i="2"/>
  <c r="F190" i="2"/>
  <c r="H140" i="2"/>
  <c r="H156" i="2"/>
  <c r="F58" i="2"/>
  <c r="H152" i="2"/>
  <c r="H30" i="2"/>
  <c r="G44" i="2"/>
  <c r="E66" i="2"/>
  <c r="J21" i="2"/>
  <c r="E106" i="2"/>
  <c r="E140" i="2"/>
  <c r="G264" i="2"/>
  <c r="G118" i="2"/>
  <c r="I177" i="2"/>
  <c r="G6" i="2"/>
  <c r="G64" i="2"/>
  <c r="G180" i="2"/>
  <c r="J73" i="2"/>
  <c r="F98" i="2"/>
  <c r="J221" i="2"/>
  <c r="J163" i="2"/>
  <c r="F87" i="2"/>
  <c r="I260" i="2"/>
  <c r="G219" i="2"/>
  <c r="H177" i="2"/>
  <c r="J225" i="2"/>
  <c r="H181" i="2"/>
  <c r="F153" i="2"/>
  <c r="J257" i="2"/>
  <c r="H270" i="2"/>
  <c r="E98" i="2"/>
  <c r="H167" i="2"/>
  <c r="J197" i="2"/>
  <c r="J175" i="2"/>
  <c r="E161" i="2"/>
  <c r="J160" i="2"/>
  <c r="I264" i="2"/>
  <c r="H116" i="2"/>
  <c r="E36" i="2"/>
  <c r="J148" i="2"/>
  <c r="I145" i="2"/>
  <c r="I203" i="2"/>
  <c r="H262" i="2"/>
  <c r="J118" i="2"/>
  <c r="F145" i="2"/>
  <c r="H174" i="2"/>
  <c r="F234" i="2"/>
  <c r="G112" i="2"/>
  <c r="I231" i="2"/>
  <c r="H180" i="2"/>
  <c r="E38" i="2"/>
  <c r="G9" i="2"/>
  <c r="E60" i="2"/>
  <c r="E45" i="2"/>
  <c r="H6" i="2"/>
  <c r="F179" i="2"/>
  <c r="J132" i="2"/>
  <c r="E4" i="2"/>
  <c r="J89" i="2"/>
  <c r="I31" i="2"/>
  <c r="J207" i="2"/>
  <c r="F20" i="2"/>
  <c r="E239" i="2"/>
  <c r="E233" i="2"/>
  <c r="I135" i="2"/>
  <c r="F158" i="2"/>
  <c r="J198" i="2"/>
  <c r="I131" i="2"/>
  <c r="J143" i="2"/>
  <c r="H85" i="2"/>
  <c r="I209" i="2"/>
  <c r="E174" i="2"/>
  <c r="H51" i="2"/>
  <c r="J192" i="2"/>
  <c r="G47" i="2"/>
  <c r="J149" i="2"/>
  <c r="H212" i="2"/>
  <c r="G19" i="2"/>
  <c r="F218" i="2"/>
  <c r="E185" i="2"/>
  <c r="F230" i="2"/>
  <c r="G30" i="2"/>
  <c r="I50" i="2"/>
  <c r="J277" i="2"/>
  <c r="H228" i="2"/>
  <c r="E122" i="2"/>
  <c r="I87" i="2"/>
  <c r="G60" i="2"/>
  <c r="I105" i="2"/>
  <c r="H151" i="2"/>
  <c r="E110" i="2"/>
  <c r="G74" i="2"/>
  <c r="G102" i="2"/>
  <c r="E67" i="2"/>
  <c r="I257" i="2"/>
  <c r="H123" i="2"/>
  <c r="G231" i="2"/>
  <c r="G227" i="2"/>
  <c r="F213" i="2"/>
  <c r="J216" i="2"/>
  <c r="G38" i="2"/>
  <c r="G194" i="2"/>
  <c r="H65" i="2"/>
  <c r="I222" i="2"/>
  <c r="H172" i="2"/>
  <c r="J191" i="2"/>
  <c r="G120" i="2"/>
  <c r="E245" i="2"/>
  <c r="I86" i="2"/>
  <c r="E188" i="2"/>
  <c r="I192" i="2"/>
  <c r="F150" i="2"/>
  <c r="G48" i="2"/>
  <c r="I267" i="2"/>
  <c r="G159" i="2"/>
  <c r="F61" i="2"/>
  <c r="F146" i="2"/>
  <c r="E227" i="2"/>
  <c r="G12" i="2"/>
  <c r="E40" i="2"/>
  <c r="H237" i="2"/>
  <c r="F251" i="2"/>
  <c r="F186" i="2"/>
  <c r="F64" i="2"/>
  <c r="G7" i="2"/>
  <c r="G223" i="2"/>
  <c r="I220" i="2"/>
  <c r="H162" i="2"/>
  <c r="J128" i="2"/>
  <c r="G185" i="2"/>
  <c r="I27" i="2"/>
  <c r="G266" i="2"/>
  <c r="J156" i="2"/>
  <c r="J189" i="2"/>
  <c r="I238" i="2"/>
  <c r="E59" i="2"/>
  <c r="G175" i="2"/>
  <c r="F10" i="2"/>
  <c r="F60" i="2"/>
  <c r="G267" i="2"/>
  <c r="I236" i="2"/>
  <c r="H43" i="2"/>
  <c r="E165" i="2"/>
  <c r="E189" i="2"/>
  <c r="E50" i="2"/>
  <c r="J43" i="2"/>
  <c r="G92" i="2"/>
  <c r="H111" i="2"/>
  <c r="G212" i="2"/>
  <c r="F271" i="2"/>
  <c r="E86" i="2"/>
  <c r="J19" i="2"/>
  <c r="G251" i="2"/>
  <c r="F208" i="2"/>
  <c r="J273" i="2"/>
  <c r="F119" i="2"/>
  <c r="E133" i="2"/>
  <c r="H209" i="2"/>
  <c r="I187" i="2"/>
  <c r="E164" i="2"/>
  <c r="G252" i="2"/>
  <c r="J161" i="2"/>
  <c r="E183" i="2"/>
  <c r="F88" i="2"/>
  <c r="E142" i="2"/>
  <c r="H251" i="2"/>
  <c r="I62" i="2"/>
  <c r="G276" i="2"/>
  <c r="I118" i="2"/>
  <c r="H26" i="2"/>
  <c r="E159" i="2"/>
  <c r="E6" i="2"/>
  <c r="E56" i="2"/>
  <c r="G220" i="2"/>
  <c r="G248" i="2"/>
  <c r="G174" i="2"/>
  <c r="J47" i="2"/>
  <c r="E146" i="2"/>
  <c r="E173" i="2"/>
  <c r="J27" i="2"/>
  <c r="E169" i="2"/>
  <c r="G189" i="2"/>
  <c r="H93" i="2"/>
  <c r="F156" i="2"/>
  <c r="H136" i="2"/>
  <c r="I3" i="2"/>
  <c r="I124" i="2"/>
  <c r="E242" i="2"/>
  <c r="J26" i="2"/>
  <c r="E108" i="2"/>
  <c r="J215" i="2"/>
  <c r="J267" i="2"/>
  <c r="I176" i="2"/>
  <c r="F31" i="2"/>
  <c r="F62" i="2"/>
  <c r="I200" i="2"/>
  <c r="H38" i="2"/>
  <c r="H10" i="2"/>
  <c r="J151" i="2"/>
  <c r="G204" i="2"/>
  <c r="J79" i="2"/>
  <c r="I88" i="2"/>
  <c r="J239" i="2"/>
  <c r="H234" i="2"/>
  <c r="E157" i="2"/>
  <c r="J54" i="2"/>
  <c r="E261" i="2"/>
  <c r="E153" i="2"/>
  <c r="F194" i="2"/>
  <c r="G59" i="2"/>
  <c r="H232" i="2"/>
  <c r="G214" i="2"/>
  <c r="J140" i="2"/>
  <c r="I6" i="2"/>
  <c r="I66" i="2"/>
  <c r="E57" i="2"/>
  <c r="J245" i="2"/>
  <c r="G42" i="2"/>
  <c r="G37" i="2"/>
  <c r="J52" i="2"/>
  <c r="G53" i="2"/>
  <c r="E190" i="2"/>
  <c r="J68" i="2"/>
  <c r="I150" i="2"/>
  <c r="E259" i="2"/>
  <c r="H250" i="2"/>
  <c r="F35" i="2"/>
  <c r="F260" i="2"/>
  <c r="F57" i="2"/>
  <c r="F231" i="2"/>
  <c r="H205" i="2"/>
  <c r="J135" i="2"/>
  <c r="H36" i="2"/>
  <c r="J29" i="2"/>
  <c r="E3" i="2"/>
  <c r="E41" i="2"/>
  <c r="H201" i="2"/>
  <c r="H112" i="2"/>
  <c r="J9" i="2"/>
  <c r="F53" i="2"/>
  <c r="H90" i="2"/>
  <c r="F193" i="2"/>
  <c r="E85" i="2"/>
  <c r="G43" i="2"/>
  <c r="F267" i="2"/>
  <c r="F217" i="2"/>
  <c r="J72" i="2"/>
  <c r="E120" i="2"/>
  <c r="J250" i="2"/>
  <c r="J251" i="2"/>
  <c r="E101" i="2"/>
  <c r="J67" i="2"/>
  <c r="I89" i="2"/>
  <c r="H34" i="2"/>
  <c r="G116" i="2"/>
  <c r="E238" i="2"/>
  <c r="F94" i="2"/>
  <c r="I149" i="2"/>
  <c r="G52" i="2"/>
  <c r="F203" i="2"/>
  <c r="G34" i="2"/>
  <c r="I73" i="2"/>
  <c r="H16" i="2"/>
  <c r="E277" i="2"/>
  <c r="G263" i="2"/>
  <c r="J275" i="2"/>
  <c r="J40" i="2"/>
  <c r="I126" i="2"/>
  <c r="H199" i="2"/>
  <c r="G145" i="2"/>
  <c r="H74" i="2"/>
  <c r="F266" i="2"/>
  <c r="F273" i="2"/>
  <c r="I268" i="2"/>
  <c r="I193" i="2"/>
  <c r="J83" i="2"/>
  <c r="I263" i="2"/>
  <c r="F259" i="2"/>
  <c r="G105" i="2"/>
  <c r="E111" i="2"/>
  <c r="I164" i="2"/>
  <c r="H131" i="2"/>
  <c r="I83" i="2"/>
  <c r="J219" i="2"/>
  <c r="I100" i="2"/>
  <c r="J69" i="2"/>
  <c r="G91" i="2"/>
  <c r="I216" i="2"/>
  <c r="G209" i="2"/>
  <c r="F71" i="2"/>
  <c r="E200" i="2"/>
  <c r="G115" i="2"/>
  <c r="E30" i="2"/>
  <c r="J188" i="2"/>
  <c r="I163" i="2"/>
  <c r="I219" i="2"/>
  <c r="E104" i="2"/>
  <c r="I271" i="2"/>
  <c r="G184" i="2"/>
  <c r="H24" i="2"/>
  <c r="H196" i="2"/>
  <c r="G10" i="2"/>
  <c r="E63" i="2"/>
  <c r="I217" i="2"/>
  <c r="H45" i="2"/>
  <c r="J86" i="2"/>
  <c r="H64" i="2"/>
  <c r="J4" i="2"/>
  <c r="E272" i="2"/>
  <c r="F124" i="2"/>
  <c r="E196" i="2"/>
  <c r="E27" i="2"/>
  <c r="F34" i="2"/>
  <c r="G134" i="2"/>
  <c r="G195" i="2"/>
  <c r="G224" i="2"/>
  <c r="I248" i="2"/>
  <c r="J78" i="2"/>
  <c r="J262" i="2"/>
  <c r="H256" i="2"/>
  <c r="F169" i="2"/>
  <c r="G123" i="2"/>
  <c r="I175" i="2"/>
  <c r="J211" i="2"/>
  <c r="J111" i="2"/>
  <c r="G16" i="2"/>
  <c r="H241" i="2"/>
  <c r="E8" i="2"/>
  <c r="I65" i="2"/>
  <c r="H118" i="2"/>
  <c r="E264" i="2"/>
  <c r="E198" i="2"/>
  <c r="G109" i="2"/>
  <c r="I19" i="2"/>
  <c r="H153" i="2"/>
  <c r="E178" i="2"/>
  <c r="E246" i="2"/>
  <c r="E138" i="2"/>
  <c r="J206" i="2"/>
  <c r="J155" i="2"/>
  <c r="J231" i="2"/>
  <c r="G148" i="2"/>
  <c r="G119" i="2"/>
  <c r="J145" i="2"/>
  <c r="J8" i="2"/>
  <c r="G98" i="2"/>
  <c r="J14" i="2"/>
  <c r="E24" i="2"/>
  <c r="G255" i="2"/>
  <c r="I174" i="2"/>
  <c r="F84" i="2"/>
  <c r="H244" i="2"/>
  <c r="E44" i="2"/>
  <c r="I121" i="2"/>
  <c r="H235" i="2"/>
  <c r="I129" i="2"/>
  <c r="G242" i="2"/>
  <c r="J157" i="2"/>
  <c r="H54" i="2"/>
  <c r="J246" i="2"/>
  <c r="G39" i="2"/>
  <c r="I184" i="2"/>
  <c r="F45" i="2"/>
  <c r="G75" i="2"/>
  <c r="J266" i="2"/>
  <c r="F65" i="2"/>
  <c r="E33" i="2"/>
  <c r="F125" i="2"/>
  <c r="I266" i="2"/>
  <c r="F171" i="2"/>
  <c r="E228" i="2"/>
  <c r="E247" i="2"/>
  <c r="G149" i="2"/>
  <c r="F187" i="2"/>
  <c r="G205" i="2"/>
  <c r="F43" i="2"/>
  <c r="G26" i="2"/>
  <c r="H179" i="2"/>
  <c r="E7" i="2"/>
  <c r="E177" i="2"/>
  <c r="H86" i="2"/>
  <c r="J107" i="2"/>
  <c r="G236" i="2"/>
  <c r="F220" i="2"/>
  <c r="E90" i="2"/>
  <c r="H11" i="2"/>
  <c r="H88" i="2"/>
  <c r="H28" i="2"/>
  <c r="I25" i="2"/>
  <c r="J162" i="2"/>
  <c r="E221" i="2"/>
  <c r="H117" i="2"/>
  <c r="F108" i="2"/>
  <c r="F28" i="2"/>
  <c r="G178" i="2"/>
  <c r="I2" i="2"/>
  <c r="F223" i="2"/>
  <c r="I204" i="2"/>
  <c r="H249" i="2"/>
  <c r="E13" i="2"/>
  <c r="I55" i="2"/>
  <c r="I213" i="2"/>
  <c r="I224" i="2"/>
  <c r="F17" i="2"/>
  <c r="I114" i="2"/>
  <c r="G122" i="2"/>
  <c r="J195" i="2"/>
  <c r="H253" i="2"/>
  <c r="E182" i="2"/>
  <c r="G27" i="2"/>
  <c r="J204" i="2"/>
  <c r="I247" i="2"/>
  <c r="H267" i="2"/>
  <c r="E222" i="2"/>
  <c r="H230" i="2"/>
  <c r="I122" i="2"/>
  <c r="H76" i="2"/>
  <c r="G127" i="2"/>
  <c r="I252" i="2"/>
  <c r="E213" i="2"/>
  <c r="E62" i="2"/>
  <c r="E126" i="2"/>
  <c r="G84" i="2"/>
  <c r="G85" i="2"/>
  <c r="J34" i="2"/>
  <c r="G164" i="2"/>
  <c r="H97" i="2"/>
  <c r="H130" i="2"/>
  <c r="H132" i="2"/>
  <c r="G250" i="2"/>
  <c r="J17" i="2"/>
  <c r="H9" i="2"/>
  <c r="G61" i="2"/>
  <c r="J28" i="2"/>
  <c r="H193" i="2"/>
  <c r="J45" i="2"/>
  <c r="G253" i="2"/>
  <c r="G215" i="2"/>
  <c r="G111" i="2"/>
  <c r="E236" i="2"/>
  <c r="G150" i="2"/>
  <c r="J122" i="2"/>
  <c r="G222" i="2"/>
  <c r="G54" i="2"/>
  <c r="J120" i="2"/>
  <c r="G132" i="2"/>
  <c r="E267" i="2"/>
  <c r="F4" i="2"/>
  <c r="J126" i="2"/>
  <c r="G217" i="2"/>
  <c r="F214" i="2"/>
  <c r="G190" i="2"/>
  <c r="F202" i="2"/>
  <c r="G218" i="2"/>
  <c r="G268" i="2"/>
  <c r="G128" i="2"/>
  <c r="G110" i="2"/>
  <c r="E129" i="2"/>
  <c r="H229" i="2"/>
  <c r="E132" i="2"/>
  <c r="G200" i="2"/>
  <c r="G5" i="2"/>
  <c r="E154" i="2"/>
  <c r="H49" i="2"/>
  <c r="H94" i="2"/>
  <c r="I244" i="2"/>
  <c r="H101" i="2"/>
  <c r="I39" i="2"/>
  <c r="J18" i="2"/>
  <c r="E124" i="2"/>
  <c r="I91" i="2"/>
  <c r="F59" i="2"/>
  <c r="I45" i="2"/>
  <c r="G225" i="2"/>
  <c r="J209" i="2"/>
  <c r="J96" i="2"/>
  <c r="G95" i="2"/>
  <c r="F51" i="2"/>
  <c r="J84" i="2"/>
  <c r="J109" i="2"/>
  <c r="H217" i="2"/>
  <c r="E100" i="2"/>
  <c r="F69" i="2"/>
  <c r="G4" i="2"/>
  <c r="H276" i="2"/>
  <c r="J230" i="2"/>
  <c r="I46" i="2"/>
  <c r="E217" i="2"/>
  <c r="J24" i="2"/>
  <c r="G33" i="2"/>
  <c r="G192" i="2"/>
  <c r="H66" i="2"/>
  <c r="H109" i="2"/>
  <c r="F216" i="2"/>
  <c r="E274" i="2"/>
  <c r="F269" i="2"/>
  <c r="H142" i="2"/>
  <c r="J36" i="2"/>
  <c r="F154" i="2"/>
  <c r="J103" i="2"/>
  <c r="E223" i="2"/>
  <c r="I34" i="2"/>
  <c r="H23" i="2"/>
  <c r="H222" i="2"/>
  <c r="F131" i="2"/>
  <c r="F173" i="2"/>
  <c r="F113" i="2"/>
  <c r="F195" i="2"/>
  <c r="F198" i="2"/>
  <c r="F78" i="2"/>
  <c r="I207" i="2"/>
  <c r="F225" i="2"/>
  <c r="H218" i="2"/>
  <c r="F246" i="2"/>
  <c r="G133" i="2"/>
  <c r="J51" i="2"/>
  <c r="F250" i="2"/>
  <c r="F233" i="2"/>
  <c r="G243" i="2"/>
  <c r="F93" i="2"/>
  <c r="H39" i="2"/>
  <c r="E49" i="2"/>
  <c r="H255" i="2"/>
  <c r="G277" i="2"/>
  <c r="H47" i="2"/>
  <c r="H269" i="2"/>
  <c r="G77" i="2"/>
  <c r="F160" i="2"/>
  <c r="I168" i="2"/>
  <c r="I10" i="2"/>
  <c r="H208" i="2"/>
  <c r="G147" i="2"/>
  <c r="H68" i="2"/>
  <c r="I253" i="2"/>
  <c r="G117" i="2"/>
  <c r="J248" i="2"/>
  <c r="I262" i="2"/>
  <c r="G151" i="2"/>
  <c r="J255" i="2"/>
  <c r="E235" i="2"/>
  <c r="J187" i="2"/>
  <c r="G131" i="2"/>
  <c r="G193" i="2"/>
  <c r="I74" i="2"/>
  <c r="F63" i="2"/>
  <c r="F237" i="2"/>
  <c r="E26" i="2"/>
  <c r="J104" i="2"/>
  <c r="F192" i="2"/>
  <c r="H70" i="2"/>
  <c r="F157" i="2"/>
  <c r="J60" i="2"/>
  <c r="G237" i="2"/>
  <c r="H170" i="2"/>
  <c r="F275" i="2"/>
  <c r="F219" i="2"/>
  <c r="I5" i="2"/>
  <c r="I13" i="2"/>
  <c r="G170" i="2"/>
  <c r="E9" i="2"/>
  <c r="E230" i="2"/>
  <c r="H265" i="2"/>
  <c r="I47" i="2"/>
  <c r="G142" i="2"/>
  <c r="J172" i="2"/>
  <c r="G245" i="2"/>
  <c r="I58" i="2"/>
  <c r="J222" i="2"/>
  <c r="H173" i="2"/>
  <c r="G15" i="2"/>
  <c r="H89" i="2"/>
  <c r="F139" i="2"/>
  <c r="E276" i="2"/>
  <c r="G269" i="2"/>
  <c r="G28" i="2"/>
  <c r="H260" i="2"/>
  <c r="E170" i="2"/>
  <c r="G163" i="2"/>
  <c r="G143" i="2"/>
  <c r="I72" i="2"/>
  <c r="F149" i="2"/>
  <c r="J66" i="2"/>
  <c r="I226" i="2"/>
  <c r="G274" i="2"/>
  <c r="G23" i="2"/>
  <c r="G233" i="2"/>
  <c r="H73" i="2"/>
  <c r="F76" i="2"/>
  <c r="F126" i="2"/>
  <c r="I92" i="2"/>
  <c r="G247" i="2"/>
  <c r="H37" i="2"/>
  <c r="I239" i="2"/>
  <c r="I245" i="2"/>
  <c r="I133" i="2"/>
  <c r="I201" i="2"/>
  <c r="F164" i="2"/>
  <c r="I237" i="2"/>
  <c r="I165" i="2"/>
  <c r="I61" i="2"/>
  <c r="I232" i="2"/>
  <c r="J164" i="2"/>
  <c r="E11" i="2"/>
  <c r="J274" i="2"/>
  <c r="F101" i="2"/>
  <c r="J23" i="2"/>
  <c r="G2" i="2"/>
  <c r="E75" i="2"/>
  <c r="J194" i="2"/>
  <c r="J55" i="2"/>
  <c r="H139" i="2"/>
  <c r="I156" i="2"/>
  <c r="F239" i="2"/>
  <c r="I173" i="2"/>
  <c r="H243" i="2"/>
  <c r="F165" i="2"/>
  <c r="G87" i="2"/>
  <c r="I158" i="2"/>
  <c r="I218" i="2"/>
  <c r="I44" i="2"/>
  <c r="G206" i="2"/>
  <c r="E131" i="2"/>
  <c r="E163" i="2"/>
  <c r="I227" i="2"/>
  <c r="H108" i="2"/>
  <c r="F236" i="2"/>
  <c r="H219" i="2"/>
  <c r="F120" i="2"/>
  <c r="J170" i="2"/>
  <c r="F107" i="2"/>
  <c r="I202" i="2"/>
  <c r="I41" i="2"/>
  <c r="E252" i="2"/>
  <c r="J254" i="2"/>
  <c r="G181" i="2"/>
  <c r="J94" i="2"/>
  <c r="I32" i="2"/>
  <c r="H13" i="2"/>
  <c r="J37" i="2"/>
  <c r="H187" i="2"/>
  <c r="G57" i="2"/>
  <c r="I256" i="2"/>
  <c r="E130" i="2"/>
  <c r="I132" i="2"/>
  <c r="H274" i="2"/>
  <c r="J186" i="2"/>
  <c r="H176" i="2"/>
  <c r="H185" i="2"/>
  <c r="H72" i="2"/>
  <c r="J176" i="2"/>
  <c r="F102" i="2"/>
  <c r="I123" i="2"/>
  <c r="E181" i="2"/>
  <c r="F16" i="2"/>
  <c r="I12" i="2"/>
  <c r="F261" i="2"/>
  <c r="J240" i="2"/>
  <c r="F80" i="2"/>
  <c r="E48" i="2"/>
  <c r="G88" i="2"/>
  <c r="J233" i="2"/>
  <c r="H41" i="2"/>
  <c r="E125" i="2"/>
  <c r="E244" i="2"/>
  <c r="F33" i="2"/>
  <c r="E250" i="2"/>
  <c r="I274" i="2"/>
  <c r="F140" i="2"/>
  <c r="F22" i="2"/>
  <c r="G165" i="2"/>
  <c r="I151" i="2"/>
  <c r="E152" i="2"/>
  <c r="F72" i="2"/>
  <c r="J193" i="2"/>
  <c r="G73" i="2"/>
  <c r="F197" i="2"/>
  <c r="G121" i="2"/>
  <c r="J63" i="2"/>
  <c r="F21" i="2"/>
  <c r="I113" i="2"/>
  <c r="F161" i="2"/>
  <c r="G270" i="2"/>
  <c r="G156" i="2"/>
  <c r="H59" i="2"/>
  <c r="H7" i="2"/>
  <c r="E115" i="2"/>
  <c r="I117" i="2"/>
  <c r="J58" i="2"/>
  <c r="I178" i="2"/>
  <c r="F255" i="2"/>
  <c r="I205" i="2"/>
  <c r="F176" i="2"/>
  <c r="I194" i="2"/>
  <c r="F116" i="2"/>
  <c r="J53" i="2"/>
  <c r="G157" i="2"/>
  <c r="G99" i="2"/>
  <c r="G31" i="2"/>
  <c r="I68" i="2"/>
  <c r="H211" i="2"/>
  <c r="F138" i="2"/>
  <c r="H202" i="2"/>
  <c r="J31" i="2"/>
  <c r="J93" i="2"/>
  <c r="E121" i="2"/>
  <c r="I258" i="2"/>
  <c r="E55" i="2"/>
  <c r="F177" i="2"/>
  <c r="E12" i="2"/>
  <c r="E226" i="2"/>
  <c r="I153" i="2"/>
  <c r="G13" i="2"/>
  <c r="G210" i="2"/>
  <c r="I109" i="2"/>
  <c r="H275" i="2"/>
  <c r="G241" i="2"/>
  <c r="E225" i="2"/>
  <c r="J183" i="2"/>
  <c r="J108" i="2"/>
  <c r="I240" i="2"/>
  <c r="I22" i="2"/>
  <c r="I111" i="2"/>
  <c r="I71" i="2"/>
  <c r="G71" i="2"/>
  <c r="F109" i="2"/>
  <c r="G76" i="2"/>
  <c r="E258" i="2"/>
  <c r="I241" i="2"/>
  <c r="I120" i="2"/>
  <c r="I198" i="2"/>
  <c r="I101" i="2"/>
  <c r="H80" i="2"/>
  <c r="E103" i="2"/>
  <c r="G108" i="2"/>
  <c r="E95" i="2"/>
  <c r="J114" i="2"/>
  <c r="H121" i="2"/>
  <c r="F92" i="2"/>
  <c r="F105" i="2"/>
  <c r="F258" i="2"/>
  <c r="E25" i="2"/>
  <c r="E260" i="2"/>
  <c r="I137" i="2"/>
  <c r="E206" i="2"/>
  <c r="F115" i="2"/>
  <c r="G124" i="2"/>
  <c r="E47" i="2"/>
  <c r="I144" i="2"/>
  <c r="H75" i="2"/>
  <c r="H83" i="2"/>
  <c r="H3" i="2"/>
  <c r="J184" i="2"/>
  <c r="E158" i="2"/>
  <c r="I28" i="2"/>
  <c r="G221" i="2"/>
  <c r="F8" i="2"/>
  <c r="I161" i="2"/>
  <c r="J182" i="2"/>
  <c r="G18" i="2"/>
  <c r="H8" i="2"/>
  <c r="E97" i="2"/>
  <c r="H220" i="2"/>
  <c r="I141" i="2"/>
  <c r="H226" i="2"/>
  <c r="E18" i="2"/>
  <c r="I162" i="2"/>
  <c r="G226" i="2"/>
  <c r="F265" i="2"/>
  <c r="E113" i="2"/>
  <c r="F168" i="2"/>
  <c r="J177" i="2"/>
  <c r="H106" i="2"/>
  <c r="H144" i="2"/>
  <c r="J6" i="2"/>
  <c r="F185" i="2"/>
  <c r="H155" i="2"/>
  <c r="E128" i="2"/>
  <c r="H14" i="2"/>
  <c r="F6" i="2"/>
  <c r="E71" i="2"/>
  <c r="J253" i="2"/>
  <c r="G100" i="2"/>
  <c r="J264" i="2"/>
  <c r="I188" i="2"/>
  <c r="G240" i="2"/>
  <c r="H79" i="2"/>
  <c r="E82" i="2"/>
  <c r="F49" i="2"/>
  <c r="M361" i="2" l="1"/>
  <c r="M320" i="2"/>
  <c r="O350" i="2"/>
  <c r="N341" i="2"/>
  <c r="O286" i="2"/>
  <c r="P353" i="2"/>
  <c r="L309" i="2"/>
  <c r="L357" i="2"/>
  <c r="K373" i="2"/>
  <c r="O382" i="2"/>
  <c r="M363" i="2"/>
  <c r="L352" i="2"/>
  <c r="O363" i="2"/>
  <c r="O384" i="2"/>
  <c r="L376" i="2"/>
  <c r="O293" i="2"/>
  <c r="O292" i="2"/>
  <c r="N279" i="2"/>
  <c r="O340" i="2"/>
  <c r="K326" i="2"/>
  <c r="K359" i="2"/>
  <c r="M373" i="2"/>
  <c r="K297" i="2"/>
  <c r="K380" i="2"/>
  <c r="K375" i="2"/>
  <c r="L327" i="2"/>
  <c r="N349" i="2"/>
  <c r="M280" i="2"/>
  <c r="M288" i="2"/>
  <c r="L289" i="2"/>
  <c r="K322" i="2"/>
  <c r="N373" i="2"/>
  <c r="N283" i="2"/>
  <c r="K287" i="2"/>
  <c r="L343" i="2"/>
  <c r="M343" i="2"/>
  <c r="P291" i="2"/>
  <c r="P327" i="2"/>
  <c r="O304" i="2"/>
  <c r="P298" i="2"/>
  <c r="L291" i="2"/>
  <c r="N284" i="2"/>
  <c r="M329" i="2"/>
  <c r="O336" i="2"/>
  <c r="P294" i="2"/>
  <c r="P336" i="2"/>
  <c r="L296" i="2"/>
  <c r="O302" i="2"/>
  <c r="N310" i="2"/>
  <c r="N360" i="2"/>
  <c r="M310" i="2"/>
  <c r="O358" i="2"/>
  <c r="N384" i="2"/>
  <c r="L313" i="2"/>
  <c r="L389" i="2"/>
  <c r="P305" i="2"/>
  <c r="P301" i="2"/>
  <c r="L366" i="2"/>
  <c r="N342" i="2"/>
  <c r="L365" i="2"/>
  <c r="K292" i="2"/>
  <c r="P378" i="2"/>
  <c r="K301" i="2"/>
  <c r="K313" i="2"/>
  <c r="N389" i="2"/>
  <c r="P308" i="2"/>
  <c r="L290" i="2"/>
  <c r="L347" i="2"/>
  <c r="P343" i="2"/>
  <c r="O370" i="2"/>
  <c r="M364" i="2"/>
  <c r="K341" i="2"/>
  <c r="N297" i="2"/>
  <c r="N324" i="2"/>
  <c r="N330" i="2"/>
  <c r="P299" i="2"/>
  <c r="L371" i="2"/>
  <c r="O317" i="2"/>
  <c r="O303" i="2"/>
  <c r="O310" i="2"/>
  <c r="M389" i="2"/>
  <c r="O301" i="2"/>
  <c r="N281" i="2"/>
  <c r="M340" i="2"/>
  <c r="M345" i="2"/>
  <c r="L369" i="2"/>
  <c r="N311" i="2"/>
  <c r="L380" i="2"/>
  <c r="P296" i="2"/>
  <c r="N366" i="2"/>
  <c r="P359" i="2"/>
  <c r="L303" i="2"/>
  <c r="O341" i="2"/>
  <c r="P289" i="2"/>
  <c r="M326" i="2"/>
  <c r="N288" i="2"/>
  <c r="N359" i="2"/>
  <c r="P338" i="2"/>
  <c r="O381" i="2"/>
  <c r="O321" i="2"/>
  <c r="N313" i="2"/>
  <c r="L280" i="2"/>
  <c r="N372" i="2"/>
  <c r="N381" i="2"/>
  <c r="L334" i="2"/>
  <c r="O378" i="2"/>
  <c r="L333" i="2"/>
  <c r="M372" i="2"/>
  <c r="P348" i="2"/>
  <c r="P311" i="2"/>
  <c r="L307" i="2"/>
  <c r="N358" i="2"/>
  <c r="P295" i="2"/>
  <c r="L378" i="2"/>
  <c r="N354" i="2"/>
  <c r="L323" i="2"/>
  <c r="N299" i="2"/>
  <c r="L341" i="2"/>
  <c r="N314" i="2"/>
  <c r="N315" i="2"/>
  <c r="L356" i="2"/>
  <c r="O387" i="2"/>
  <c r="K285" i="2"/>
  <c r="P352" i="2"/>
  <c r="L292" i="2"/>
  <c r="N317" i="2"/>
  <c r="N386" i="2"/>
  <c r="P310" i="2"/>
  <c r="M290" i="2"/>
  <c r="M287" i="2"/>
  <c r="K343" i="2"/>
  <c r="M376" i="2"/>
  <c r="N346" i="2"/>
  <c r="M304" i="2"/>
  <c r="N303" i="2"/>
  <c r="M390" i="2"/>
  <c r="P387" i="2"/>
  <c r="P350" i="2"/>
  <c r="P373" i="2"/>
  <c r="L358" i="2"/>
  <c r="M283" i="2"/>
  <c r="O355" i="2"/>
  <c r="N301" i="2"/>
  <c r="P316" i="2"/>
  <c r="O379" i="2"/>
  <c r="M338" i="2"/>
  <c r="N332" i="2"/>
  <c r="K331" i="2"/>
  <c r="O369" i="2"/>
  <c r="N316" i="2"/>
  <c r="O323" i="2"/>
  <c r="M281" i="2"/>
  <c r="L315" i="2"/>
  <c r="P321" i="2"/>
  <c r="N380" i="2"/>
  <c r="M322" i="2"/>
  <c r="O389" i="2"/>
  <c r="L316" i="2"/>
  <c r="M295" i="2"/>
  <c r="L384" i="2"/>
  <c r="L299" i="2"/>
  <c r="N307" i="2"/>
  <c r="K312" i="2"/>
  <c r="M355" i="2"/>
  <c r="M308" i="2"/>
  <c r="N370" i="2"/>
  <c r="K376" i="2"/>
  <c r="N333" i="2"/>
  <c r="K280" i="2"/>
  <c r="N295" i="2"/>
  <c r="M358" i="2"/>
  <c r="O316" i="2"/>
  <c r="K356" i="2"/>
  <c r="L345" i="2"/>
  <c r="N385" i="2"/>
  <c r="K334" i="2"/>
  <c r="L350" i="2"/>
  <c r="L320" i="2"/>
  <c r="N353" i="2"/>
  <c r="L342" i="2"/>
  <c r="L383" i="2"/>
  <c r="K333" i="2"/>
  <c r="O348" i="2"/>
  <c r="N339" i="2"/>
  <c r="K279" i="2"/>
  <c r="O333" i="2"/>
  <c r="O306" i="2"/>
  <c r="N352" i="2"/>
  <c r="N309" i="2"/>
  <c r="N335" i="2"/>
  <c r="P326" i="2"/>
  <c r="N329" i="2"/>
  <c r="K324" i="2"/>
  <c r="K298" i="2"/>
  <c r="L354" i="2"/>
  <c r="L373" i="2"/>
  <c r="L286" i="2"/>
  <c r="M359" i="2"/>
  <c r="P339" i="2"/>
  <c r="P382" i="2"/>
  <c r="N336" i="2"/>
  <c r="K339" i="2"/>
  <c r="P286" i="2"/>
  <c r="K342" i="2"/>
  <c r="P355" i="2"/>
  <c r="M388" i="2"/>
  <c r="M334" i="2"/>
  <c r="L364" i="2"/>
  <c r="O343" i="2"/>
  <c r="O362" i="2"/>
  <c r="P303" i="2"/>
  <c r="O353" i="2"/>
  <c r="L302" i="2"/>
  <c r="K308" i="2"/>
  <c r="N327" i="2"/>
  <c r="M346" i="2"/>
  <c r="K327" i="2"/>
  <c r="P322" i="2"/>
  <c r="P335" i="2"/>
  <c r="P380" i="2"/>
  <c r="L344" i="2"/>
  <c r="N347" i="2"/>
  <c r="M360" i="2"/>
  <c r="K377" i="2"/>
  <c r="K294" i="2"/>
  <c r="K365" i="2"/>
  <c r="O315" i="2"/>
  <c r="K338" i="2"/>
  <c r="O325" i="2"/>
  <c r="M369" i="2"/>
  <c r="P307" i="2"/>
  <c r="O375" i="2"/>
  <c r="L321" i="2"/>
  <c r="M356" i="2"/>
  <c r="M333" i="2"/>
  <c r="P356" i="2"/>
  <c r="N312" i="2"/>
  <c r="K357" i="2"/>
  <c r="N331" i="2"/>
  <c r="M380" i="2"/>
  <c r="K289" i="2"/>
  <c r="K372" i="2"/>
  <c r="K388" i="2"/>
  <c r="N286" i="2"/>
  <c r="N357" i="2"/>
  <c r="O330" i="2"/>
  <c r="N326" i="2"/>
  <c r="L338" i="2"/>
  <c r="P362" i="2"/>
  <c r="K383" i="2"/>
  <c r="M385" i="2"/>
  <c r="O388" i="2"/>
  <c r="O332" i="2"/>
  <c r="P365" i="2"/>
  <c r="N356" i="2"/>
  <c r="M330" i="2"/>
  <c r="O368" i="2"/>
  <c r="P349" i="2"/>
  <c r="O313" i="2"/>
  <c r="P282" i="2"/>
  <c r="K344" i="2"/>
  <c r="O287" i="2"/>
  <c r="N371" i="2"/>
  <c r="O372" i="2"/>
  <c r="K390" i="2"/>
  <c r="M285" i="2"/>
  <c r="M370" i="2"/>
  <c r="L337" i="2"/>
  <c r="M347" i="2"/>
  <c r="O335" i="2"/>
  <c r="K302" i="2"/>
  <c r="N291" i="2"/>
  <c r="P309" i="2"/>
  <c r="P346" i="2"/>
  <c r="L314" i="2"/>
  <c r="P389" i="2"/>
  <c r="K284" i="2"/>
  <c r="M381" i="2"/>
  <c r="M323" i="2"/>
  <c r="N319" i="2"/>
  <c r="P325" i="2"/>
  <c r="N377" i="2"/>
  <c r="M341" i="2"/>
  <c r="M311" i="2"/>
  <c r="N321" i="2"/>
  <c r="L385" i="2"/>
  <c r="M386" i="2"/>
  <c r="M367" i="2"/>
  <c r="L298" i="2"/>
  <c r="O320" i="2"/>
  <c r="O278" i="2"/>
  <c r="P333" i="2"/>
  <c r="N305" i="2"/>
  <c r="K347" i="2"/>
  <c r="L324" i="2"/>
  <c r="P304" i="2"/>
  <c r="K350" i="2"/>
  <c r="O281" i="2"/>
  <c r="K319" i="2"/>
  <c r="O354" i="2"/>
  <c r="N338" i="2"/>
  <c r="O365" i="2"/>
  <c r="K323" i="2"/>
  <c r="P324" i="2"/>
  <c r="K358" i="2"/>
  <c r="L382" i="2"/>
  <c r="M296" i="2"/>
  <c r="L386" i="2"/>
  <c r="N337" i="2"/>
  <c r="N361" i="2"/>
  <c r="O279" i="2"/>
  <c r="N320" i="2"/>
  <c r="M321" i="2"/>
  <c r="K295" i="2"/>
  <c r="L372" i="2"/>
  <c r="K386" i="2"/>
  <c r="P371" i="2"/>
  <c r="O307" i="2"/>
  <c r="P390" i="2"/>
  <c r="O373" i="2"/>
  <c r="N362" i="2"/>
  <c r="L285" i="2"/>
  <c r="P360" i="2"/>
  <c r="L331" i="2"/>
  <c r="P361" i="2"/>
  <c r="M344" i="2"/>
  <c r="N340" i="2"/>
  <c r="K379" i="2"/>
  <c r="P347" i="2"/>
  <c r="P344" i="2"/>
  <c r="L346" i="2"/>
  <c r="M387" i="2"/>
  <c r="O347" i="2"/>
  <c r="O337" i="2"/>
  <c r="M348" i="2"/>
  <c r="M279" i="2"/>
  <c r="P379" i="2"/>
  <c r="L379" i="2"/>
  <c r="M371" i="2"/>
  <c r="K337" i="2"/>
  <c r="L367" i="2"/>
  <c r="K378" i="2"/>
  <c r="K351" i="2"/>
  <c r="P315" i="2"/>
  <c r="P285" i="2"/>
  <c r="P302" i="2"/>
  <c r="K354" i="2"/>
  <c r="K363" i="2"/>
  <c r="P306" i="2"/>
  <c r="L381" i="2"/>
  <c r="L305" i="2"/>
  <c r="K362" i="2"/>
  <c r="O342" i="2"/>
  <c r="P340" i="2"/>
  <c r="N285" i="2"/>
  <c r="K303" i="2"/>
  <c r="L353" i="2"/>
  <c r="P364" i="2"/>
  <c r="M350" i="2"/>
  <c r="N383" i="2"/>
  <c r="M278" i="2"/>
  <c r="K352" i="2"/>
  <c r="O319" i="2"/>
  <c r="L312" i="2"/>
  <c r="M312" i="2"/>
  <c r="M374" i="2"/>
  <c r="K371" i="2"/>
  <c r="O309" i="2"/>
  <c r="O328" i="2"/>
  <c r="P372" i="2"/>
  <c r="O356" i="2"/>
  <c r="M354" i="2"/>
  <c r="O339" i="2"/>
  <c r="K360" i="2"/>
  <c r="O371" i="2"/>
  <c r="O298" i="2"/>
  <c r="P388" i="2"/>
  <c r="K387" i="2"/>
  <c r="O359" i="2"/>
  <c r="P300" i="2"/>
  <c r="K293" i="2"/>
  <c r="P317" i="2"/>
  <c r="O296" i="2"/>
  <c r="M335" i="2"/>
  <c r="L335" i="2"/>
  <c r="P288" i="2"/>
  <c r="L368" i="2"/>
  <c r="L322" i="2"/>
  <c r="P331" i="2"/>
  <c r="O324" i="2"/>
  <c r="O385" i="2"/>
  <c r="K311" i="2"/>
  <c r="M366" i="2"/>
  <c r="L282" i="2"/>
  <c r="O305" i="2"/>
  <c r="M289" i="2"/>
  <c r="K306" i="2"/>
  <c r="K316" i="2"/>
  <c r="L361" i="2"/>
  <c r="O331" i="2"/>
  <c r="P358" i="2"/>
  <c r="N325" i="2"/>
  <c r="M383" i="2"/>
  <c r="O360" i="2"/>
  <c r="K325" i="2"/>
  <c r="M292" i="2"/>
  <c r="K345" i="2"/>
  <c r="O312" i="2"/>
  <c r="O291" i="2"/>
  <c r="N282" i="2"/>
  <c r="M306" i="2"/>
  <c r="O344" i="2"/>
  <c r="M291" i="2"/>
  <c r="M298" i="2"/>
  <c r="K309" i="2"/>
  <c r="N343" i="2"/>
  <c r="K361" i="2"/>
  <c r="K320" i="2"/>
  <c r="K332" i="2"/>
  <c r="M318" i="2"/>
  <c r="N351" i="2"/>
  <c r="N365" i="2"/>
  <c r="O351" i="2"/>
  <c r="M315" i="2"/>
  <c r="O374" i="2"/>
  <c r="M317" i="2"/>
  <c r="K368" i="2"/>
  <c r="M313" i="2"/>
  <c r="L326" i="2"/>
  <c r="L359" i="2"/>
  <c r="P374" i="2"/>
  <c r="M342" i="2"/>
  <c r="M309" i="2"/>
  <c r="K318" i="2"/>
  <c r="P384" i="2"/>
  <c r="P332" i="2"/>
  <c r="M379" i="2"/>
  <c r="P376" i="2"/>
  <c r="K335" i="2"/>
  <c r="N334" i="2"/>
  <c r="O357" i="2"/>
  <c r="N379" i="2"/>
  <c r="O326" i="2"/>
  <c r="O289" i="2"/>
  <c r="P297" i="2"/>
  <c r="K310" i="2"/>
  <c r="M377" i="2"/>
  <c r="P319" i="2"/>
  <c r="N280" i="2"/>
  <c r="O364" i="2"/>
  <c r="O334" i="2"/>
  <c r="M305" i="2"/>
  <c r="N375" i="2"/>
  <c r="L279" i="2"/>
  <c r="N300" i="2"/>
  <c r="L370" i="2"/>
  <c r="N322" i="2"/>
  <c r="K353" i="2"/>
  <c r="K382" i="2"/>
  <c r="O318" i="2"/>
  <c r="L351" i="2"/>
  <c r="P367" i="2"/>
  <c r="P281" i="2"/>
  <c r="N378" i="2"/>
  <c r="P313" i="2"/>
  <c r="L287" i="2"/>
  <c r="P320" i="2"/>
  <c r="P329" i="2"/>
  <c r="L311" i="2"/>
  <c r="N355" i="2"/>
  <c r="L375" i="2"/>
  <c r="P278" i="2"/>
  <c r="L283" i="2"/>
  <c r="K328" i="2"/>
  <c r="K366" i="2"/>
  <c r="P381" i="2"/>
  <c r="L293" i="2"/>
  <c r="K321" i="2"/>
  <c r="K355" i="2"/>
  <c r="N369" i="2"/>
  <c r="O294" i="2"/>
  <c r="K305" i="2"/>
  <c r="K349" i="2"/>
  <c r="K330" i="2"/>
  <c r="O338" i="2"/>
  <c r="L306" i="2"/>
  <c r="P345" i="2"/>
  <c r="L329" i="2"/>
  <c r="P341" i="2"/>
  <c r="P280" i="2"/>
  <c r="K385" i="2"/>
  <c r="N289" i="2"/>
  <c r="P287" i="2"/>
  <c r="O352" i="2"/>
  <c r="K288" i="2"/>
  <c r="O349" i="2"/>
  <c r="P290" i="2"/>
  <c r="K304" i="2"/>
  <c r="O297" i="2"/>
  <c r="M352" i="2"/>
  <c r="K384" i="2"/>
  <c r="M293" i="2"/>
  <c r="P383" i="2"/>
  <c r="N323" i="2"/>
  <c r="O285" i="2"/>
  <c r="P328" i="2"/>
  <c r="M316" i="2"/>
  <c r="K370" i="2"/>
  <c r="L284" i="2"/>
  <c r="N306" i="2"/>
  <c r="O345" i="2"/>
  <c r="O361" i="2"/>
  <c r="L278" i="2"/>
  <c r="L281" i="2"/>
  <c r="K307" i="2"/>
  <c r="N376" i="2"/>
  <c r="P293" i="2"/>
  <c r="O311" i="2"/>
  <c r="P283" i="2"/>
  <c r="O380" i="2"/>
  <c r="M299" i="2"/>
  <c r="K296" i="2"/>
  <c r="K286" i="2"/>
  <c r="M327" i="2"/>
  <c r="K381" i="2"/>
  <c r="M324" i="2"/>
  <c r="K291" i="2"/>
  <c r="P368" i="2"/>
  <c r="L336" i="2"/>
  <c r="N390" i="2"/>
  <c r="L340" i="2"/>
  <c r="L374" i="2"/>
  <c r="K300" i="2"/>
  <c r="L295" i="2"/>
  <c r="N296" i="2"/>
  <c r="K299" i="2"/>
  <c r="O329" i="2"/>
  <c r="P386" i="2"/>
  <c r="N364" i="2"/>
  <c r="O284" i="2"/>
  <c r="N294" i="2"/>
  <c r="N293" i="2"/>
  <c r="P292" i="2"/>
  <c r="O377" i="2"/>
  <c r="L349" i="2"/>
  <c r="K340" i="2"/>
  <c r="O322" i="2"/>
  <c r="P279" i="2"/>
  <c r="L330" i="2"/>
  <c r="M353" i="2"/>
  <c r="P334" i="2"/>
  <c r="L355" i="2"/>
  <c r="O288" i="2"/>
  <c r="M319" i="2"/>
  <c r="K283" i="2"/>
  <c r="L339" i="2"/>
  <c r="M332" i="2"/>
  <c r="P318" i="2"/>
  <c r="M325" i="2"/>
  <c r="N298" i="2"/>
  <c r="L300" i="2"/>
  <c r="L390" i="2"/>
  <c r="L288" i="2"/>
  <c r="K329" i="2"/>
  <c r="O346" i="2"/>
  <c r="P354" i="2"/>
  <c r="N368" i="2"/>
  <c r="N367" i="2"/>
  <c r="O383" i="2"/>
  <c r="K314" i="2"/>
  <c r="M286" i="2"/>
  <c r="P337" i="2"/>
  <c r="N278" i="2"/>
  <c r="O367" i="2"/>
  <c r="P375" i="2"/>
  <c r="N387" i="2"/>
  <c r="P370" i="2"/>
  <c r="L348" i="2"/>
  <c r="L304" i="2"/>
  <c r="N318" i="2"/>
  <c r="L332" i="2"/>
  <c r="O366" i="2"/>
  <c r="L301" i="2"/>
  <c r="K364" i="2"/>
  <c r="M314" i="2"/>
  <c r="K282" i="2"/>
  <c r="P363" i="2"/>
  <c r="L297" i="2"/>
  <c r="M368" i="2"/>
  <c r="O327" i="2"/>
  <c r="N308" i="2"/>
  <c r="N344" i="2"/>
  <c r="M284" i="2"/>
  <c r="N290" i="2"/>
  <c r="N292" i="2"/>
  <c r="L328" i="2"/>
  <c r="M331" i="2"/>
  <c r="M282" i="2"/>
  <c r="P342" i="2"/>
  <c r="M357" i="2"/>
  <c r="K369" i="2"/>
  <c r="M337" i="2"/>
  <c r="K336" i="2"/>
  <c r="O314" i="2"/>
  <c r="K367" i="2"/>
  <c r="M302" i="2"/>
  <c r="L310" i="2"/>
  <c r="O290" i="2"/>
  <c r="N328" i="2"/>
  <c r="M336" i="2"/>
  <c r="P312" i="2"/>
  <c r="K281" i="2"/>
  <c r="L387" i="2"/>
  <c r="N374" i="2"/>
  <c r="P330" i="2"/>
  <c r="P366" i="2"/>
  <c r="N363" i="2"/>
  <c r="L318" i="2"/>
  <c r="P351" i="2"/>
  <c r="L325" i="2"/>
  <c r="P369" i="2"/>
  <c r="O386" i="2"/>
  <c r="K348" i="2"/>
  <c r="L377" i="2"/>
  <c r="K317" i="2"/>
  <c r="O282" i="2"/>
  <c r="P314" i="2"/>
  <c r="M365" i="2"/>
  <c r="M328" i="2"/>
  <c r="O299" i="2"/>
  <c r="K346" i="2"/>
  <c r="K278" i="2"/>
  <c r="M382" i="2"/>
  <c r="O390" i="2"/>
  <c r="L388" i="2"/>
  <c r="M339" i="2"/>
  <c r="O376" i="2"/>
  <c r="N350" i="2"/>
  <c r="P357" i="2"/>
  <c r="O295" i="2"/>
  <c r="M349" i="2"/>
  <c r="K315" i="2"/>
  <c r="L363" i="2"/>
  <c r="P323" i="2"/>
  <c r="L308" i="2"/>
  <c r="N304" i="2"/>
  <c r="M294" i="2"/>
  <c r="M301" i="2"/>
  <c r="M303" i="2"/>
  <c r="M297" i="2"/>
  <c r="P284" i="2"/>
  <c r="M362" i="2"/>
  <c r="O280" i="2"/>
  <c r="M375" i="2"/>
  <c r="N388" i="2"/>
  <c r="L360" i="2"/>
  <c r="O300" i="2"/>
  <c r="K389" i="2"/>
  <c r="P385" i="2"/>
  <c r="O308" i="2"/>
  <c r="K374" i="2"/>
  <c r="N302" i="2"/>
  <c r="N345" i="2"/>
  <c r="N287" i="2"/>
  <c r="N348" i="2"/>
  <c r="L317" i="2"/>
  <c r="M378" i="2"/>
  <c r="M300" i="2"/>
  <c r="M351" i="2"/>
  <c r="M307" i="2"/>
  <c r="L319" i="2"/>
  <c r="L362" i="2"/>
  <c r="M384" i="2"/>
  <c r="P377" i="2"/>
  <c r="O283" i="2"/>
  <c r="K290" i="2"/>
  <c r="N382" i="2"/>
  <c r="L294" i="2"/>
  <c r="O114" i="2"/>
  <c r="N276" i="2"/>
  <c r="N211" i="2"/>
  <c r="M23" i="2"/>
  <c r="L43" i="2"/>
  <c r="L45" i="2"/>
  <c r="N112" i="2"/>
  <c r="K108" i="2"/>
  <c r="N90" i="2"/>
  <c r="O133" i="2"/>
  <c r="L126" i="2"/>
  <c r="M274" i="2"/>
  <c r="M95" i="2"/>
  <c r="O184" i="2"/>
  <c r="N201" i="2"/>
  <c r="P26" i="2"/>
  <c r="O218" i="2"/>
  <c r="L220" i="2"/>
  <c r="L51" i="2"/>
  <c r="O226" i="2"/>
  <c r="M205" i="2"/>
  <c r="M39" i="2"/>
  <c r="K41" i="2"/>
  <c r="K242" i="2"/>
  <c r="O241" i="2"/>
  <c r="K121" i="2"/>
  <c r="L76" i="2"/>
  <c r="P66" i="2"/>
  <c r="P96" i="2"/>
  <c r="P246" i="2"/>
  <c r="K3" i="2"/>
  <c r="O124" i="2"/>
  <c r="P103" i="2"/>
  <c r="M4" i="2"/>
  <c r="O68" i="2"/>
  <c r="L149" i="2"/>
  <c r="L187" i="2"/>
  <c r="N54" i="2"/>
  <c r="P29" i="2"/>
  <c r="O3" i="2"/>
  <c r="L53" i="2"/>
  <c r="M236" i="2"/>
  <c r="N73" i="2"/>
  <c r="O72" i="2"/>
  <c r="P209" i="2"/>
  <c r="P157" i="2"/>
  <c r="N36" i="2"/>
  <c r="N136" i="2"/>
  <c r="L17" i="2"/>
  <c r="O245" i="2"/>
  <c r="M31" i="2"/>
  <c r="M143" i="2"/>
  <c r="M149" i="2"/>
  <c r="M242" i="2"/>
  <c r="P135" i="2"/>
  <c r="L156" i="2"/>
  <c r="K258" i="2"/>
  <c r="P107" i="2"/>
  <c r="M233" i="2"/>
  <c r="M163" i="2"/>
  <c r="M225" i="2"/>
  <c r="O129" i="2"/>
  <c r="N205" i="2"/>
  <c r="N93" i="2"/>
  <c r="O158" i="2"/>
  <c r="P93" i="2"/>
  <c r="M99" i="2"/>
  <c r="K170" i="2"/>
  <c r="K247" i="2"/>
  <c r="N235" i="2"/>
  <c r="L231" i="2"/>
  <c r="M189" i="2"/>
  <c r="P9" i="2"/>
  <c r="L69" i="2"/>
  <c r="M157" i="2"/>
  <c r="N260" i="2"/>
  <c r="K228" i="2"/>
  <c r="O121" i="2"/>
  <c r="L57" i="2"/>
  <c r="K169" i="2"/>
  <c r="M76" i="2"/>
  <c r="O239" i="2"/>
  <c r="P53" i="2"/>
  <c r="M28" i="2"/>
  <c r="O45" i="2"/>
  <c r="K44" i="2"/>
  <c r="L260" i="2"/>
  <c r="P27" i="2"/>
  <c r="M87" i="2"/>
  <c r="N86" i="2"/>
  <c r="L116" i="2"/>
  <c r="M269" i="2"/>
  <c r="L171" i="2"/>
  <c r="N244" i="2"/>
  <c r="L35" i="2"/>
  <c r="K173" i="2"/>
  <c r="O224" i="2"/>
  <c r="K100" i="2"/>
  <c r="O194" i="2"/>
  <c r="K276" i="2"/>
  <c r="L59" i="2"/>
  <c r="L84" i="2"/>
  <c r="N250" i="2"/>
  <c r="K146" i="2"/>
  <c r="L154" i="2"/>
  <c r="P31" i="2"/>
  <c r="L176" i="2"/>
  <c r="L139" i="2"/>
  <c r="O266" i="2"/>
  <c r="O174" i="2"/>
  <c r="K259" i="2"/>
  <c r="P47" i="2"/>
  <c r="L109" i="2"/>
  <c r="N37" i="2"/>
  <c r="O205" i="2"/>
  <c r="N89" i="2"/>
  <c r="O91" i="2"/>
  <c r="M255" i="2"/>
  <c r="O150" i="2"/>
  <c r="M174" i="2"/>
  <c r="L165" i="2"/>
  <c r="K177" i="2"/>
  <c r="L255" i="2"/>
  <c r="M15" i="2"/>
  <c r="L125" i="2"/>
  <c r="K24" i="2"/>
  <c r="P68" i="2"/>
  <c r="M248" i="2"/>
  <c r="O213" i="2"/>
  <c r="N217" i="2"/>
  <c r="O178" i="2"/>
  <c r="N173" i="2"/>
  <c r="K124" i="2"/>
  <c r="P14" i="2"/>
  <c r="K190" i="2"/>
  <c r="M220" i="2"/>
  <c r="P36" i="2"/>
  <c r="N202" i="2"/>
  <c r="P58" i="2"/>
  <c r="P222" i="2"/>
  <c r="K33" i="2"/>
  <c r="M98" i="2"/>
  <c r="M53" i="2"/>
  <c r="K56" i="2"/>
  <c r="M71" i="2"/>
  <c r="K7" i="2"/>
  <c r="O117" i="2"/>
  <c r="O58" i="2"/>
  <c r="P18" i="2"/>
  <c r="P8" i="2"/>
  <c r="P52" i="2"/>
  <c r="K6" i="2"/>
  <c r="N243" i="2"/>
  <c r="M247" i="2"/>
  <c r="K115" i="2"/>
  <c r="M245" i="2"/>
  <c r="L65" i="2"/>
  <c r="P145" i="2"/>
  <c r="M37" i="2"/>
  <c r="K159" i="2"/>
  <c r="O55" i="2"/>
  <c r="P109" i="2"/>
  <c r="N7" i="2"/>
  <c r="P172" i="2"/>
  <c r="O39" i="2"/>
  <c r="M119" i="2"/>
  <c r="M42" i="2"/>
  <c r="N26" i="2"/>
  <c r="N142" i="2"/>
  <c r="N179" i="2"/>
  <c r="N59" i="2"/>
  <c r="M142" i="2"/>
  <c r="P266" i="2"/>
  <c r="M148" i="2"/>
  <c r="P245" i="2"/>
  <c r="O118" i="2"/>
  <c r="O71" i="2"/>
  <c r="L138" i="2"/>
  <c r="M156" i="2"/>
  <c r="O47" i="2"/>
  <c r="N101" i="2"/>
  <c r="P231" i="2"/>
  <c r="K57" i="2"/>
  <c r="M276" i="2"/>
  <c r="O173" i="2"/>
  <c r="O92" i="2"/>
  <c r="M270" i="2"/>
  <c r="N265" i="2"/>
  <c r="O244" i="2"/>
  <c r="P155" i="2"/>
  <c r="O66" i="2"/>
  <c r="O62" i="2"/>
  <c r="K13" i="2"/>
  <c r="P84" i="2"/>
  <c r="L161" i="2"/>
  <c r="K230" i="2"/>
  <c r="N94" i="2"/>
  <c r="P206" i="2"/>
  <c r="O6" i="2"/>
  <c r="N251" i="2"/>
  <c r="O111" i="2"/>
  <c r="M26" i="2"/>
  <c r="O113" i="2"/>
  <c r="K9" i="2"/>
  <c r="M75" i="2"/>
  <c r="K138" i="2"/>
  <c r="P140" i="2"/>
  <c r="K142" i="2"/>
  <c r="L239" i="2"/>
  <c r="L49" i="2"/>
  <c r="L21" i="2"/>
  <c r="M170" i="2"/>
  <c r="N49" i="2"/>
  <c r="K246" i="2"/>
  <c r="M214" i="2"/>
  <c r="L88" i="2"/>
  <c r="L269" i="2"/>
  <c r="K82" i="2"/>
  <c r="P63" i="2"/>
  <c r="O13" i="2"/>
  <c r="K154" i="2"/>
  <c r="K178" i="2"/>
  <c r="N232" i="2"/>
  <c r="K183" i="2"/>
  <c r="N249" i="2"/>
  <c r="N79" i="2"/>
  <c r="M121" i="2"/>
  <c r="O5" i="2"/>
  <c r="M5" i="2"/>
  <c r="N153" i="2"/>
  <c r="M59" i="2"/>
  <c r="P161" i="2"/>
  <c r="O22" i="2"/>
  <c r="M240" i="2"/>
  <c r="L197" i="2"/>
  <c r="L219" i="2"/>
  <c r="M200" i="2"/>
  <c r="O19" i="2"/>
  <c r="L194" i="2"/>
  <c r="M252" i="2"/>
  <c r="O156" i="2"/>
  <c r="O188" i="2"/>
  <c r="M73" i="2"/>
  <c r="L275" i="2"/>
  <c r="K132" i="2"/>
  <c r="M109" i="2"/>
  <c r="K153" i="2"/>
  <c r="K164" i="2"/>
  <c r="O204" i="2"/>
  <c r="P264" i="2"/>
  <c r="P193" i="2"/>
  <c r="N170" i="2"/>
  <c r="N229" i="2"/>
  <c r="K198" i="2"/>
  <c r="K261" i="2"/>
  <c r="O187" i="2"/>
  <c r="K274" i="2"/>
  <c r="M100" i="2"/>
  <c r="L72" i="2"/>
  <c r="M237" i="2"/>
  <c r="K129" i="2"/>
  <c r="K264" i="2"/>
  <c r="P54" i="2"/>
  <c r="N209" i="2"/>
  <c r="O240" i="2"/>
  <c r="P253" i="2"/>
  <c r="K152" i="2"/>
  <c r="P60" i="2"/>
  <c r="M110" i="2"/>
  <c r="N118" i="2"/>
  <c r="K157" i="2"/>
  <c r="K133" i="2"/>
  <c r="N139" i="2"/>
  <c r="K71" i="2"/>
  <c r="O151" i="2"/>
  <c r="L157" i="2"/>
  <c r="M128" i="2"/>
  <c r="O65" i="2"/>
  <c r="N234" i="2"/>
  <c r="L119" i="2"/>
  <c r="P108" i="2"/>
  <c r="L6" i="2"/>
  <c r="M165" i="2"/>
  <c r="N70" i="2"/>
  <c r="M268" i="2"/>
  <c r="K8" i="2"/>
  <c r="P239" i="2"/>
  <c r="P273" i="2"/>
  <c r="L223" i="2"/>
  <c r="N14" i="2"/>
  <c r="L22" i="2"/>
  <c r="L192" i="2"/>
  <c r="M218" i="2"/>
  <c r="N241" i="2"/>
  <c r="O88" i="2"/>
  <c r="L208" i="2"/>
  <c r="P55" i="2"/>
  <c r="K128" i="2"/>
  <c r="L140" i="2"/>
  <c r="P104" i="2"/>
  <c r="L202" i="2"/>
  <c r="M16" i="2"/>
  <c r="P79" i="2"/>
  <c r="M251" i="2"/>
  <c r="P183" i="2"/>
  <c r="N155" i="2"/>
  <c r="O274" i="2"/>
  <c r="K26" i="2"/>
  <c r="M190" i="2"/>
  <c r="P111" i="2"/>
  <c r="M204" i="2"/>
  <c r="P19" i="2"/>
  <c r="P194" i="2"/>
  <c r="L185" i="2"/>
  <c r="K250" i="2"/>
  <c r="L237" i="2"/>
  <c r="L214" i="2"/>
  <c r="P211" i="2"/>
  <c r="P151" i="2"/>
  <c r="K86" i="2"/>
  <c r="L216" i="2"/>
  <c r="P6" i="2"/>
  <c r="L33" i="2"/>
  <c r="L63" i="2"/>
  <c r="M217" i="2"/>
  <c r="O175" i="2"/>
  <c r="N10" i="2"/>
  <c r="L271" i="2"/>
  <c r="O2" i="2"/>
  <c r="N144" i="2"/>
  <c r="K244" i="2"/>
  <c r="O74" i="2"/>
  <c r="P126" i="2"/>
  <c r="M123" i="2"/>
  <c r="N38" i="2"/>
  <c r="M212" i="2"/>
  <c r="K225" i="2"/>
  <c r="N106" i="2"/>
  <c r="K125" i="2"/>
  <c r="M193" i="2"/>
  <c r="L4" i="2"/>
  <c r="L169" i="2"/>
  <c r="O200" i="2"/>
  <c r="N111" i="2"/>
  <c r="K75" i="2"/>
  <c r="P177" i="2"/>
  <c r="N41" i="2"/>
  <c r="M131" i="2"/>
  <c r="K267" i="2"/>
  <c r="N256" i="2"/>
  <c r="L62" i="2"/>
  <c r="M92" i="2"/>
  <c r="M241" i="2"/>
  <c r="L168" i="2"/>
  <c r="P233" i="2"/>
  <c r="P187" i="2"/>
  <c r="M132" i="2"/>
  <c r="P262" i="2"/>
  <c r="L31" i="2"/>
  <c r="P43" i="2"/>
  <c r="M178" i="2"/>
  <c r="K113" i="2"/>
  <c r="M88" i="2"/>
  <c r="K235" i="2"/>
  <c r="P120" i="2"/>
  <c r="P78" i="2"/>
  <c r="O176" i="2"/>
  <c r="K50" i="2"/>
  <c r="N109" i="2"/>
  <c r="L265" i="2"/>
  <c r="K48" i="2"/>
  <c r="P255" i="2"/>
  <c r="M54" i="2"/>
  <c r="O248" i="2"/>
  <c r="P267" i="2"/>
  <c r="K189" i="2"/>
  <c r="M2" i="2"/>
  <c r="M226" i="2"/>
  <c r="L80" i="2"/>
  <c r="M151" i="2"/>
  <c r="M222" i="2"/>
  <c r="M224" i="2"/>
  <c r="P215" i="2"/>
  <c r="K165" i="2"/>
  <c r="N275" i="2"/>
  <c r="O162" i="2"/>
  <c r="P240" i="2"/>
  <c r="O262" i="2"/>
  <c r="P122" i="2"/>
  <c r="M195" i="2"/>
  <c r="L259" i="2"/>
  <c r="N43" i="2"/>
  <c r="P23" i="2"/>
  <c r="K18" i="2"/>
  <c r="L261" i="2"/>
  <c r="P248" i="2"/>
  <c r="M150" i="2"/>
  <c r="M134" i="2"/>
  <c r="O263" i="2"/>
  <c r="O236" i="2"/>
  <c r="N66" i="2"/>
  <c r="N226" i="2"/>
  <c r="O12" i="2"/>
  <c r="M117" i="2"/>
  <c r="K236" i="2"/>
  <c r="L34" i="2"/>
  <c r="P83" i="2"/>
  <c r="M267" i="2"/>
  <c r="L28" i="2"/>
  <c r="O141" i="2"/>
  <c r="L16" i="2"/>
  <c r="O253" i="2"/>
  <c r="M111" i="2"/>
  <c r="K27" i="2"/>
  <c r="O193" i="2"/>
  <c r="L60" i="2"/>
  <c r="O109" i="2"/>
  <c r="N220" i="2"/>
  <c r="K181" i="2"/>
  <c r="N68" i="2"/>
  <c r="M215" i="2"/>
  <c r="K196" i="2"/>
  <c r="O268" i="2"/>
  <c r="L10" i="2"/>
  <c r="L101" i="2"/>
  <c r="K97" i="2"/>
  <c r="O123" i="2"/>
  <c r="M147" i="2"/>
  <c r="M253" i="2"/>
  <c r="L124" i="2"/>
  <c r="L273" i="2"/>
  <c r="M175" i="2"/>
  <c r="M192" i="2"/>
  <c r="N8" i="2"/>
  <c r="L102" i="2"/>
  <c r="N208" i="2"/>
  <c r="O251" i="2"/>
  <c r="P45" i="2"/>
  <c r="K272" i="2"/>
  <c r="L266" i="2"/>
  <c r="K59" i="2"/>
  <c r="L108" i="2"/>
  <c r="M18" i="2"/>
  <c r="P176" i="2"/>
  <c r="K88" i="2"/>
  <c r="O10" i="2"/>
  <c r="N193" i="2"/>
  <c r="P4" i="2"/>
  <c r="N74" i="2"/>
  <c r="O238" i="2"/>
  <c r="M210" i="2"/>
  <c r="P182" i="2"/>
  <c r="P25" i="2"/>
  <c r="N72" i="2"/>
  <c r="O168" i="2"/>
  <c r="P28" i="2"/>
  <c r="N64" i="2"/>
  <c r="M145" i="2"/>
  <c r="P189" i="2"/>
  <c r="P274" i="2"/>
  <c r="N213" i="2"/>
  <c r="O161" i="2"/>
  <c r="N185" i="2"/>
  <c r="L160" i="2"/>
  <c r="M61" i="2"/>
  <c r="P86" i="2"/>
  <c r="N199" i="2"/>
  <c r="P156" i="2"/>
  <c r="N5" i="2"/>
  <c r="N91" i="2"/>
  <c r="N117" i="2"/>
  <c r="L8" i="2"/>
  <c r="N176" i="2"/>
  <c r="O67" i="2"/>
  <c r="M77" i="2"/>
  <c r="N9" i="2"/>
  <c r="K211" i="2"/>
  <c r="N55" i="2"/>
  <c r="N45" i="2"/>
  <c r="O126" i="2"/>
  <c r="M266" i="2"/>
  <c r="L141" i="2"/>
  <c r="M33" i="2"/>
  <c r="N247" i="2"/>
  <c r="M8" i="2"/>
  <c r="K70" i="2"/>
  <c r="M221" i="2"/>
  <c r="P186" i="2"/>
  <c r="N269" i="2"/>
  <c r="N200" i="2"/>
  <c r="P17" i="2"/>
  <c r="N46" i="2"/>
  <c r="O136" i="2"/>
  <c r="N225" i="2"/>
  <c r="O217" i="2"/>
  <c r="P40" i="2"/>
  <c r="O27" i="2"/>
  <c r="O104" i="2"/>
  <c r="M13" i="2"/>
  <c r="P136" i="2"/>
  <c r="P271" i="2"/>
  <c r="L56" i="2"/>
  <c r="O28" i="2"/>
  <c r="N274" i="2"/>
  <c r="N47" i="2"/>
  <c r="O85" i="2"/>
  <c r="M250" i="2"/>
  <c r="O269" i="2"/>
  <c r="P11" i="2"/>
  <c r="P77" i="2"/>
  <c r="K63" i="2"/>
  <c r="P275" i="2"/>
  <c r="M185" i="2"/>
  <c r="K215" i="2"/>
  <c r="K11" i="2"/>
  <c r="P218" i="2"/>
  <c r="P171" i="2"/>
  <c r="O229" i="2"/>
  <c r="K158" i="2"/>
  <c r="O132" i="2"/>
  <c r="M277" i="2"/>
  <c r="K105" i="2"/>
  <c r="N132" i="2"/>
  <c r="N204" i="2"/>
  <c r="K212" i="2"/>
  <c r="O82" i="2"/>
  <c r="M10" i="2"/>
  <c r="M263" i="2"/>
  <c r="P128" i="2"/>
  <c r="N105" i="2"/>
  <c r="K221" i="2"/>
  <c r="O199" i="2"/>
  <c r="L201" i="2"/>
  <c r="N78" i="2"/>
  <c r="P184" i="2"/>
  <c r="K130" i="2"/>
  <c r="N255" i="2"/>
  <c r="L67" i="2"/>
  <c r="N130" i="2"/>
  <c r="P227" i="2"/>
  <c r="L252" i="2"/>
  <c r="K172" i="2"/>
  <c r="N196" i="2"/>
  <c r="K277" i="2"/>
  <c r="N162" i="2"/>
  <c r="P91" i="2"/>
  <c r="O153" i="2"/>
  <c r="P223" i="2"/>
  <c r="K156" i="2"/>
  <c r="O182" i="2"/>
  <c r="N3" i="2"/>
  <c r="O256" i="2"/>
  <c r="K49" i="2"/>
  <c r="L11" i="2"/>
  <c r="N97" i="2"/>
  <c r="O115" i="2"/>
  <c r="O69" i="2"/>
  <c r="O93" i="2"/>
  <c r="N24" i="2"/>
  <c r="N16" i="2"/>
  <c r="O220" i="2"/>
  <c r="L264" i="2"/>
  <c r="P24" i="2"/>
  <c r="K72" i="2"/>
  <c r="P110" i="2"/>
  <c r="O125" i="2"/>
  <c r="N83" i="2"/>
  <c r="M57" i="2"/>
  <c r="K185" i="2"/>
  <c r="N135" i="2"/>
  <c r="N39" i="2"/>
  <c r="L207" i="2"/>
  <c r="M81" i="2"/>
  <c r="N198" i="2"/>
  <c r="M164" i="2"/>
  <c r="M184" i="2"/>
  <c r="L218" i="2"/>
  <c r="N107" i="2"/>
  <c r="L200" i="2"/>
  <c r="N264" i="2"/>
  <c r="K37" i="2"/>
  <c r="L5" i="2"/>
  <c r="O73" i="2"/>
  <c r="M223" i="2"/>
  <c r="M19" i="2"/>
  <c r="M179" i="2"/>
  <c r="K197" i="2"/>
  <c r="P139" i="2"/>
  <c r="M239" i="2"/>
  <c r="M154" i="2"/>
  <c r="P164" i="2"/>
  <c r="N75" i="2"/>
  <c r="N212" i="2"/>
  <c r="O138" i="2"/>
  <c r="K229" i="2"/>
  <c r="O169" i="2"/>
  <c r="K52" i="2"/>
  <c r="L135" i="2"/>
  <c r="N187" i="2"/>
  <c r="L93" i="2"/>
  <c r="P149" i="2"/>
  <c r="N238" i="2"/>
  <c r="N188" i="2"/>
  <c r="L206" i="2"/>
  <c r="L263" i="2"/>
  <c r="O16" i="2"/>
  <c r="P34" i="2"/>
  <c r="O271" i="2"/>
  <c r="M47" i="2"/>
  <c r="K275" i="2"/>
  <c r="N103" i="2"/>
  <c r="M82" i="2"/>
  <c r="P70" i="2"/>
  <c r="O112" i="2"/>
  <c r="M34" i="2"/>
  <c r="M7" i="2"/>
  <c r="P192" i="2"/>
  <c r="K209" i="2"/>
  <c r="O179" i="2"/>
  <c r="K73" i="2"/>
  <c r="L167" i="2"/>
  <c r="N221" i="2"/>
  <c r="K226" i="2"/>
  <c r="O144" i="2"/>
  <c r="N51" i="2"/>
  <c r="M89" i="2"/>
  <c r="P44" i="2"/>
  <c r="N182" i="2"/>
  <c r="N104" i="2"/>
  <c r="O191" i="2"/>
  <c r="P37" i="2"/>
  <c r="M243" i="2"/>
  <c r="K174" i="2"/>
  <c r="L184" i="2"/>
  <c r="K254" i="2"/>
  <c r="K109" i="2"/>
  <c r="L170" i="2"/>
  <c r="L147" i="2"/>
  <c r="M85" i="2"/>
  <c r="K104" i="2"/>
  <c r="O209" i="2"/>
  <c r="L7" i="2"/>
  <c r="M272" i="2"/>
  <c r="K270" i="2"/>
  <c r="K139" i="2"/>
  <c r="K220" i="2"/>
  <c r="L203" i="2"/>
  <c r="L64" i="2"/>
  <c r="N85" i="2"/>
  <c r="N2" i="2"/>
  <c r="N119" i="2"/>
  <c r="P80" i="2"/>
  <c r="P200" i="2"/>
  <c r="M152" i="2"/>
  <c r="P162" i="2"/>
  <c r="K47" i="2"/>
  <c r="P143" i="2"/>
  <c r="O243" i="2"/>
  <c r="K257" i="2"/>
  <c r="M136" i="2"/>
  <c r="N134" i="2"/>
  <c r="M153" i="2"/>
  <c r="N13" i="2"/>
  <c r="L233" i="2"/>
  <c r="O131" i="2"/>
  <c r="L270" i="2"/>
  <c r="P229" i="2"/>
  <c r="L221" i="2"/>
  <c r="L277" i="2"/>
  <c r="M196" i="2"/>
  <c r="M84" i="2"/>
  <c r="O219" i="2"/>
  <c r="P198" i="2"/>
  <c r="K16" i="2"/>
  <c r="P228" i="2"/>
  <c r="M126" i="2"/>
  <c r="K29" i="2"/>
  <c r="K256" i="2"/>
  <c r="M52" i="2"/>
  <c r="L186" i="2"/>
  <c r="L158" i="2"/>
  <c r="K22" i="2"/>
  <c r="L247" i="2"/>
  <c r="L127" i="2"/>
  <c r="P20" i="2"/>
  <c r="N195" i="2"/>
  <c r="K12" i="2"/>
  <c r="M124" i="2"/>
  <c r="O135" i="2"/>
  <c r="M256" i="2"/>
  <c r="L46" i="2"/>
  <c r="O195" i="2"/>
  <c r="O189" i="2"/>
  <c r="M198" i="2"/>
  <c r="O32" i="2"/>
  <c r="L250" i="2"/>
  <c r="K233" i="2"/>
  <c r="K144" i="2"/>
  <c r="L117" i="2"/>
  <c r="M66" i="2"/>
  <c r="O265" i="2"/>
  <c r="K151" i="2"/>
  <c r="K126" i="2"/>
  <c r="O163" i="2"/>
  <c r="K239" i="2"/>
  <c r="L241" i="2"/>
  <c r="N128" i="2"/>
  <c r="O208" i="2"/>
  <c r="P179" i="2"/>
  <c r="P2" i="2"/>
  <c r="O149" i="2"/>
  <c r="L251" i="2"/>
  <c r="L20" i="2"/>
  <c r="M103" i="2"/>
  <c r="K89" i="2"/>
  <c r="O190" i="2"/>
  <c r="N127" i="2"/>
  <c r="K219" i="2"/>
  <c r="K217" i="2"/>
  <c r="L115" i="2"/>
  <c r="P207" i="2"/>
  <c r="K253" i="2"/>
  <c r="P243" i="2"/>
  <c r="M96" i="2"/>
  <c r="K195" i="2"/>
  <c r="O235" i="2"/>
  <c r="P94" i="2"/>
  <c r="P51" i="2"/>
  <c r="O31" i="2"/>
  <c r="K208" i="2"/>
  <c r="N17" i="2"/>
  <c r="N31" i="2"/>
  <c r="K251" i="2"/>
  <c r="M68" i="2"/>
  <c r="K62" i="2"/>
  <c r="P188" i="2"/>
  <c r="P89" i="2"/>
  <c r="K143" i="2"/>
  <c r="P174" i="2"/>
  <c r="N178" i="2"/>
  <c r="N61" i="2"/>
  <c r="M259" i="2"/>
  <c r="L94" i="2"/>
  <c r="N237" i="2"/>
  <c r="K4" i="2"/>
  <c r="N231" i="2"/>
  <c r="K234" i="2"/>
  <c r="P213" i="2"/>
  <c r="M228" i="2"/>
  <c r="O225" i="2"/>
  <c r="O232" i="2"/>
  <c r="K206" i="2"/>
  <c r="P132" i="2"/>
  <c r="O234" i="2"/>
  <c r="P212" i="2"/>
  <c r="N19" i="2"/>
  <c r="L215" i="2"/>
  <c r="L86" i="2"/>
  <c r="M181" i="2"/>
  <c r="M133" i="2"/>
  <c r="L179" i="2"/>
  <c r="N40" i="2"/>
  <c r="O79" i="2"/>
  <c r="O94" i="2"/>
  <c r="O7" i="2"/>
  <c r="M129" i="2"/>
  <c r="K213" i="2"/>
  <c r="K30" i="2"/>
  <c r="N6" i="2"/>
  <c r="L29" i="2"/>
  <c r="M186" i="2"/>
  <c r="N197" i="2"/>
  <c r="K10" i="2"/>
  <c r="P75" i="2"/>
  <c r="K238" i="2"/>
  <c r="K40" i="2"/>
  <c r="K45" i="2"/>
  <c r="N268" i="2"/>
  <c r="M55" i="2"/>
  <c r="K58" i="2"/>
  <c r="O159" i="2"/>
  <c r="L222" i="2"/>
  <c r="O25" i="2"/>
  <c r="O137" i="2"/>
  <c r="K60" i="2"/>
  <c r="L232" i="2"/>
  <c r="O185" i="2"/>
  <c r="K74" i="2"/>
  <c r="N227" i="2"/>
  <c r="P154" i="2"/>
  <c r="P254" i="2"/>
  <c r="L246" i="2"/>
  <c r="M9" i="2"/>
  <c r="M125" i="2"/>
  <c r="K271" i="2"/>
  <c r="P105" i="2"/>
  <c r="L114" i="2"/>
  <c r="P214" i="2"/>
  <c r="O252" i="2"/>
  <c r="M115" i="2"/>
  <c r="K38" i="2"/>
  <c r="L172" i="2"/>
  <c r="M3" i="2"/>
  <c r="K194" i="2"/>
  <c r="O57" i="2"/>
  <c r="L243" i="2"/>
  <c r="M116" i="2"/>
  <c r="M12" i="2"/>
  <c r="N180" i="2"/>
  <c r="M139" i="2"/>
  <c r="M235" i="2"/>
  <c r="P87" i="2"/>
  <c r="N125" i="2"/>
  <c r="M216" i="2"/>
  <c r="L177" i="2"/>
  <c r="K260" i="2"/>
  <c r="O231" i="2"/>
  <c r="L137" i="2"/>
  <c r="L12" i="2"/>
  <c r="M246" i="2"/>
  <c r="N57" i="2"/>
  <c r="M72" i="2"/>
  <c r="K252" i="2"/>
  <c r="N218" i="2"/>
  <c r="M112" i="2"/>
  <c r="N252" i="2"/>
  <c r="L134" i="2"/>
  <c r="M107" i="2"/>
  <c r="N114" i="2"/>
  <c r="L91" i="2"/>
  <c r="M127" i="2"/>
  <c r="K200" i="2"/>
  <c r="L234" i="2"/>
  <c r="L129" i="2"/>
  <c r="P165" i="2"/>
  <c r="L100" i="2"/>
  <c r="N159" i="2"/>
  <c r="O214" i="2"/>
  <c r="N34" i="2"/>
  <c r="K227" i="2"/>
  <c r="N174" i="2"/>
  <c r="M67" i="2"/>
  <c r="L89" i="2"/>
  <c r="L130" i="2"/>
  <c r="M78" i="2"/>
  <c r="K17" i="2"/>
  <c r="N28" i="2"/>
  <c r="K25" i="2"/>
  <c r="L145" i="2"/>
  <c r="P141" i="2"/>
  <c r="M183" i="2"/>
  <c r="L224" i="2"/>
  <c r="P10" i="2"/>
  <c r="L42" i="2"/>
  <c r="O41" i="2"/>
  <c r="L225" i="2"/>
  <c r="P118" i="2"/>
  <c r="O250" i="2"/>
  <c r="N147" i="2"/>
  <c r="K46" i="2"/>
  <c r="L81" i="2"/>
  <c r="O106" i="2"/>
  <c r="N76" i="2"/>
  <c r="L71" i="2"/>
  <c r="N262" i="2"/>
  <c r="O228" i="2"/>
  <c r="P138" i="2"/>
  <c r="L104" i="2"/>
  <c r="O23" i="2"/>
  <c r="N160" i="2"/>
  <c r="O89" i="2"/>
  <c r="L146" i="2"/>
  <c r="O203" i="2"/>
  <c r="N164" i="2"/>
  <c r="P98" i="2"/>
  <c r="P49" i="2"/>
  <c r="K65" i="2"/>
  <c r="K268" i="2"/>
  <c r="O61" i="2"/>
  <c r="L258" i="2"/>
  <c r="O145" i="2"/>
  <c r="O54" i="2"/>
  <c r="O196" i="2"/>
  <c r="K112" i="2"/>
  <c r="M29" i="2"/>
  <c r="P56" i="2"/>
  <c r="O202" i="2"/>
  <c r="O207" i="2"/>
  <c r="P148" i="2"/>
  <c r="L44" i="2"/>
  <c r="O108" i="2"/>
  <c r="K231" i="2"/>
  <c r="L133" i="2"/>
  <c r="M40" i="2"/>
  <c r="O122" i="2"/>
  <c r="M209" i="2"/>
  <c r="K36" i="2"/>
  <c r="O154" i="2"/>
  <c r="N42" i="2"/>
  <c r="N4" i="2"/>
  <c r="K20" i="2"/>
  <c r="K54" i="2"/>
  <c r="P67" i="2"/>
  <c r="L61" i="2"/>
  <c r="N116" i="2"/>
  <c r="K135" i="2"/>
  <c r="P30" i="2"/>
  <c r="N120" i="2"/>
  <c r="K243" i="2"/>
  <c r="P159" i="2"/>
  <c r="K55" i="2"/>
  <c r="L105" i="2"/>
  <c r="O264" i="2"/>
  <c r="K14" i="2"/>
  <c r="N277" i="2"/>
  <c r="M238" i="2"/>
  <c r="P137" i="2"/>
  <c r="O230" i="2"/>
  <c r="L107" i="2"/>
  <c r="L78" i="2"/>
  <c r="P160" i="2"/>
  <c r="N273" i="2"/>
  <c r="K218" i="2"/>
  <c r="P208" i="2"/>
  <c r="N236" i="2"/>
  <c r="P178" i="2"/>
  <c r="N230" i="2"/>
  <c r="O216" i="2"/>
  <c r="K161" i="2"/>
  <c r="N239" i="2"/>
  <c r="K83" i="2"/>
  <c r="K207" i="2"/>
  <c r="O142" i="2"/>
  <c r="K5" i="2"/>
  <c r="K101" i="2"/>
  <c r="M159" i="2"/>
  <c r="P175" i="2"/>
  <c r="N124" i="2"/>
  <c r="N186" i="2"/>
  <c r="M260" i="2"/>
  <c r="N242" i="2"/>
  <c r="L254" i="2"/>
  <c r="O46" i="2"/>
  <c r="L92" i="2"/>
  <c r="P197" i="2"/>
  <c r="N263" i="2"/>
  <c r="P185" i="2"/>
  <c r="L240" i="2"/>
  <c r="P115" i="2"/>
  <c r="N126" i="2"/>
  <c r="P170" i="2"/>
  <c r="L198" i="2"/>
  <c r="N167" i="2"/>
  <c r="K179" i="2"/>
  <c r="L226" i="2"/>
  <c r="O181" i="2"/>
  <c r="L27" i="2"/>
  <c r="L227" i="2"/>
  <c r="K222" i="2"/>
  <c r="M91" i="2"/>
  <c r="K98" i="2"/>
  <c r="K265" i="2"/>
  <c r="O166" i="2"/>
  <c r="L14" i="2"/>
  <c r="L99" i="2"/>
  <c r="N60" i="2"/>
  <c r="P251" i="2"/>
  <c r="O267" i="2"/>
  <c r="N270" i="2"/>
  <c r="O21" i="2"/>
  <c r="K96" i="2"/>
  <c r="N15" i="2"/>
  <c r="M113" i="2"/>
  <c r="O70" i="2"/>
  <c r="N88" i="2"/>
  <c r="N121" i="2"/>
  <c r="P257" i="2"/>
  <c r="M144" i="2"/>
  <c r="M249" i="2"/>
  <c r="O147" i="2"/>
  <c r="O56" i="2"/>
  <c r="P12" i="2"/>
  <c r="L120" i="2"/>
  <c r="L195" i="2"/>
  <c r="L153" i="2"/>
  <c r="P112" i="2"/>
  <c r="M176" i="2"/>
  <c r="N95" i="2"/>
  <c r="N191" i="2"/>
  <c r="K192" i="2"/>
  <c r="N267" i="2"/>
  <c r="P69" i="2"/>
  <c r="N181" i="2"/>
  <c r="L30" i="2"/>
  <c r="N110" i="2"/>
  <c r="P13" i="2"/>
  <c r="K160" i="2"/>
  <c r="L37" i="2"/>
  <c r="P250" i="2"/>
  <c r="M48" i="2"/>
  <c r="P225" i="2"/>
  <c r="L210" i="2"/>
  <c r="P152" i="2"/>
  <c r="N77" i="2"/>
  <c r="K145" i="2"/>
  <c r="O261" i="2"/>
  <c r="O165" i="2"/>
  <c r="P114" i="2"/>
  <c r="N177" i="2"/>
  <c r="N96" i="2"/>
  <c r="P190" i="2"/>
  <c r="M32" i="2"/>
  <c r="N190" i="2"/>
  <c r="K119" i="2"/>
  <c r="N219" i="2"/>
  <c r="L113" i="2"/>
  <c r="M219" i="2"/>
  <c r="N246" i="2"/>
  <c r="P201" i="2"/>
  <c r="L180" i="2"/>
  <c r="K171" i="2"/>
  <c r="O80" i="2"/>
  <c r="O247" i="2"/>
  <c r="O100" i="2"/>
  <c r="O260" i="2"/>
  <c r="L36" i="2"/>
  <c r="N206" i="2"/>
  <c r="P59" i="2"/>
  <c r="K232" i="2"/>
  <c r="P106" i="2"/>
  <c r="K120" i="2"/>
  <c r="L150" i="2"/>
  <c r="L87" i="2"/>
  <c r="K193" i="2"/>
  <c r="L38" i="2"/>
  <c r="M188" i="2"/>
  <c r="O233" i="2"/>
  <c r="N266" i="2"/>
  <c r="N11" i="2"/>
  <c r="K95" i="2"/>
  <c r="P163" i="2"/>
  <c r="L196" i="2"/>
  <c r="P236" i="2"/>
  <c r="M101" i="2"/>
  <c r="K78" i="2"/>
  <c r="M51" i="2"/>
  <c r="L236" i="2"/>
  <c r="L173" i="2"/>
  <c r="P221" i="2"/>
  <c r="L189" i="2"/>
  <c r="M86" i="2"/>
  <c r="N81" i="2"/>
  <c r="N63" i="2"/>
  <c r="K249" i="2"/>
  <c r="P204" i="2"/>
  <c r="P219" i="2"/>
  <c r="L98" i="2"/>
  <c r="O143" i="2"/>
  <c r="O26" i="2"/>
  <c r="P142" i="2"/>
  <c r="P181" i="2"/>
  <c r="M90" i="2"/>
  <c r="P72" i="2"/>
  <c r="O192" i="2"/>
  <c r="P73" i="2"/>
  <c r="P102" i="2"/>
  <c r="N150" i="2"/>
  <c r="O98" i="2"/>
  <c r="N145" i="2"/>
  <c r="M140" i="2"/>
  <c r="O258" i="2"/>
  <c r="M108" i="2"/>
  <c r="M180" i="2"/>
  <c r="N207" i="2"/>
  <c r="P268" i="2"/>
  <c r="K127" i="2"/>
  <c r="O77" i="2"/>
  <c r="K31" i="2"/>
  <c r="N108" i="2"/>
  <c r="L131" i="2"/>
  <c r="M64" i="2"/>
  <c r="O273" i="2"/>
  <c r="N69" i="2"/>
  <c r="O9" i="2"/>
  <c r="L166" i="2"/>
  <c r="N224" i="2"/>
  <c r="M27" i="2"/>
  <c r="O83" i="2"/>
  <c r="M6" i="2"/>
  <c r="K266" i="2"/>
  <c r="P85" i="2"/>
  <c r="O148" i="2"/>
  <c r="K81" i="2"/>
  <c r="P166" i="2"/>
  <c r="L217" i="2"/>
  <c r="K188" i="2"/>
  <c r="O177" i="2"/>
  <c r="L249" i="2"/>
  <c r="N25" i="2"/>
  <c r="P48" i="2"/>
  <c r="M172" i="2"/>
  <c r="N192" i="2"/>
  <c r="O237" i="2"/>
  <c r="K103" i="2"/>
  <c r="M118" i="2"/>
  <c r="K205" i="2"/>
  <c r="L205" i="2"/>
  <c r="N240" i="2"/>
  <c r="L25" i="2"/>
  <c r="N52" i="2"/>
  <c r="O227" i="2"/>
  <c r="N222" i="2"/>
  <c r="M264" i="2"/>
  <c r="L268" i="2"/>
  <c r="M141" i="2"/>
  <c r="K93" i="2"/>
  <c r="P39" i="2"/>
  <c r="M135" i="2"/>
  <c r="K182" i="2"/>
  <c r="N131" i="2"/>
  <c r="K140" i="2"/>
  <c r="K201" i="2"/>
  <c r="N98" i="2"/>
  <c r="M167" i="2"/>
  <c r="O103" i="2"/>
  <c r="O277" i="2"/>
  <c r="L267" i="2"/>
  <c r="O86" i="2"/>
  <c r="K106" i="2"/>
  <c r="P116" i="2"/>
  <c r="N163" i="2"/>
  <c r="N214" i="2"/>
  <c r="P232" i="2"/>
  <c r="K148" i="2"/>
  <c r="K90" i="2"/>
  <c r="N80" i="2"/>
  <c r="P21" i="2"/>
  <c r="P158" i="2"/>
  <c r="N92" i="2"/>
  <c r="O84" i="2"/>
  <c r="P88" i="2"/>
  <c r="M169" i="2"/>
  <c r="N172" i="2"/>
  <c r="K163" i="2"/>
  <c r="K66" i="2"/>
  <c r="M168" i="2"/>
  <c r="O102" i="2"/>
  <c r="P125" i="2"/>
  <c r="L181" i="2"/>
  <c r="K107" i="2"/>
  <c r="O222" i="2"/>
  <c r="N23" i="2"/>
  <c r="M44" i="2"/>
  <c r="N271" i="2"/>
  <c r="L155" i="2"/>
  <c r="O140" i="2"/>
  <c r="O130" i="2"/>
  <c r="O110" i="2"/>
  <c r="N65" i="2"/>
  <c r="N253" i="2"/>
  <c r="N30" i="2"/>
  <c r="M201" i="2"/>
  <c r="P263" i="2"/>
  <c r="O42" i="2"/>
  <c r="N223" i="2"/>
  <c r="P46" i="2"/>
  <c r="M194" i="2"/>
  <c r="O272" i="2"/>
  <c r="O164" i="2"/>
  <c r="N152" i="2"/>
  <c r="N33" i="2"/>
  <c r="P259" i="2"/>
  <c r="M257" i="2"/>
  <c r="O38" i="2"/>
  <c r="N20" i="2"/>
  <c r="K80" i="2"/>
  <c r="M38" i="2"/>
  <c r="L96" i="2"/>
  <c r="M43" i="2"/>
  <c r="L58" i="2"/>
  <c r="P247" i="2"/>
  <c r="O17" i="2"/>
  <c r="P237" i="2"/>
  <c r="M202" i="2"/>
  <c r="N254" i="2"/>
  <c r="M83" i="2"/>
  <c r="L274" i="2"/>
  <c r="P216" i="2"/>
  <c r="K245" i="2"/>
  <c r="N156" i="2"/>
  <c r="N259" i="2"/>
  <c r="M197" i="2"/>
  <c r="L122" i="2"/>
  <c r="K61" i="2"/>
  <c r="P144" i="2"/>
  <c r="M21" i="2"/>
  <c r="N133" i="2"/>
  <c r="L213" i="2"/>
  <c r="L164" i="2"/>
  <c r="O275" i="2"/>
  <c r="N140" i="2"/>
  <c r="P33" i="2"/>
  <c r="N245" i="2"/>
  <c r="K79" i="2"/>
  <c r="N21" i="2"/>
  <c r="K102" i="2"/>
  <c r="N50" i="2"/>
  <c r="K273" i="2"/>
  <c r="M227" i="2"/>
  <c r="K187" i="2"/>
  <c r="O101" i="2"/>
  <c r="L190" i="2"/>
  <c r="P133" i="2"/>
  <c r="P235" i="2"/>
  <c r="K64" i="2"/>
  <c r="P123" i="2"/>
  <c r="M244" i="2"/>
  <c r="K123" i="2"/>
  <c r="N32" i="2"/>
  <c r="M231" i="2"/>
  <c r="K131" i="2"/>
  <c r="K116" i="2"/>
  <c r="K94" i="2"/>
  <c r="P146" i="2"/>
  <c r="O183" i="2"/>
  <c r="P256" i="2"/>
  <c r="M45" i="2"/>
  <c r="P117" i="2"/>
  <c r="M24" i="2"/>
  <c r="O212" i="2"/>
  <c r="O157" i="2"/>
  <c r="K91" i="2"/>
  <c r="L47" i="2"/>
  <c r="K214" i="2"/>
  <c r="N123" i="2"/>
  <c r="O34" i="2"/>
  <c r="K269" i="2"/>
  <c r="P147" i="2"/>
  <c r="L68" i="2"/>
  <c r="M166" i="2"/>
  <c r="L272" i="2"/>
  <c r="P50" i="2"/>
  <c r="L244" i="2"/>
  <c r="K180" i="2"/>
  <c r="K53" i="2"/>
  <c r="O186" i="2"/>
  <c r="K69" i="2"/>
  <c r="L50" i="2"/>
  <c r="P269" i="2"/>
  <c r="L23" i="2"/>
  <c r="P234" i="2"/>
  <c r="M70" i="2"/>
  <c r="N157" i="2"/>
  <c r="O257" i="2"/>
  <c r="N138" i="2"/>
  <c r="M232" i="2"/>
  <c r="O172" i="2"/>
  <c r="L238" i="2"/>
  <c r="P195" i="2"/>
  <c r="P81" i="2"/>
  <c r="O63" i="2"/>
  <c r="M49" i="2"/>
  <c r="K210" i="2"/>
  <c r="O206" i="2"/>
  <c r="M65" i="2"/>
  <c r="P61" i="2"/>
  <c r="P249" i="2"/>
  <c r="O53" i="2"/>
  <c r="O254" i="2"/>
  <c r="O128" i="2"/>
  <c r="P226" i="2"/>
  <c r="N115" i="2"/>
  <c r="M262" i="2"/>
  <c r="M171" i="2"/>
  <c r="L188" i="2"/>
  <c r="K67" i="2"/>
  <c r="M14" i="2"/>
  <c r="K111" i="2"/>
  <c r="M97" i="2"/>
  <c r="M191" i="2"/>
  <c r="P131" i="2"/>
  <c r="L212" i="2"/>
  <c r="O223" i="2"/>
  <c r="P74" i="2"/>
  <c r="N165" i="2"/>
  <c r="K136" i="2"/>
  <c r="K28" i="2"/>
  <c r="N129" i="2"/>
  <c r="P167" i="2"/>
  <c r="P121" i="2"/>
  <c r="O20" i="2"/>
  <c r="N48" i="2"/>
  <c r="L257" i="2"/>
  <c r="O246" i="2"/>
  <c r="N272" i="2"/>
  <c r="N154" i="2"/>
  <c r="O90" i="2"/>
  <c r="M46" i="2"/>
  <c r="M102" i="2"/>
  <c r="K85" i="2"/>
  <c r="P169" i="2"/>
  <c r="P276" i="2"/>
  <c r="P65" i="2"/>
  <c r="O215" i="2"/>
  <c r="M177" i="2"/>
  <c r="K35" i="2"/>
  <c r="O270" i="2"/>
  <c r="K224" i="2"/>
  <c r="N216" i="2"/>
  <c r="P42" i="2"/>
  <c r="K216" i="2"/>
  <c r="M161" i="2"/>
  <c r="M146" i="2"/>
  <c r="K137" i="2"/>
  <c r="L112" i="2"/>
  <c r="P217" i="2"/>
  <c r="O171" i="2"/>
  <c r="M74" i="2"/>
  <c r="N233" i="2"/>
  <c r="O18" i="2"/>
  <c r="K162" i="2"/>
  <c r="K149" i="2"/>
  <c r="M120" i="2"/>
  <c r="N158" i="2"/>
  <c r="M130" i="2"/>
  <c r="P260" i="2"/>
  <c r="L75" i="2"/>
  <c r="M187" i="2"/>
  <c r="O8" i="2"/>
  <c r="K155" i="2"/>
  <c r="P173" i="2"/>
  <c r="N248" i="2"/>
  <c r="L136" i="2"/>
  <c r="L235" i="2"/>
  <c r="L95" i="2"/>
  <c r="N100" i="2"/>
  <c r="P5" i="2"/>
  <c r="P199" i="2"/>
  <c r="N102" i="2"/>
  <c r="K110" i="2"/>
  <c r="P196" i="2"/>
  <c r="P230" i="2"/>
  <c r="O33" i="2"/>
  <c r="L148" i="2"/>
  <c r="K39" i="2"/>
  <c r="K21" i="2"/>
  <c r="L178" i="2"/>
  <c r="P127" i="2"/>
  <c r="P90" i="2"/>
  <c r="N261" i="2"/>
  <c r="K262" i="2"/>
  <c r="P101" i="2"/>
  <c r="P32" i="2"/>
  <c r="O37" i="2"/>
  <c r="L183" i="2"/>
  <c r="L209" i="2"/>
  <c r="L163" i="2"/>
  <c r="O49" i="2"/>
  <c r="P202" i="2"/>
  <c r="O14" i="2"/>
  <c r="N87" i="2"/>
  <c r="O155" i="2"/>
  <c r="N151" i="2"/>
  <c r="O198" i="2"/>
  <c r="K77" i="2"/>
  <c r="L143" i="2"/>
  <c r="O167" i="2"/>
  <c r="M160" i="2"/>
  <c r="N53" i="2"/>
  <c r="K51" i="2"/>
  <c r="N169" i="2"/>
  <c r="N146" i="2"/>
  <c r="K240" i="2"/>
  <c r="M254" i="2"/>
  <c r="L19" i="2"/>
  <c r="N27" i="2"/>
  <c r="L162" i="2"/>
  <c r="L191" i="2"/>
  <c r="O97" i="2"/>
  <c r="K134" i="2"/>
  <c r="K202" i="2"/>
  <c r="O249" i="2"/>
  <c r="P41" i="2"/>
  <c r="O81" i="2"/>
  <c r="K150" i="2"/>
  <c r="M50" i="2"/>
  <c r="K68" i="2"/>
  <c r="K203" i="2"/>
  <c r="L74" i="2"/>
  <c r="N257" i="2"/>
  <c r="O127" i="2"/>
  <c r="M35" i="2"/>
  <c r="L111" i="2"/>
  <c r="L228" i="2"/>
  <c r="O105" i="2"/>
  <c r="M206" i="2"/>
  <c r="K199" i="2"/>
  <c r="N175" i="2"/>
  <c r="M93" i="2"/>
  <c r="L40" i="2"/>
  <c r="K99" i="2"/>
  <c r="L123" i="2"/>
  <c r="M17" i="2"/>
  <c r="L159" i="2"/>
  <c r="N71" i="2"/>
  <c r="P113" i="2"/>
  <c r="M230" i="2"/>
  <c r="O40" i="2"/>
  <c r="M138" i="2"/>
  <c r="O78" i="2"/>
  <c r="L110" i="2"/>
  <c r="O242" i="2"/>
  <c r="M104" i="2"/>
  <c r="K237" i="2"/>
  <c r="K175" i="2"/>
  <c r="O4" i="2"/>
  <c r="L151" i="2"/>
  <c r="L39" i="2"/>
  <c r="M208" i="2"/>
  <c r="P38" i="2"/>
  <c r="O180" i="2"/>
  <c r="O15" i="2"/>
  <c r="O24" i="2"/>
  <c r="O43" i="2"/>
  <c r="L77" i="2"/>
  <c r="P82" i="2"/>
  <c r="M60" i="2"/>
  <c r="K223" i="2"/>
  <c r="N143" i="2"/>
  <c r="P129" i="2"/>
  <c r="M199" i="2"/>
  <c r="K184" i="2"/>
  <c r="P168" i="2"/>
  <c r="P99" i="2"/>
  <c r="P15" i="2"/>
  <c r="P261" i="2"/>
  <c r="L18" i="2"/>
  <c r="M36" i="2"/>
  <c r="M173" i="2"/>
  <c r="P265" i="2"/>
  <c r="K204" i="2"/>
  <c r="M80" i="2"/>
  <c r="P22" i="2"/>
  <c r="K166" i="2"/>
  <c r="L73" i="2"/>
  <c r="L121" i="2"/>
  <c r="M258" i="2"/>
  <c r="N203" i="2"/>
  <c r="L52" i="2"/>
  <c r="K186" i="2"/>
  <c r="M275" i="2"/>
  <c r="P71" i="2"/>
  <c r="K42" i="2"/>
  <c r="O160" i="2"/>
  <c r="L82" i="2"/>
  <c r="P64" i="2"/>
  <c r="L83" i="2"/>
  <c r="N210" i="2"/>
  <c r="O87" i="2"/>
  <c r="M122" i="2"/>
  <c r="L152" i="2"/>
  <c r="P153" i="2"/>
  <c r="K255" i="2"/>
  <c r="M20" i="2"/>
  <c r="M56" i="2"/>
  <c r="L128" i="2"/>
  <c r="N122" i="2"/>
  <c r="L248" i="2"/>
  <c r="P92" i="2"/>
  <c r="P3" i="2"/>
  <c r="L132" i="2"/>
  <c r="O29" i="2"/>
  <c r="L55" i="2"/>
  <c r="K118" i="2"/>
  <c r="M69" i="2"/>
  <c r="K19" i="2"/>
  <c r="M162" i="2"/>
  <c r="M229" i="2"/>
  <c r="L26" i="2"/>
  <c r="N113" i="2"/>
  <c r="P62" i="2"/>
  <c r="K2" i="2"/>
  <c r="M94" i="2"/>
  <c r="O107" i="2"/>
  <c r="N84" i="2"/>
  <c r="L9" i="2"/>
  <c r="N168" i="2"/>
  <c r="N184" i="2"/>
  <c r="P252" i="2"/>
  <c r="M58" i="2"/>
  <c r="K122" i="2"/>
  <c r="M105" i="2"/>
  <c r="P270" i="2"/>
  <c r="O96" i="2"/>
  <c r="L175" i="2"/>
  <c r="L118" i="2"/>
  <c r="K76" i="2"/>
  <c r="P203" i="2"/>
  <c r="P119" i="2"/>
  <c r="L90" i="2"/>
  <c r="N194" i="2"/>
  <c r="P97" i="2"/>
  <c r="O60" i="2"/>
  <c r="O210" i="2"/>
  <c r="L103" i="2"/>
  <c r="P16" i="2"/>
  <c r="L211" i="2"/>
  <c r="K117" i="2"/>
  <c r="K241" i="2"/>
  <c r="P238" i="2"/>
  <c r="M155" i="2"/>
  <c r="N166" i="2"/>
  <c r="N18" i="2"/>
  <c r="L204" i="2"/>
  <c r="O197" i="2"/>
  <c r="P224" i="2"/>
  <c r="O139" i="2"/>
  <c r="O146" i="2"/>
  <c r="O276" i="2"/>
  <c r="K23" i="2"/>
  <c r="O170" i="2"/>
  <c r="L32" i="2"/>
  <c r="N228" i="2"/>
  <c r="L193" i="2"/>
  <c r="K34" i="2"/>
  <c r="O95" i="2"/>
  <c r="O48" i="2"/>
  <c r="P180" i="2"/>
  <c r="L85" i="2"/>
  <c r="K248" i="2"/>
  <c r="P130" i="2"/>
  <c r="N141" i="2"/>
  <c r="K32" i="2"/>
  <c r="O64" i="2"/>
  <c r="P7" i="2"/>
  <c r="N99" i="2"/>
  <c r="M273" i="2"/>
  <c r="M25" i="2"/>
  <c r="P220" i="2"/>
  <c r="L41" i="2"/>
  <c r="M213" i="2"/>
  <c r="P76" i="2"/>
  <c r="L182" i="2"/>
  <c r="M261" i="2"/>
  <c r="N12" i="2"/>
  <c r="P95" i="2"/>
  <c r="O211" i="2"/>
  <c r="K147" i="2"/>
  <c r="N258" i="2"/>
  <c r="N189" i="2"/>
  <c r="L142" i="2"/>
  <c r="M11" i="2"/>
  <c r="L15" i="2"/>
  <c r="O119" i="2"/>
  <c r="P277" i="2"/>
  <c r="P191" i="2"/>
  <c r="O35" i="2"/>
  <c r="L199" i="2"/>
  <c r="N22" i="2"/>
  <c r="L13" i="2"/>
  <c r="N35" i="2"/>
  <c r="P134" i="2"/>
  <c r="M63" i="2"/>
  <c r="K167" i="2"/>
  <c r="N44" i="2"/>
  <c r="L2" i="2"/>
  <c r="P100" i="2"/>
  <c r="L242" i="2"/>
  <c r="O51" i="2"/>
  <c r="K263" i="2"/>
  <c r="N183" i="2"/>
  <c r="O75" i="2"/>
  <c r="L54" i="2"/>
  <c r="L245" i="2"/>
  <c r="P124" i="2"/>
  <c r="K168" i="2"/>
  <c r="L3" i="2"/>
  <c r="M265" i="2"/>
  <c r="P272" i="2"/>
  <c r="L256" i="2"/>
  <c r="M211" i="2"/>
  <c r="N29" i="2"/>
  <c r="P241" i="2"/>
  <c r="P244" i="2"/>
  <c r="L144" i="2"/>
  <c r="K141" i="2"/>
  <c r="O50" i="2"/>
  <c r="O201" i="2"/>
  <c r="L79" i="2"/>
  <c r="L24" i="2"/>
  <c r="K176" i="2"/>
  <c r="M41" i="2"/>
  <c r="L276" i="2"/>
  <c r="O221" i="2"/>
  <c r="O30" i="2"/>
  <c r="P35" i="2"/>
  <c r="M271" i="2"/>
  <c r="N58" i="2"/>
  <c r="M106" i="2"/>
  <c r="M137" i="2"/>
  <c r="M234" i="2"/>
  <c r="K92" i="2"/>
  <c r="M207" i="2"/>
  <c r="M203" i="2"/>
  <c r="P258" i="2"/>
  <c r="K84" i="2"/>
  <c r="L48" i="2"/>
  <c r="O255" i="2"/>
  <c r="M158" i="2"/>
  <c r="O116" i="2"/>
  <c r="N56" i="2"/>
  <c r="K191" i="2"/>
  <c r="O59" i="2"/>
  <c r="O11" i="2"/>
  <c r="K43" i="2"/>
  <c r="O134" i="2"/>
  <c r="L106" i="2"/>
  <c r="N82" i="2"/>
  <c r="M30" i="2"/>
  <c r="O120" i="2"/>
  <c r="K114" i="2"/>
  <c r="L229" i="2"/>
  <c r="K87" i="2"/>
  <c r="L253" i="2"/>
  <c r="N62" i="2"/>
  <c r="N215" i="2"/>
  <c r="P205" i="2"/>
  <c r="L70" i="2"/>
  <c r="N148" i="2"/>
  <c r="M22" i="2"/>
  <c r="N171" i="2"/>
  <c r="N137" i="2"/>
  <c r="M79" i="2"/>
  <c r="P57" i="2"/>
  <c r="O259" i="2"/>
  <c r="P242" i="2"/>
  <c r="O36" i="2"/>
  <c r="K15" i="2"/>
  <c r="N149" i="2"/>
  <c r="P150" i="2"/>
  <c r="M114" i="2"/>
  <c r="L262" i="2"/>
  <c r="L174" i="2"/>
  <c r="O152" i="2"/>
  <c r="L66" i="2"/>
  <c r="N161" i="2"/>
  <c r="N67" i="2"/>
  <c r="O76" i="2"/>
  <c r="L97" i="2"/>
  <c r="M62" i="2"/>
  <c r="L230" i="2"/>
  <c r="O44" i="2"/>
  <c r="O52" i="2"/>
  <c r="M182" i="2"/>
  <c r="P210" i="2"/>
  <c r="O99" i="2"/>
</calcChain>
</file>

<file path=xl/sharedStrings.xml><?xml version="1.0" encoding="utf-8"?>
<sst xmlns="http://schemas.openxmlformats.org/spreadsheetml/2006/main" count="3792" uniqueCount="249">
  <si>
    <t>Snout Pos</t>
  </si>
  <si>
    <t>Neck Pos</t>
  </si>
  <si>
    <t>Anal Pos</t>
  </si>
  <si>
    <t>Caudal Pos</t>
  </si>
  <si>
    <t>Head Length</t>
  </si>
  <si>
    <t>Notes</t>
  </si>
  <si>
    <t>Individual</t>
  </si>
  <si>
    <t>Standard Length</t>
  </si>
  <si>
    <t>EXAMPLE</t>
  </si>
  <si>
    <t>Vert</t>
  </si>
  <si>
    <t>Raw</t>
  </si>
  <si>
    <t>BL</t>
  </si>
  <si>
    <t>SL</t>
  </si>
  <si>
    <t>CBL_raw</t>
  </si>
  <si>
    <t>alpha_raw</t>
  </si>
  <si>
    <t>d_raw</t>
  </si>
  <si>
    <t>D_raw</t>
  </si>
  <si>
    <t>CBL</t>
  </si>
  <si>
    <t>alpha</t>
  </si>
  <si>
    <t>d</t>
  </si>
  <si>
    <t>D</t>
  </si>
  <si>
    <t>Pt1x</t>
  </si>
  <si>
    <t>Pt1y</t>
  </si>
  <si>
    <t>Pt2x</t>
  </si>
  <si>
    <t>Pt2y</t>
  </si>
  <si>
    <t>Pt3x</t>
  </si>
  <si>
    <t>Pt3y</t>
  </si>
  <si>
    <t>Pt4x</t>
  </si>
  <si>
    <t>Pt4y</t>
  </si>
  <si>
    <t>Pt5x</t>
  </si>
  <si>
    <t>Pt5y</t>
  </si>
  <si>
    <t>Pt6x</t>
  </si>
  <si>
    <t>Pt6y</t>
  </si>
  <si>
    <t>Species</t>
  </si>
  <si>
    <t>Indiv</t>
  </si>
  <si>
    <t>Pos</t>
  </si>
  <si>
    <t>Position</t>
  </si>
  <si>
    <t>Amp</t>
  </si>
  <si>
    <t>AmpPred</t>
  </si>
  <si>
    <t>ProjLoad</t>
  </si>
  <si>
    <t>Wobble</t>
  </si>
  <si>
    <t>G</t>
  </si>
  <si>
    <t>GJ</t>
  </si>
  <si>
    <t>Habitat</t>
  </si>
  <si>
    <t>RangeMin</t>
  </si>
  <si>
    <t>RangeMax</t>
  </si>
  <si>
    <t>RangeSpan</t>
  </si>
  <si>
    <t>Behavior</t>
  </si>
  <si>
    <t>Ainsignis</t>
  </si>
  <si>
    <t>Intertidal</t>
  </si>
  <si>
    <t>Demersal</t>
  </si>
  <si>
    <t>Pt7x</t>
  </si>
  <si>
    <t>Pt7y</t>
  </si>
  <si>
    <t>alpha_Ant_raw</t>
  </si>
  <si>
    <t>alpha_Pos_raw</t>
  </si>
  <si>
    <t>D_Pos_raw</t>
  </si>
  <si>
    <t>alpha_Pos</t>
  </si>
  <si>
    <t>D_Pos</t>
  </si>
  <si>
    <t>D_Ant_raw</t>
  </si>
  <si>
    <t>alpha_Ant</t>
  </si>
  <si>
    <t>D_Ant</t>
  </si>
  <si>
    <t>TEST</t>
  </si>
  <si>
    <t>Number</t>
  </si>
  <si>
    <t>001</t>
  </si>
  <si>
    <t>Alectis ciliaris</t>
  </si>
  <si>
    <t>Anoplogaster cornuta</t>
  </si>
  <si>
    <t>Aphareus furca</t>
  </si>
  <si>
    <t>Couldn't measure 50%</t>
  </si>
  <si>
    <t>Cephalopholis argus</t>
  </si>
  <si>
    <t>Chanos chanos</t>
  </si>
  <si>
    <t>Hemitaurichthys polylepis</t>
  </si>
  <si>
    <t>30% had no hole</t>
  </si>
  <si>
    <t>Labidesthes sicculus</t>
  </si>
  <si>
    <t>The scan is incredibly blurry</t>
  </si>
  <si>
    <t>Labroides dimidiatus</t>
  </si>
  <si>
    <t>Lepophidium profundorum</t>
  </si>
  <si>
    <t>Extremely twisted body shape so didn't do vertebrae measurements</t>
  </si>
  <si>
    <t>Malacocottus zonurus</t>
  </si>
  <si>
    <t>Microgadus proximus</t>
  </si>
  <si>
    <t>Lepidogalaxias salamandroides</t>
  </si>
  <si>
    <t>Myripristis jacobus</t>
  </si>
  <si>
    <t>Opsanus pardus</t>
  </si>
  <si>
    <t>Salarias fasciatus</t>
  </si>
  <si>
    <t>Stenobrachius leucopsaurus</t>
  </si>
  <si>
    <t>This was the clearest CT so far!</t>
  </si>
  <si>
    <t>Stephanolepis hispidus</t>
  </si>
  <si>
    <t>40% had a super oddly shaped cervical vertebra, 50% had no hole</t>
  </si>
  <si>
    <t>Nealotus tripes</t>
  </si>
  <si>
    <t>Menidia beryllina</t>
  </si>
  <si>
    <t>30% has no hole, also couldn't find one on 90%</t>
  </si>
  <si>
    <t>Chaetostoma lineopunctatum</t>
  </si>
  <si>
    <t>Roeboides affinis</t>
  </si>
  <si>
    <t>Cyprinus carpio</t>
  </si>
  <si>
    <t>Nectamia fusca</t>
  </si>
  <si>
    <t>40% and 50% were super weird</t>
  </si>
  <si>
    <t xml:space="preserve">Catostomus catostomus </t>
  </si>
  <si>
    <t>Fundulus heteroclitus</t>
  </si>
  <si>
    <t>Osteoglossum bicirrhosum</t>
  </si>
  <si>
    <t>30%/90% had no hole</t>
  </si>
  <si>
    <t>Lagodon rhomboides</t>
  </si>
  <si>
    <t>Polymixia lowei</t>
  </si>
  <si>
    <t>Amia calva</t>
  </si>
  <si>
    <t>Percopsis omiscomaycus</t>
  </si>
  <si>
    <t>Hypsypops rubicundus</t>
  </si>
  <si>
    <t>Halieutichthys aculeatus</t>
  </si>
  <si>
    <t>40%/70% had no hole</t>
  </si>
  <si>
    <t>Alectis_ciliaris</t>
  </si>
  <si>
    <t>Amia_calva</t>
  </si>
  <si>
    <t>Centrum angle facing the tail</t>
  </si>
  <si>
    <t>Centrum Body Length - length of the vertebrae (ignoring spines)</t>
  </si>
  <si>
    <t>canal diameter (notochordal foramen)</t>
  </si>
  <si>
    <t>Cone diameter facing the tail</t>
  </si>
  <si>
    <t>Centrum angle facing the head</t>
  </si>
  <si>
    <t>Cone diameter facing the head</t>
  </si>
  <si>
    <t>Anoplogaster_cornuta</t>
  </si>
  <si>
    <t>Aphareus_furca</t>
  </si>
  <si>
    <t>Catostomus_catostomus</t>
  </si>
  <si>
    <t>Cephalopholis_argus</t>
  </si>
  <si>
    <t>Chaetostoma_lineopunctatum</t>
  </si>
  <si>
    <t>Centropomus undecimalis</t>
  </si>
  <si>
    <t>60% had no hole</t>
  </si>
  <si>
    <t>Centropomus_undecimalis</t>
  </si>
  <si>
    <t>Osteoglossum_bicirrhosum</t>
  </si>
  <si>
    <t>Chanos_chanos</t>
  </si>
  <si>
    <t>Cyprinus_carpio</t>
  </si>
  <si>
    <t>Roeboides_affinis</t>
  </si>
  <si>
    <t>Lepidogalaxias_salamandroides</t>
  </si>
  <si>
    <t>Stenobrachius_leucopsaurus</t>
  </si>
  <si>
    <t>Percopsis_omiscomaycus</t>
  </si>
  <si>
    <t>Microgadus_proximus</t>
  </si>
  <si>
    <t>Polymixia_lowei</t>
  </si>
  <si>
    <t>Myripristis_jacobus</t>
  </si>
  <si>
    <t>Opsanus_pardus</t>
  </si>
  <si>
    <t>Nealotus_tripes</t>
  </si>
  <si>
    <t>Nectamia_fusca</t>
  </si>
  <si>
    <t>Fundulus_heteroclitus</t>
  </si>
  <si>
    <t>Menidia_beryllina</t>
  </si>
  <si>
    <t>Hypsypops_rubicundus</t>
  </si>
  <si>
    <t>Salarias_fasciatus</t>
  </si>
  <si>
    <t>Labroides_dimidiatus</t>
  </si>
  <si>
    <t>Hemitaurichthys_polylepis</t>
  </si>
  <si>
    <t>Lagodon_rhomboides</t>
  </si>
  <si>
    <t>Halieutichthys_aculeatus</t>
  </si>
  <si>
    <t>Stephanolepis_hispidus</t>
  </si>
  <si>
    <t>Malacocottus_zonurus</t>
  </si>
  <si>
    <t>Mirorictus taningi</t>
  </si>
  <si>
    <t>Mirorictus_taningi</t>
  </si>
  <si>
    <t>Phalacronotus bleekeri</t>
  </si>
  <si>
    <t>Phalacronotus_bleekeri</t>
  </si>
  <si>
    <t>Ctenochaetus strigosus</t>
  </si>
  <si>
    <t>Ctenochaetus_strigosus</t>
  </si>
  <si>
    <t>Ophidion scrippsae</t>
  </si>
  <si>
    <t>Ophidion_scrippsae</t>
  </si>
  <si>
    <t>Malacosteus niger</t>
  </si>
  <si>
    <t>Malacosteus_niger</t>
  </si>
  <si>
    <t>Serrasalmus rhombeus</t>
  </si>
  <si>
    <t>Serrasalmus_rhombeus</t>
  </si>
  <si>
    <t>Onchorhyncus gorbuscha</t>
  </si>
  <si>
    <t>Coryphaenoides filifer</t>
  </si>
  <si>
    <t>Coryphaenoides_filifer</t>
  </si>
  <si>
    <t>Pimelodella cristata</t>
  </si>
  <si>
    <t>Pimelodella_cristata</t>
  </si>
  <si>
    <t>Polypterus senegalus</t>
  </si>
  <si>
    <t>Polypterus_senegalus</t>
  </si>
  <si>
    <t>Anodontostoma chacunda</t>
  </si>
  <si>
    <t>Anodontostoma_chacunda</t>
  </si>
  <si>
    <t>Apteronotus cuchillejo</t>
  </si>
  <si>
    <t>Apteronotus_cuchillejo</t>
  </si>
  <si>
    <t>Hypomesus pretiosus</t>
  </si>
  <si>
    <t>Hypomesus_pretiosus</t>
  </si>
  <si>
    <t>Nannaethiops unitaeniatus</t>
  </si>
  <si>
    <t>Nannaethiops_unitaeniatus</t>
  </si>
  <si>
    <t>Risor ruber</t>
  </si>
  <si>
    <t>Risor_ruber</t>
  </si>
  <si>
    <t>Remora remora</t>
  </si>
  <si>
    <t>Remora_remora</t>
  </si>
  <si>
    <t>Parophrys vetulus</t>
  </si>
  <si>
    <t>Parophrys_vetulus</t>
  </si>
  <si>
    <t>Symphysodon discus</t>
  </si>
  <si>
    <t>Symphysodon_discus</t>
  </si>
  <si>
    <t>Cheilopogon melanurus</t>
  </si>
  <si>
    <t>Mugil cephalus</t>
  </si>
  <si>
    <t>Equetus lanceolatus</t>
  </si>
  <si>
    <t>Cheilopogon_melanurus</t>
  </si>
  <si>
    <t>Mugil_cephalus</t>
  </si>
  <si>
    <t>Equetus_lanceolatus</t>
  </si>
  <si>
    <t>Novumbra hubbsi</t>
  </si>
  <si>
    <t>Novumbra_hubbsi</t>
  </si>
  <si>
    <t>Elops saurus</t>
  </si>
  <si>
    <t>Elops_saurus</t>
  </si>
  <si>
    <t>Chiasmodon niger</t>
  </si>
  <si>
    <t>Chiasmodon_niger</t>
  </si>
  <si>
    <t>Gadopsis marmoratus</t>
  </si>
  <si>
    <t>Diplectrum formosum</t>
  </si>
  <si>
    <t>Diplectrum_formosum</t>
  </si>
  <si>
    <t>Gadopsis_marmoratus</t>
  </si>
  <si>
    <t>Anoplarchus_insignis</t>
  </si>
  <si>
    <t xml:space="preserve">Ammodytes_personatus </t>
  </si>
  <si>
    <t>Apodichthys_flavidus</t>
  </si>
  <si>
    <t>Lepomis_macrochirus</t>
  </si>
  <si>
    <t>Lumpenus_sagitta</t>
  </si>
  <si>
    <t>Ophiodon_elongatus</t>
  </si>
  <si>
    <t>Phytichthys_chirus</t>
  </si>
  <si>
    <t>Pholis_laeta</t>
  </si>
  <si>
    <t>Pholis_ornata</t>
  </si>
  <si>
    <t>Ronquilus_jordani</t>
  </si>
  <si>
    <t>Xiphister_atropurpureus</t>
  </si>
  <si>
    <t>Xiphister_mucosus</t>
  </si>
  <si>
    <t>Aulorhynchus_flavidus</t>
  </si>
  <si>
    <t>Myoxocephalus_polyacanthocephalus</t>
  </si>
  <si>
    <t>Body Shape</t>
  </si>
  <si>
    <t>Pelagic</t>
  </si>
  <si>
    <t>Reef associated</t>
  </si>
  <si>
    <t>Deep bodied</t>
  </si>
  <si>
    <t>Benthic</t>
  </si>
  <si>
    <t>Fusiform</t>
  </si>
  <si>
    <t>Tadpole shaped</t>
  </si>
  <si>
    <t>Elongate</t>
  </si>
  <si>
    <t>Anoplarchus_purpurescens</t>
  </si>
  <si>
    <t>Oncorhynchus_gorbuscha</t>
  </si>
  <si>
    <t>Habitat_Friedman</t>
  </si>
  <si>
    <t>Habitat_FishBase</t>
  </si>
  <si>
    <t>pelagic</t>
  </si>
  <si>
    <t>demersal</t>
  </si>
  <si>
    <t>benthic</t>
  </si>
  <si>
    <t>reef associated</t>
  </si>
  <si>
    <t>benthopelagic</t>
  </si>
  <si>
    <t>bathydemersal</t>
  </si>
  <si>
    <t>Abramis_brama</t>
  </si>
  <si>
    <t>Hirundichthys_rondeletii</t>
  </si>
  <si>
    <t>Coryphaena_hippurus</t>
  </si>
  <si>
    <t>Alosa_pseudoharengus</t>
  </si>
  <si>
    <t>Engraulis_mordax</t>
  </si>
  <si>
    <t>Trachurus_trachurus</t>
  </si>
  <si>
    <t>Poecilia_reticulata</t>
  </si>
  <si>
    <t>Sphyraena_sphyraena</t>
  </si>
  <si>
    <t>Scomber_japonicus</t>
  </si>
  <si>
    <t>Xiphophorus_hellerii</t>
  </si>
  <si>
    <t>bathypelagic</t>
  </si>
  <si>
    <t xml:space="preserve">Habitat_Initial </t>
  </si>
  <si>
    <t>AsquishAnt</t>
  </si>
  <si>
    <t>AsquishPost</t>
  </si>
  <si>
    <t>AboneL</t>
  </si>
  <si>
    <t>AboneR</t>
  </si>
  <si>
    <t>PercSquish</t>
  </si>
  <si>
    <t>Dant</t>
  </si>
  <si>
    <t>alphaAnt</t>
  </si>
  <si>
    <t>Dpost</t>
  </si>
  <si>
    <t>alphaPost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</si>
</sst>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17" x14ac:knownFonts="1">
    <font>
      <sz val="11"/>
      <color theme="1"/>
      <name val="Calibri"/>
      <family val="2"/>
      <scheme val="minor"/>
    </font>
    <font>
      <sz val="11"/>
      <color rgb="FF000000"/>
      <name val="Arial"/>
      <family val="2"/>
    </font>
    <font>
      <b/>
      <sz val="11"/>
      <color rgb="FF000000"/>
      <name val="Arial"/>
      <family val="2"/>
    </font>
    <font>
      <b/>
      <sz val="11"/>
      <color rgb="FF000000"/>
      <name val="Calibri"/>
      <family val="2"/>
    </font>
    <font>
      <b/>
      <sz val="10"/>
      <name val="Arial"/>
      <family val="2"/>
    </font>
    <font>
      <sz val="11"/>
      <color rgb="FF000000"/>
      <name val="Calibri"/>
      <family val="2"/>
    </font>
    <font>
      <b/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sz val="11"/>
      <color rgb="FF00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FE2F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DCFD9"/>
        <bgColor indexed="64"/>
      </patternFill>
    </fill>
  </fills>
  <borders count="4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theme="2" tint="-0.249977111117893"/>
      </left>
      <right/>
      <top/>
      <bottom style="medium">
        <color theme="2" tint="-0.249977111117893"/>
      </bottom>
      <diagonal/>
    </border>
    <border>
      <left/>
      <right/>
      <top/>
      <bottom style="medium">
        <color theme="2" tint="-0.249977111117893"/>
      </bottom>
      <diagonal/>
    </border>
  </borders>
  <cellStyleXfs count="1">
    <xf numFmtId="0" fontId="0" fillId="0" borderId="0"/>
  </cellStyleXfs>
  <cellXfs count="58">
    <xf numFmtId="0" fontId="0" fillId="0" borderId="0" xfId="0"/>
    <xf numFmtId="0" fontId="6" fillId="2" borderId="0" xfId="0" applyFont="1" applyFill="1" applyBorder="1" applyAlignment="1">
      <alignment horizontal="left" wrapText="1"/>
    </xf>
    <xf numFmtId="0" fontId="6" fillId="2" borderId="0" xfId="0" applyFont="1" applyFill="1" applyBorder="1" applyAlignment="1">
      <alignment horizontal="center" wrapText="1"/>
    </xf>
    <xf numFmtId="0" fontId="7" fillId="0" borderId="0" xfId="0" applyFont="1" applyBorder="1" applyAlignment="1">
      <alignment horizontal="left" wrapText="1"/>
    </xf>
    <xf numFmtId="0" fontId="6" fillId="0" borderId="0" xfId="0" applyFont="1" applyBorder="1" applyAlignment="1">
      <alignment horizontal="left" wrapText="1"/>
    </xf>
    <xf numFmtId="0" fontId="7" fillId="0" borderId="0" xfId="0" applyFont="1" applyBorder="1" applyAlignment="1">
      <alignment horizontal="left"/>
    </xf>
    <xf numFmtId="0" fontId="8" fillId="2" borderId="0" xfId="0" applyFont="1" applyFill="1" applyBorder="1" applyAlignment="1">
      <alignment horizontal="left" wrapText="1"/>
    </xf>
    <xf numFmtId="0" fontId="8" fillId="2" borderId="0" xfId="0" applyFont="1" applyFill="1" applyBorder="1" applyAlignment="1">
      <alignment horizontal="center" wrapText="1"/>
    </xf>
    <xf numFmtId="0" fontId="9" fillId="0" borderId="0" xfId="0" applyFont="1" applyBorder="1" applyAlignment="1">
      <alignment horizontal="left" wrapText="1"/>
    </xf>
    <xf numFmtId="0" fontId="8" fillId="0" borderId="0" xfId="0" applyFont="1" applyBorder="1" applyAlignment="1">
      <alignment horizontal="left"/>
    </xf>
    <xf numFmtId="0" fontId="10" fillId="0" borderId="0" xfId="0" applyFont="1" applyBorder="1" applyAlignment="1">
      <alignment horizontal="left"/>
    </xf>
    <xf numFmtId="0" fontId="11" fillId="0" borderId="0" xfId="0" applyFont="1" applyBorder="1" applyAlignment="1">
      <alignment horizontal="left" wrapText="1"/>
    </xf>
    <xf numFmtId="2" fontId="5" fillId="0" borderId="0" xfId="0" applyNumberFormat="1" applyFont="1" applyFill="1" applyAlignment="1"/>
    <xf numFmtId="164" fontId="5" fillId="0" borderId="0" xfId="0" applyNumberFormat="1" applyFont="1" applyFill="1" applyAlignment="1"/>
    <xf numFmtId="0" fontId="0" fillId="0" borderId="0" xfId="0" applyFill="1"/>
    <xf numFmtId="2" fontId="1" fillId="0" borderId="2" xfId="0" applyNumberFormat="1" applyFont="1" applyFill="1" applyBorder="1" applyAlignment="1">
      <alignment horizontal="center"/>
    </xf>
    <xf numFmtId="2" fontId="1" fillId="0" borderId="3" xfId="0" applyNumberFormat="1" applyFont="1" applyFill="1" applyBorder="1" applyAlignment="1">
      <alignment horizontal="center"/>
    </xf>
    <xf numFmtId="2" fontId="2" fillId="0" borderId="3" xfId="0" applyNumberFormat="1" applyFont="1" applyFill="1" applyBorder="1" applyAlignment="1">
      <alignment horizontal="center"/>
    </xf>
    <xf numFmtId="2" fontId="3" fillId="0" borderId="3" xfId="0" applyNumberFormat="1" applyFont="1" applyFill="1" applyBorder="1" applyAlignment="1"/>
    <xf numFmtId="164" fontId="3" fillId="0" borderId="3" xfId="0" applyNumberFormat="1" applyFont="1" applyFill="1" applyBorder="1" applyAlignment="1"/>
    <xf numFmtId="0" fontId="4" fillId="0" borderId="3" xfId="0" applyFont="1" applyFill="1" applyBorder="1"/>
    <xf numFmtId="0" fontId="0" fillId="0" borderId="3" xfId="0" applyFont="1" applyFill="1" applyBorder="1" applyAlignment="1"/>
    <xf numFmtId="0" fontId="12" fillId="0" borderId="3" xfId="0" applyFont="1" applyFill="1" applyBorder="1" applyAlignment="1"/>
    <xf numFmtId="0" fontId="13" fillId="0" borderId="1" xfId="0" applyFont="1" applyBorder="1" applyAlignment="1">
      <alignment horizontal="right" wrapText="1"/>
    </xf>
    <xf numFmtId="0" fontId="12" fillId="0" borderId="1" xfId="0" applyFont="1" applyBorder="1" applyAlignment="1">
      <alignment horizontal="right" wrapText="1"/>
    </xf>
    <xf numFmtId="0" fontId="12" fillId="0" borderId="1" xfId="0" applyFont="1" applyBorder="1" applyAlignment="1">
      <alignment horizontal="center" vertical="center" wrapText="1"/>
    </xf>
    <xf numFmtId="0" fontId="13" fillId="0" borderId="1" xfId="0" applyFont="1" applyBorder="1" applyAlignment="1">
      <alignment horizontal="center" vertical="center" wrapText="1"/>
    </xf>
    <xf numFmtId="0" fontId="12" fillId="3" borderId="1" xfId="0" applyFont="1" applyFill="1" applyBorder="1" applyAlignment="1">
      <alignment horizontal="center" vertical="center" wrapText="1"/>
    </xf>
    <xf numFmtId="0" fontId="13" fillId="3" borderId="1" xfId="0" applyFont="1" applyFill="1" applyBorder="1" applyAlignment="1">
      <alignment horizontal="right" wrapText="1"/>
    </xf>
    <xf numFmtId="0" fontId="13" fillId="3" borderId="1" xfId="0" applyFont="1" applyFill="1" applyBorder="1" applyAlignment="1">
      <alignment horizontal="center" vertical="center" wrapText="1"/>
    </xf>
    <xf numFmtId="0" fontId="12" fillId="0" borderId="1" xfId="0" applyFont="1" applyBorder="1" applyAlignment="1">
      <alignment horizontal="left" vertical="center" wrapText="1"/>
    </xf>
    <xf numFmtId="0" fontId="13" fillId="0" borderId="1" xfId="0" applyFont="1" applyBorder="1" applyAlignment="1">
      <alignment horizontal="left" vertical="center" wrapText="1"/>
    </xf>
    <xf numFmtId="0" fontId="12" fillId="3" borderId="1" xfId="0" applyFont="1" applyFill="1" applyBorder="1" applyAlignment="1">
      <alignment horizontal="right" vertical="center" wrapText="1"/>
    </xf>
    <xf numFmtId="0" fontId="12" fillId="4" borderId="1" xfId="0" applyFont="1" applyFill="1" applyBorder="1" applyAlignment="1">
      <alignment horizontal="center" vertical="center" wrapText="1"/>
    </xf>
    <xf numFmtId="0" fontId="13" fillId="4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0" fontId="0" fillId="0" borderId="0" xfId="0"/>
    <xf numFmtId="0" fontId="0" fillId="0" borderId="0" xfId="0"/>
    <xf numFmtId="0" fontId="5" fillId="0" borderId="0" xfId="0" applyFont="1" applyFill="1" applyBorder="1" applyAlignment="1"/>
    <xf numFmtId="0" fontId="0" fillId="0" borderId="0" xfId="0"/>
    <xf numFmtId="0" fontId="0" fillId="0" borderId="0" xfId="0" applyFont="1" applyFill="1"/>
    <xf numFmtId="0" fontId="0" fillId="0" borderId="0" xfId="0" applyFont="1" applyFill="1" applyBorder="1" applyAlignment="1">
      <alignment horizontal="right"/>
    </xf>
    <xf numFmtId="0" fontId="0" fillId="0" borderId="0" xfId="0" applyAlignment="1">
      <alignment horizontal="right"/>
    </xf>
    <xf numFmtId="0" fontId="0" fillId="0" borderId="0" xfId="0" applyFont="1" applyFill="1" applyBorder="1" applyAlignment="1">
      <alignment horizontal="right" wrapText="1"/>
    </xf>
    <xf numFmtId="0" fontId="14" fillId="0" borderId="0" xfId="0" applyFont="1" applyBorder="1" applyAlignment="1">
      <alignment horizontal="right" wrapText="1"/>
    </xf>
    <xf numFmtId="2" fontId="5" fillId="0" borderId="0" xfId="0" applyNumberFormat="1" applyFont="1" applyFill="1" applyAlignment="1">
      <alignment horizontal="right"/>
    </xf>
    <xf numFmtId="0" fontId="0" fillId="0" borderId="0" xfId="0" applyFont="1" applyFill="1" applyAlignment="1">
      <alignment horizontal="right"/>
    </xf>
    <xf numFmtId="0" fontId="0" fillId="0" borderId="0" xfId="0"/>
    <xf numFmtId="0" fontId="0" fillId="0" borderId="0" xfId="0" applyFont="1" applyBorder="1" applyAlignment="1">
      <alignment horizontal="right"/>
    </xf>
    <xf numFmtId="0" fontId="0" fillId="0" borderId="0" xfId="0" applyFont="1" applyBorder="1" applyAlignment="1">
      <alignment horizontal="right" wrapText="1"/>
    </xf>
    <xf numFmtId="0" fontId="0" fillId="0" borderId="0" xfId="0"/>
    <xf numFmtId="0" fontId="15" fillId="0" borderId="0" xfId="0" applyFont="1"/>
    <xf numFmtId="0" fontId="5" fillId="0" borderId="0" xfId="0" applyFont="1"/>
    <xf numFmtId="0" fontId="16" fillId="0" borderId="3" xfId="0" applyFont="1" applyFill="1" applyBorder="1" applyAlignment="1"/>
    <xf numFmtId="11" fontId="0" fillId="0" borderId="0" xfId="0" applyNumberFormat="1"/>
    <xf numFmtId="0" fontId="16" fillId="0" borderId="0" xfId="0" applyFont="1"/>
    <xf numFmtId="0" fontId="6" fillId="0" borderId="0" xfId="0" applyFont="1" applyBorder="1" applyAlignment="1">
      <alignment horizontal="left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DCF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A19FD8-9868-4E9E-A885-7655172D6AD6}">
  <sheetPr codeName="Sheet1"/>
  <dimension ref="A1:S397"/>
  <sheetViews>
    <sheetView workbookViewId="0">
      <pane ySplit="1" topLeftCell="A2" activePane="bottomLeft" state="frozen"/>
      <selection pane="bottomLeft" activeCell="G38" sqref="G38"/>
    </sheetView>
  </sheetViews>
  <sheetFormatPr defaultColWidth="9.1796875" defaultRowHeight="14.5" thickBottom="1" x14ac:dyDescent="0.35"/>
  <cols>
    <col min="1" max="1" width="28.36328125" style="28" customWidth="1"/>
    <col min="2" max="2" width="9.453125" style="36" customWidth="1"/>
    <col min="3" max="3" width="8.453125" style="29" customWidth="1"/>
    <col min="4" max="5" width="9.1796875" style="29"/>
    <col min="6" max="6" width="9.453125" style="29" bestFit="1" customWidth="1"/>
    <col min="7" max="7" width="10.6328125" style="26" customWidth="1"/>
    <col min="8" max="8" width="9.1796875" style="26"/>
    <col min="9" max="9" width="8.453125" style="26" customWidth="1"/>
    <col min="10" max="17" width="7.36328125" style="26" customWidth="1"/>
    <col min="18" max="18" width="7.36328125" style="34" customWidth="1"/>
    <col min="19" max="19" width="30.81640625" style="31" customWidth="1"/>
    <col min="20" max="16384" width="9.1796875" style="23"/>
  </cols>
  <sheetData>
    <row r="1" spans="1:19" s="24" customFormat="1" ht="28.5" thickBot="1" x14ac:dyDescent="0.35">
      <c r="A1" s="32" t="s">
        <v>6</v>
      </c>
      <c r="B1" s="35" t="s">
        <v>62</v>
      </c>
      <c r="C1" s="27" t="s">
        <v>0</v>
      </c>
      <c r="D1" s="27" t="s">
        <v>1</v>
      </c>
      <c r="E1" s="27" t="s">
        <v>2</v>
      </c>
      <c r="F1" s="27" t="s">
        <v>3</v>
      </c>
      <c r="G1" s="25" t="s">
        <v>7</v>
      </c>
      <c r="H1" s="25" t="s">
        <v>4</v>
      </c>
      <c r="I1" s="25">
        <v>0.1</v>
      </c>
      <c r="J1" s="25">
        <v>0.2</v>
      </c>
      <c r="K1" s="25">
        <v>0.3</v>
      </c>
      <c r="L1" s="25">
        <v>0.4</v>
      </c>
      <c r="M1" s="25">
        <v>0.5</v>
      </c>
      <c r="N1" s="25">
        <v>0.6</v>
      </c>
      <c r="O1" s="25">
        <v>0.7</v>
      </c>
      <c r="P1" s="25">
        <v>0.8</v>
      </c>
      <c r="Q1" s="25">
        <v>0.9</v>
      </c>
      <c r="R1" s="33">
        <v>1</v>
      </c>
      <c r="S1" s="30" t="s">
        <v>5</v>
      </c>
    </row>
    <row r="2" spans="1:19" thickBot="1" x14ac:dyDescent="0.35">
      <c r="A2" s="28" t="s">
        <v>8</v>
      </c>
      <c r="C2" s="29">
        <v>42.5</v>
      </c>
      <c r="D2" s="29">
        <v>466.5</v>
      </c>
      <c r="E2" s="29">
        <v>1470</v>
      </c>
      <c r="F2" s="29">
        <v>3272.2</v>
      </c>
      <c r="G2" s="26">
        <f>ABS(F2-C2)</f>
        <v>3229.7</v>
      </c>
      <c r="H2" s="26">
        <f>ABS(D2-C2)</f>
        <v>424</v>
      </c>
      <c r="I2" s="26">
        <f>IF(G2&gt;C2, C2+(0.1*G2), C2-(0.1*G2))</f>
        <v>365.47</v>
      </c>
      <c r="J2" s="26">
        <f>IF(G2&gt;C2, C2+(0.2*G2), C2-(0.2*G2))</f>
        <v>688.44</v>
      </c>
      <c r="K2" s="26">
        <f>IF(G2&gt;C2, C2+(0.3*G2), C2-(0.3*G2))</f>
        <v>1011.4099999999999</v>
      </c>
      <c r="L2" s="26">
        <f>IF(G2&gt;C2, C2+(0.4*G2), C2-(0.4*G2))</f>
        <v>1334.38</v>
      </c>
      <c r="M2" s="26">
        <f>IF(G2&gt;C2, C2+(0.5*G2), C2-(0.5*G2))</f>
        <v>1657.35</v>
      </c>
      <c r="N2" s="26">
        <f>IF(G2&gt;C2, C2+(0.6*G2), C2-(0.6*G2))</f>
        <v>1980.3199999999997</v>
      </c>
      <c r="O2" s="26">
        <f>IF(G2&gt;C2, C2+(0.7*G2), C2-(0.7*G2))</f>
        <v>2303.2899999999995</v>
      </c>
      <c r="P2" s="26">
        <f>IF(G2&gt;C2, C2+(0.8*G2), C2-(0.8*G2))</f>
        <v>2626.26</v>
      </c>
      <c r="Q2" s="26">
        <f>IF(G2&gt;C2, C2+(0.9*G2), C2-(0.9*G2))</f>
        <v>2949.23</v>
      </c>
      <c r="R2" s="34">
        <f>IF(G2&gt;C2, C2+(1*G2), C2-(1*G2))</f>
        <v>3272.2</v>
      </c>
    </row>
    <row r="3" spans="1:19" thickBot="1" x14ac:dyDescent="0.35">
      <c r="A3" s="28" t="s">
        <v>61</v>
      </c>
      <c r="C3" s="29">
        <v>50</v>
      </c>
      <c r="D3" s="29">
        <v>100</v>
      </c>
      <c r="E3" s="29">
        <v>500</v>
      </c>
      <c r="F3" s="29">
        <v>550</v>
      </c>
      <c r="G3" s="26">
        <f>ABS(F3-C3)</f>
        <v>500</v>
      </c>
      <c r="H3" s="26">
        <f>ABS(D3-C3)</f>
        <v>50</v>
      </c>
      <c r="I3" s="26">
        <f>IF(G3&gt;C3, C3+(0.1*G3), C3-(0.1*G3))</f>
        <v>100</v>
      </c>
      <c r="J3" s="26">
        <f>IF(G3&gt;C3, C3+(0.2*G3), C3-(0.2*G3))</f>
        <v>150</v>
      </c>
      <c r="K3" s="26">
        <f>IF(G3&gt;C3, C3+(0.3*G3), C3-(0.3*G3))</f>
        <v>200</v>
      </c>
      <c r="L3" s="26">
        <f>IF(G3&gt;C3, C3+(0.4*G3), C3-(0.4*G3))</f>
        <v>250</v>
      </c>
      <c r="M3" s="26">
        <f>IF(G3&gt;C3, C3+(0.5*G3), C3-(0.5*G3))</f>
        <v>300</v>
      </c>
      <c r="N3" s="26">
        <f>IF(G3&gt;C3, C3+(0.6*G3), C3-(0.6*G3))</f>
        <v>350</v>
      </c>
      <c r="O3" s="26">
        <f>IF(G3&gt;C3, C3+(0.7*G3), C3-(0.7*G3))</f>
        <v>400</v>
      </c>
      <c r="P3" s="26">
        <f>IF(G3&gt;C3, C3+(0.8*G3), C3-(0.8*G3))</f>
        <v>450</v>
      </c>
      <c r="Q3" s="26">
        <f>IF(G3&gt;C3, C3+(0.9*G3), C3-(0.9*G3))</f>
        <v>500</v>
      </c>
      <c r="R3" s="34">
        <f>IF(G3&gt;C3, C3+(1*G3), C3-(1*G3))</f>
        <v>550</v>
      </c>
    </row>
    <row r="4" spans="1:19" thickBot="1" x14ac:dyDescent="0.35">
      <c r="A4" s="28" t="s">
        <v>64</v>
      </c>
      <c r="B4" s="36" t="s">
        <v>63</v>
      </c>
      <c r="C4" s="29">
        <v>125.5</v>
      </c>
      <c r="D4" s="29">
        <v>352.5</v>
      </c>
      <c r="E4" s="29">
        <v>580.5</v>
      </c>
      <c r="F4" s="29">
        <v>924.5</v>
      </c>
      <c r="G4" s="26">
        <f t="shared" ref="G4:G67" si="0">ABS(F4-C4)</f>
        <v>799</v>
      </c>
      <c r="H4" s="26">
        <f t="shared" ref="H4:H67" si="1">ABS(D4-C4)</f>
        <v>227</v>
      </c>
      <c r="I4" s="34">
        <f t="shared" ref="I4:I67" si="2">IF(G4&gt;C4, C4+(0.1*G4), C4-(0.1*G4))</f>
        <v>205.4</v>
      </c>
      <c r="J4" s="34">
        <f t="shared" ref="J4:J67" si="3">IF(G4&gt;C4, C4+(0.2*G4), C4-(0.2*G4))</f>
        <v>285.3</v>
      </c>
      <c r="K4" s="34">
        <f t="shared" ref="K4:K67" si="4">IF(G4&gt;C4, C4+(0.3*G4), C4-(0.3*G4))</f>
        <v>365.2</v>
      </c>
      <c r="L4" s="26">
        <f t="shared" ref="L4:L67" si="5">IF(G4&gt;C4, C4+(0.4*G4), C4-(0.4*G4))</f>
        <v>445.1</v>
      </c>
      <c r="M4" s="26">
        <f t="shared" ref="M4:M67" si="6">IF(G4&gt;C4, C4+(0.5*G4), C4-(0.5*G4))</f>
        <v>525</v>
      </c>
      <c r="N4" s="26">
        <f t="shared" ref="N4:N67" si="7">IF(G4&gt;C4, C4+(0.6*G4), C4-(0.6*G4))</f>
        <v>604.9</v>
      </c>
      <c r="O4" s="26">
        <f t="shared" ref="O4:O67" si="8">IF(G4&gt;C4, C4+(0.7*G4), C4-(0.7*G4))</f>
        <v>684.8</v>
      </c>
      <c r="P4" s="26">
        <f t="shared" ref="P4:P67" si="9">IF(G4&gt;C4, C4+(0.8*G4), C4-(0.8*G4))</f>
        <v>764.7</v>
      </c>
      <c r="Q4" s="26">
        <f t="shared" ref="Q4:Q67" si="10">IF(G4&gt;C4, C4+(0.9*G4), C4-(0.9*G4))</f>
        <v>844.6</v>
      </c>
      <c r="R4" s="34">
        <f t="shared" ref="R4:R67" si="11">IF(G4&gt;C4, C4+(1*G4), C4-(1*G4))</f>
        <v>924.5</v>
      </c>
    </row>
    <row r="5" spans="1:19" ht="18" customHeight="1" thickBot="1" x14ac:dyDescent="0.35">
      <c r="A5" s="28" t="s">
        <v>65</v>
      </c>
      <c r="B5" s="36" t="s">
        <v>63</v>
      </c>
      <c r="C5" s="29">
        <v>-6.5</v>
      </c>
      <c r="D5" s="29">
        <v>335.5</v>
      </c>
      <c r="E5" s="29">
        <v>698.67700000000002</v>
      </c>
      <c r="F5" s="29">
        <v>1235.6769999999999</v>
      </c>
      <c r="G5" s="26">
        <f t="shared" si="0"/>
        <v>1242.1769999999999</v>
      </c>
      <c r="H5" s="26">
        <f t="shared" si="1"/>
        <v>342</v>
      </c>
      <c r="I5" s="34">
        <f t="shared" si="2"/>
        <v>117.71769999999999</v>
      </c>
      <c r="J5" s="34">
        <f t="shared" si="3"/>
        <v>241.93539999999999</v>
      </c>
      <c r="K5" s="26">
        <f t="shared" si="4"/>
        <v>366.15309999999994</v>
      </c>
      <c r="L5" s="26">
        <f t="shared" si="5"/>
        <v>490.37079999999997</v>
      </c>
      <c r="M5" s="26">
        <f t="shared" si="6"/>
        <v>614.58849999999995</v>
      </c>
      <c r="N5" s="26">
        <f t="shared" si="7"/>
        <v>738.80619999999988</v>
      </c>
      <c r="O5" s="26">
        <f t="shared" si="8"/>
        <v>863.02389999999991</v>
      </c>
      <c r="P5" s="26">
        <f t="shared" si="9"/>
        <v>987.24159999999995</v>
      </c>
      <c r="Q5" s="26">
        <f t="shared" si="10"/>
        <v>1111.4593</v>
      </c>
      <c r="R5" s="34">
        <f t="shared" si="11"/>
        <v>1235.6769999999999</v>
      </c>
      <c r="S5" s="31" t="s">
        <v>67</v>
      </c>
    </row>
    <row r="6" spans="1:19" thickBot="1" x14ac:dyDescent="0.35">
      <c r="A6" s="28" t="s">
        <v>66</v>
      </c>
      <c r="B6" s="36" t="s">
        <v>63</v>
      </c>
      <c r="C6" s="29">
        <v>46.371000000000002</v>
      </c>
      <c r="D6" s="29">
        <v>363.37099999999998</v>
      </c>
      <c r="E6" s="29">
        <v>729.68799999999999</v>
      </c>
      <c r="F6" s="29">
        <v>1107.6880000000001</v>
      </c>
      <c r="G6" s="26">
        <f t="shared" si="0"/>
        <v>1061.317</v>
      </c>
      <c r="H6" s="26">
        <f t="shared" si="1"/>
        <v>317</v>
      </c>
      <c r="I6" s="34">
        <f t="shared" si="2"/>
        <v>152.5027</v>
      </c>
      <c r="J6" s="34">
        <f t="shared" si="3"/>
        <v>258.63440000000003</v>
      </c>
      <c r="K6" s="34">
        <f t="shared" si="4"/>
        <v>364.76609999999999</v>
      </c>
      <c r="L6" s="26">
        <f t="shared" si="5"/>
        <v>470.89780000000002</v>
      </c>
      <c r="M6" s="26">
        <f t="shared" si="6"/>
        <v>577.02949999999998</v>
      </c>
      <c r="N6" s="26">
        <f t="shared" si="7"/>
        <v>683.16120000000001</v>
      </c>
      <c r="O6" s="26">
        <f t="shared" si="8"/>
        <v>789.29289999999992</v>
      </c>
      <c r="P6" s="26">
        <f t="shared" si="9"/>
        <v>895.42460000000005</v>
      </c>
      <c r="Q6" s="26">
        <f t="shared" si="10"/>
        <v>1001.5563</v>
      </c>
      <c r="R6" s="34">
        <f t="shared" si="11"/>
        <v>1107.6880000000001</v>
      </c>
    </row>
    <row r="7" spans="1:19" thickBot="1" x14ac:dyDescent="0.35">
      <c r="A7" s="28" t="s">
        <v>68</v>
      </c>
      <c r="B7" s="36" t="s">
        <v>63</v>
      </c>
      <c r="C7" s="29">
        <v>1730.5</v>
      </c>
      <c r="D7" s="29">
        <v>1351.5</v>
      </c>
      <c r="E7" s="29">
        <v>1050.5</v>
      </c>
      <c r="F7" s="29">
        <v>414.5</v>
      </c>
      <c r="G7" s="26">
        <f t="shared" si="0"/>
        <v>1316</v>
      </c>
      <c r="H7" s="26">
        <f t="shared" si="1"/>
        <v>379</v>
      </c>
      <c r="I7" s="34">
        <f t="shared" si="2"/>
        <v>1598.9</v>
      </c>
      <c r="J7" s="34">
        <f t="shared" si="3"/>
        <v>1467.3</v>
      </c>
      <c r="K7" s="26">
        <f t="shared" si="4"/>
        <v>1335.7</v>
      </c>
      <c r="L7" s="26">
        <f t="shared" si="5"/>
        <v>1204.0999999999999</v>
      </c>
      <c r="M7" s="26">
        <f t="shared" si="6"/>
        <v>1072.5</v>
      </c>
      <c r="N7" s="26">
        <f t="shared" si="7"/>
        <v>940.9</v>
      </c>
      <c r="O7" s="26">
        <f t="shared" si="8"/>
        <v>809.30000000000007</v>
      </c>
      <c r="P7" s="26">
        <f t="shared" si="9"/>
        <v>677.7</v>
      </c>
      <c r="Q7" s="26">
        <f t="shared" si="10"/>
        <v>546.09999999999991</v>
      </c>
      <c r="R7" s="34">
        <f t="shared" si="11"/>
        <v>414.5</v>
      </c>
    </row>
    <row r="8" spans="1:19" ht="16.5" customHeight="1" thickBot="1" x14ac:dyDescent="0.35">
      <c r="A8" s="28" t="s">
        <v>69</v>
      </c>
      <c r="B8" s="36" t="s">
        <v>63</v>
      </c>
      <c r="C8" s="29">
        <v>92</v>
      </c>
      <c r="D8" s="29">
        <v>408</v>
      </c>
      <c r="E8" s="29">
        <v>838</v>
      </c>
      <c r="F8" s="29">
        <v>1506</v>
      </c>
      <c r="G8" s="26">
        <f t="shared" si="0"/>
        <v>1414</v>
      </c>
      <c r="H8" s="26">
        <f t="shared" si="1"/>
        <v>316</v>
      </c>
      <c r="I8" s="34">
        <f t="shared" si="2"/>
        <v>233.4</v>
      </c>
      <c r="J8" s="34">
        <f t="shared" si="3"/>
        <v>374.8</v>
      </c>
      <c r="K8" s="26">
        <f t="shared" si="4"/>
        <v>516.20000000000005</v>
      </c>
      <c r="L8" s="26">
        <f t="shared" si="5"/>
        <v>657.6</v>
      </c>
      <c r="M8" s="26">
        <f t="shared" si="6"/>
        <v>799</v>
      </c>
      <c r="N8" s="26">
        <f t="shared" si="7"/>
        <v>940.4</v>
      </c>
      <c r="O8" s="26">
        <f t="shared" si="8"/>
        <v>1081.8</v>
      </c>
      <c r="P8" s="26">
        <f t="shared" si="9"/>
        <v>1223.2</v>
      </c>
      <c r="Q8" s="26">
        <f t="shared" si="10"/>
        <v>1364.6000000000001</v>
      </c>
      <c r="R8" s="34">
        <f t="shared" si="11"/>
        <v>1506</v>
      </c>
    </row>
    <row r="9" spans="1:19" ht="18.75" customHeight="1" thickBot="1" x14ac:dyDescent="0.35">
      <c r="A9" s="28" t="s">
        <v>70</v>
      </c>
      <c r="B9" s="36" t="s">
        <v>63</v>
      </c>
      <c r="C9" s="29">
        <v>63</v>
      </c>
      <c r="D9" s="29">
        <v>322</v>
      </c>
      <c r="E9" s="29">
        <v>636</v>
      </c>
      <c r="F9" s="29">
        <v>1016</v>
      </c>
      <c r="G9" s="26">
        <f t="shared" si="0"/>
        <v>953</v>
      </c>
      <c r="H9" s="26">
        <f t="shared" si="1"/>
        <v>259</v>
      </c>
      <c r="I9" s="34">
        <f t="shared" si="2"/>
        <v>158.30000000000001</v>
      </c>
      <c r="J9" s="34">
        <f t="shared" si="3"/>
        <v>253.60000000000002</v>
      </c>
      <c r="K9" s="26">
        <f t="shared" si="4"/>
        <v>348.9</v>
      </c>
      <c r="L9" s="26">
        <f t="shared" si="5"/>
        <v>444.20000000000005</v>
      </c>
      <c r="M9" s="26">
        <f t="shared" si="6"/>
        <v>539.5</v>
      </c>
      <c r="N9" s="26">
        <f t="shared" si="7"/>
        <v>634.79999999999995</v>
      </c>
      <c r="O9" s="26">
        <f t="shared" si="8"/>
        <v>730.09999999999991</v>
      </c>
      <c r="P9" s="26">
        <f t="shared" si="9"/>
        <v>825.40000000000009</v>
      </c>
      <c r="Q9" s="26">
        <f t="shared" si="10"/>
        <v>920.7</v>
      </c>
      <c r="R9" s="34">
        <f t="shared" si="11"/>
        <v>1016</v>
      </c>
      <c r="S9" s="31" t="s">
        <v>71</v>
      </c>
    </row>
    <row r="10" spans="1:19" ht="21" customHeight="1" thickBot="1" x14ac:dyDescent="0.35">
      <c r="A10" s="28" t="s">
        <v>72</v>
      </c>
      <c r="B10" s="36" t="s">
        <v>63</v>
      </c>
      <c r="C10" s="29">
        <v>1185.787</v>
      </c>
      <c r="D10" s="29">
        <v>973.78700000000003</v>
      </c>
      <c r="E10" s="29">
        <v>582.78700000000003</v>
      </c>
      <c r="F10" s="29">
        <v>281.78699999999998</v>
      </c>
      <c r="G10" s="26">
        <f t="shared" si="0"/>
        <v>904</v>
      </c>
      <c r="H10" s="26">
        <f t="shared" si="1"/>
        <v>212</v>
      </c>
      <c r="I10" s="34">
        <f t="shared" si="2"/>
        <v>1095.3869999999999</v>
      </c>
      <c r="J10" s="34">
        <f t="shared" si="3"/>
        <v>1004.9870000000001</v>
      </c>
      <c r="K10" s="26">
        <f t="shared" si="4"/>
        <v>914.58699999999999</v>
      </c>
      <c r="L10" s="26">
        <f t="shared" si="5"/>
        <v>824.18700000000001</v>
      </c>
      <c r="M10" s="26">
        <f t="shared" si="6"/>
        <v>733.78700000000003</v>
      </c>
      <c r="N10" s="26">
        <f t="shared" si="7"/>
        <v>643.38700000000006</v>
      </c>
      <c r="O10" s="26">
        <f t="shared" si="8"/>
        <v>552.98700000000008</v>
      </c>
      <c r="P10" s="26">
        <f t="shared" si="9"/>
        <v>462.58699999999999</v>
      </c>
      <c r="Q10" s="26">
        <f t="shared" si="10"/>
        <v>372.18700000000001</v>
      </c>
      <c r="R10" s="34">
        <f t="shared" si="11"/>
        <v>281.78700000000003</v>
      </c>
      <c r="S10" s="31" t="s">
        <v>73</v>
      </c>
    </row>
    <row r="11" spans="1:19" thickBot="1" x14ac:dyDescent="0.35">
      <c r="A11" s="28" t="s">
        <v>74</v>
      </c>
      <c r="B11" s="36" t="s">
        <v>63</v>
      </c>
      <c r="C11" s="29">
        <v>41.5</v>
      </c>
      <c r="D11" s="29">
        <v>433.5</v>
      </c>
      <c r="E11" s="29">
        <v>938.5</v>
      </c>
      <c r="F11" s="29">
        <v>1642.5</v>
      </c>
      <c r="G11" s="26">
        <f t="shared" si="0"/>
        <v>1601</v>
      </c>
      <c r="H11" s="26">
        <f t="shared" si="1"/>
        <v>392</v>
      </c>
      <c r="I11" s="34">
        <f t="shared" si="2"/>
        <v>201.60000000000002</v>
      </c>
      <c r="J11" s="34">
        <f t="shared" si="3"/>
        <v>361.70000000000005</v>
      </c>
      <c r="K11" s="26">
        <f t="shared" si="4"/>
        <v>521.79999999999995</v>
      </c>
      <c r="L11" s="26">
        <f t="shared" si="5"/>
        <v>681.90000000000009</v>
      </c>
      <c r="M11" s="26">
        <f t="shared" si="6"/>
        <v>842</v>
      </c>
      <c r="N11" s="26">
        <f t="shared" si="7"/>
        <v>1002.0999999999999</v>
      </c>
      <c r="O11" s="26">
        <f t="shared" si="8"/>
        <v>1162.1999999999998</v>
      </c>
      <c r="P11" s="26">
        <f t="shared" si="9"/>
        <v>1322.3000000000002</v>
      </c>
      <c r="Q11" s="26">
        <f t="shared" si="10"/>
        <v>1482.4</v>
      </c>
      <c r="R11" s="34">
        <f t="shared" si="11"/>
        <v>1642.5</v>
      </c>
    </row>
    <row r="12" spans="1:19" ht="28.5" thickBot="1" x14ac:dyDescent="0.35">
      <c r="A12" s="28" t="s">
        <v>79</v>
      </c>
      <c r="B12" s="36" t="s">
        <v>63</v>
      </c>
      <c r="C12" s="29">
        <v>2781</v>
      </c>
      <c r="D12" s="29">
        <v>2428</v>
      </c>
      <c r="E12" s="29">
        <v>1486</v>
      </c>
      <c r="F12" s="29">
        <v>436</v>
      </c>
      <c r="G12" s="26">
        <f t="shared" si="0"/>
        <v>2345</v>
      </c>
      <c r="H12" s="26">
        <f t="shared" si="1"/>
        <v>353</v>
      </c>
      <c r="I12" s="34">
        <f t="shared" si="2"/>
        <v>2546.5</v>
      </c>
      <c r="J12" s="26">
        <f t="shared" si="3"/>
        <v>2312</v>
      </c>
      <c r="K12" s="26">
        <f t="shared" si="4"/>
        <v>2077.5</v>
      </c>
      <c r="L12" s="26">
        <f t="shared" si="5"/>
        <v>1843</v>
      </c>
      <c r="M12" s="26">
        <f t="shared" si="6"/>
        <v>1608.5</v>
      </c>
      <c r="N12" s="26">
        <f t="shared" si="7"/>
        <v>1374</v>
      </c>
      <c r="O12" s="26">
        <f t="shared" si="8"/>
        <v>1139.5</v>
      </c>
      <c r="P12" s="26">
        <f t="shared" si="9"/>
        <v>905</v>
      </c>
      <c r="Q12" s="26">
        <f t="shared" si="10"/>
        <v>670.5</v>
      </c>
      <c r="R12" s="34">
        <f t="shared" si="11"/>
        <v>436</v>
      </c>
    </row>
    <row r="13" spans="1:19" ht="28.5" thickBot="1" x14ac:dyDescent="0.35">
      <c r="A13" s="28" t="s">
        <v>75</v>
      </c>
      <c r="B13" s="36" t="s">
        <v>63</v>
      </c>
      <c r="C13" s="29">
        <v>879.5</v>
      </c>
      <c r="D13" s="29">
        <v>683.5</v>
      </c>
      <c r="E13" s="29">
        <v>490.5</v>
      </c>
      <c r="F13" s="29">
        <v>67.5</v>
      </c>
      <c r="G13" s="26">
        <f t="shared" si="0"/>
        <v>812</v>
      </c>
      <c r="H13" s="26">
        <f t="shared" si="1"/>
        <v>196</v>
      </c>
      <c r="I13" s="34">
        <f t="shared" si="2"/>
        <v>798.3</v>
      </c>
      <c r="J13" s="34">
        <f t="shared" si="3"/>
        <v>717.1</v>
      </c>
      <c r="K13" s="34">
        <f t="shared" si="4"/>
        <v>635.9</v>
      </c>
      <c r="L13" s="26">
        <f t="shared" si="5"/>
        <v>554.70000000000005</v>
      </c>
      <c r="M13" s="26">
        <f t="shared" si="6"/>
        <v>473.5</v>
      </c>
      <c r="N13" s="26">
        <f t="shared" si="7"/>
        <v>392.3</v>
      </c>
      <c r="O13" s="26">
        <f t="shared" si="8"/>
        <v>311.10000000000002</v>
      </c>
      <c r="P13" s="26">
        <f t="shared" si="9"/>
        <v>229.89999999999998</v>
      </c>
      <c r="Q13" s="26">
        <f t="shared" si="10"/>
        <v>148.69999999999993</v>
      </c>
      <c r="R13" s="34">
        <f t="shared" si="11"/>
        <v>67.5</v>
      </c>
      <c r="S13" s="31" t="s">
        <v>76</v>
      </c>
    </row>
    <row r="14" spans="1:19" thickBot="1" x14ac:dyDescent="0.35">
      <c r="A14" s="28" t="s">
        <v>77</v>
      </c>
      <c r="B14" s="36" t="s">
        <v>63</v>
      </c>
      <c r="C14" s="29">
        <v>58</v>
      </c>
      <c r="D14" s="29">
        <v>412</v>
      </c>
      <c r="E14" s="29">
        <v>590</v>
      </c>
      <c r="F14" s="29">
        <v>1088</v>
      </c>
      <c r="G14" s="26">
        <f t="shared" si="0"/>
        <v>1030</v>
      </c>
      <c r="H14" s="26">
        <f t="shared" si="1"/>
        <v>354</v>
      </c>
      <c r="I14" s="34">
        <f t="shared" si="2"/>
        <v>161</v>
      </c>
      <c r="J14" s="34">
        <f t="shared" si="3"/>
        <v>264</v>
      </c>
      <c r="K14" s="34">
        <f t="shared" si="4"/>
        <v>367</v>
      </c>
      <c r="L14" s="26">
        <f t="shared" si="5"/>
        <v>470</v>
      </c>
      <c r="M14" s="26">
        <f t="shared" si="6"/>
        <v>573</v>
      </c>
      <c r="N14" s="26">
        <f t="shared" si="7"/>
        <v>676</v>
      </c>
      <c r="O14" s="26">
        <f t="shared" si="8"/>
        <v>779</v>
      </c>
      <c r="P14" s="26">
        <f t="shared" si="9"/>
        <v>882</v>
      </c>
      <c r="Q14" s="26">
        <f t="shared" si="10"/>
        <v>985</v>
      </c>
      <c r="R14" s="34">
        <f t="shared" si="11"/>
        <v>1088</v>
      </c>
    </row>
    <row r="15" spans="1:19" thickBot="1" x14ac:dyDescent="0.35">
      <c r="A15" s="28" t="s">
        <v>78</v>
      </c>
      <c r="B15" s="36" t="s">
        <v>63</v>
      </c>
      <c r="C15" s="29">
        <v>1535</v>
      </c>
      <c r="D15" s="29">
        <v>1192</v>
      </c>
      <c r="E15" s="29">
        <v>775</v>
      </c>
      <c r="F15" s="29">
        <v>137</v>
      </c>
      <c r="G15" s="26">
        <f t="shared" si="0"/>
        <v>1398</v>
      </c>
      <c r="H15" s="26">
        <f t="shared" si="1"/>
        <v>343</v>
      </c>
      <c r="I15" s="34">
        <f t="shared" si="2"/>
        <v>1395.2</v>
      </c>
      <c r="J15" s="34">
        <f t="shared" si="3"/>
        <v>1255.4000000000001</v>
      </c>
      <c r="K15" s="26">
        <f t="shared" si="4"/>
        <v>1115.5999999999999</v>
      </c>
      <c r="L15" s="26">
        <f t="shared" si="5"/>
        <v>975.8</v>
      </c>
      <c r="M15" s="26">
        <f t="shared" si="6"/>
        <v>836</v>
      </c>
      <c r="N15" s="26">
        <f t="shared" si="7"/>
        <v>696.2</v>
      </c>
      <c r="O15" s="26">
        <f t="shared" si="8"/>
        <v>556.40000000000009</v>
      </c>
      <c r="P15" s="26">
        <f t="shared" si="9"/>
        <v>416.59999999999991</v>
      </c>
      <c r="Q15" s="26">
        <f t="shared" si="10"/>
        <v>276.79999999999995</v>
      </c>
      <c r="R15" s="34">
        <f t="shared" si="11"/>
        <v>137</v>
      </c>
    </row>
    <row r="16" spans="1:19" thickBot="1" x14ac:dyDescent="0.35">
      <c r="A16" s="28" t="s">
        <v>80</v>
      </c>
      <c r="B16" s="36" t="s">
        <v>63</v>
      </c>
      <c r="C16" s="29">
        <v>15.5</v>
      </c>
      <c r="D16" s="29">
        <v>222.5</v>
      </c>
      <c r="E16" s="29">
        <v>360.5</v>
      </c>
      <c r="F16" s="29">
        <v>612.5</v>
      </c>
      <c r="G16" s="26">
        <f t="shared" si="0"/>
        <v>597</v>
      </c>
      <c r="H16" s="26">
        <f t="shared" si="1"/>
        <v>207</v>
      </c>
      <c r="I16" s="34">
        <f t="shared" si="2"/>
        <v>75.2</v>
      </c>
      <c r="J16" s="34">
        <f t="shared" si="3"/>
        <v>134.9</v>
      </c>
      <c r="K16" s="34">
        <f t="shared" si="4"/>
        <v>194.6</v>
      </c>
      <c r="L16" s="26">
        <f t="shared" si="5"/>
        <v>254.3</v>
      </c>
      <c r="M16" s="26">
        <f t="shared" si="6"/>
        <v>314</v>
      </c>
      <c r="N16" s="26">
        <f t="shared" si="7"/>
        <v>373.7</v>
      </c>
      <c r="O16" s="26">
        <f t="shared" si="8"/>
        <v>433.4</v>
      </c>
      <c r="P16" s="26">
        <f t="shared" si="9"/>
        <v>493.1</v>
      </c>
      <c r="Q16" s="26">
        <f t="shared" si="10"/>
        <v>552.80000000000007</v>
      </c>
      <c r="R16" s="34">
        <f t="shared" si="11"/>
        <v>612.5</v>
      </c>
    </row>
    <row r="17" spans="1:19" thickBot="1" x14ac:dyDescent="0.35">
      <c r="A17" s="28" t="s">
        <v>81</v>
      </c>
      <c r="B17" s="36" t="s">
        <v>63</v>
      </c>
      <c r="C17" s="29">
        <v>47.5</v>
      </c>
      <c r="D17" s="29">
        <v>353.5</v>
      </c>
      <c r="E17" s="29">
        <v>563.5</v>
      </c>
      <c r="F17" s="29">
        <v>1062.5</v>
      </c>
      <c r="G17" s="26">
        <f t="shared" si="0"/>
        <v>1015</v>
      </c>
      <c r="H17" s="26">
        <f t="shared" si="1"/>
        <v>306</v>
      </c>
      <c r="I17" s="34">
        <f t="shared" si="2"/>
        <v>149</v>
      </c>
      <c r="J17" s="34">
        <f t="shared" si="3"/>
        <v>250.5</v>
      </c>
      <c r="K17" s="34">
        <f t="shared" si="4"/>
        <v>352</v>
      </c>
      <c r="L17" s="26">
        <f t="shared" si="5"/>
        <v>453.5</v>
      </c>
      <c r="M17" s="26">
        <f t="shared" si="6"/>
        <v>555</v>
      </c>
      <c r="N17" s="26">
        <f t="shared" si="7"/>
        <v>656.5</v>
      </c>
      <c r="O17" s="26">
        <f t="shared" si="8"/>
        <v>758</v>
      </c>
      <c r="P17" s="26">
        <f t="shared" si="9"/>
        <v>859.5</v>
      </c>
      <c r="Q17" s="26">
        <f t="shared" si="10"/>
        <v>961</v>
      </c>
      <c r="R17" s="34">
        <f t="shared" si="11"/>
        <v>1062.5</v>
      </c>
    </row>
    <row r="18" spans="1:19" thickBot="1" x14ac:dyDescent="0.35">
      <c r="A18" s="28" t="s">
        <v>82</v>
      </c>
      <c r="B18" s="36" t="s">
        <v>63</v>
      </c>
      <c r="C18" s="29">
        <v>1568</v>
      </c>
      <c r="D18" s="29">
        <v>1287</v>
      </c>
      <c r="E18" s="29">
        <v>1015</v>
      </c>
      <c r="F18" s="29">
        <v>312</v>
      </c>
      <c r="G18" s="26">
        <f t="shared" si="0"/>
        <v>1256</v>
      </c>
      <c r="H18" s="26">
        <f t="shared" si="1"/>
        <v>281</v>
      </c>
      <c r="I18" s="34">
        <f t="shared" si="2"/>
        <v>1442.4</v>
      </c>
      <c r="J18" s="34">
        <f t="shared" si="3"/>
        <v>1316.8</v>
      </c>
      <c r="K18" s="26">
        <f t="shared" si="4"/>
        <v>1191.2</v>
      </c>
      <c r="L18" s="26">
        <f t="shared" si="5"/>
        <v>1065.5999999999999</v>
      </c>
      <c r="M18" s="26">
        <f t="shared" si="6"/>
        <v>940</v>
      </c>
      <c r="N18" s="26">
        <f t="shared" si="7"/>
        <v>814.4</v>
      </c>
      <c r="O18" s="26">
        <f t="shared" si="8"/>
        <v>688.80000000000007</v>
      </c>
      <c r="P18" s="26">
        <f t="shared" si="9"/>
        <v>563.19999999999993</v>
      </c>
      <c r="Q18" s="26">
        <f t="shared" si="10"/>
        <v>437.59999999999991</v>
      </c>
      <c r="R18" s="34">
        <f t="shared" si="11"/>
        <v>312</v>
      </c>
    </row>
    <row r="19" spans="1:19" thickBot="1" x14ac:dyDescent="0.35">
      <c r="A19" s="28" t="s">
        <v>83</v>
      </c>
      <c r="B19" s="36" t="s">
        <v>63</v>
      </c>
      <c r="C19" s="29">
        <v>34.5</v>
      </c>
      <c r="D19" s="29">
        <v>309.5</v>
      </c>
      <c r="E19" s="29">
        <v>828.5</v>
      </c>
      <c r="F19" s="29">
        <v>1500.5</v>
      </c>
      <c r="G19" s="26">
        <f t="shared" si="0"/>
        <v>1466</v>
      </c>
      <c r="H19" s="26">
        <f t="shared" si="1"/>
        <v>275</v>
      </c>
      <c r="I19" s="34">
        <f t="shared" si="2"/>
        <v>181.1</v>
      </c>
      <c r="J19" s="26">
        <f t="shared" si="3"/>
        <v>327.7</v>
      </c>
      <c r="K19" s="26">
        <f t="shared" si="4"/>
        <v>474.3</v>
      </c>
      <c r="L19" s="26">
        <f t="shared" si="5"/>
        <v>620.9</v>
      </c>
      <c r="M19" s="26">
        <f t="shared" si="6"/>
        <v>767.5</v>
      </c>
      <c r="N19" s="26">
        <f t="shared" si="7"/>
        <v>914.1</v>
      </c>
      <c r="O19" s="26">
        <f t="shared" si="8"/>
        <v>1060.7</v>
      </c>
      <c r="P19" s="26">
        <f t="shared" si="9"/>
        <v>1207.3</v>
      </c>
      <c r="Q19" s="26">
        <f t="shared" si="10"/>
        <v>1353.9</v>
      </c>
      <c r="R19" s="34">
        <f t="shared" si="11"/>
        <v>1500.5</v>
      </c>
      <c r="S19" s="31" t="s">
        <v>84</v>
      </c>
    </row>
    <row r="20" spans="1:19" ht="42.5" thickBot="1" x14ac:dyDescent="0.35">
      <c r="A20" s="28" t="s">
        <v>85</v>
      </c>
      <c r="B20" s="36" t="s">
        <v>63</v>
      </c>
      <c r="C20" s="29">
        <v>829.5</v>
      </c>
      <c r="D20" s="29">
        <v>576.5</v>
      </c>
      <c r="E20" s="29">
        <v>461.5</v>
      </c>
      <c r="F20" s="29">
        <v>175.5</v>
      </c>
      <c r="G20" s="26">
        <f t="shared" si="0"/>
        <v>654</v>
      </c>
      <c r="H20" s="26">
        <f t="shared" si="1"/>
        <v>253</v>
      </c>
      <c r="I20" s="34">
        <f t="shared" si="2"/>
        <v>764.1</v>
      </c>
      <c r="J20" s="34">
        <f t="shared" si="3"/>
        <v>698.7</v>
      </c>
      <c r="K20" s="34">
        <f t="shared" si="4"/>
        <v>633.29999999999995</v>
      </c>
      <c r="L20" s="34">
        <f t="shared" si="5"/>
        <v>567.9</v>
      </c>
      <c r="M20" s="26">
        <f t="shared" si="6"/>
        <v>502.5</v>
      </c>
      <c r="N20" s="26">
        <f t="shared" si="7"/>
        <v>437.1</v>
      </c>
      <c r="O20" s="26">
        <f t="shared" si="8"/>
        <v>371.70000000000005</v>
      </c>
      <c r="P20" s="26">
        <f t="shared" si="9"/>
        <v>306.29999999999995</v>
      </c>
      <c r="Q20" s="26">
        <f t="shared" si="10"/>
        <v>240.89999999999998</v>
      </c>
      <c r="R20" s="34">
        <f t="shared" si="11"/>
        <v>175.5</v>
      </c>
      <c r="S20" s="31" t="s">
        <v>86</v>
      </c>
    </row>
    <row r="21" spans="1:19" thickBot="1" x14ac:dyDescent="0.35">
      <c r="A21" s="28" t="s">
        <v>87</v>
      </c>
      <c r="B21" s="36" t="s">
        <v>63</v>
      </c>
      <c r="C21" s="29">
        <v>66.5</v>
      </c>
      <c r="D21" s="29">
        <v>418.5</v>
      </c>
      <c r="E21" s="29">
        <v>1101.5</v>
      </c>
      <c r="F21" s="29">
        <v>1876.5</v>
      </c>
      <c r="G21" s="26">
        <f t="shared" si="0"/>
        <v>1810</v>
      </c>
      <c r="H21" s="26">
        <f t="shared" si="1"/>
        <v>352</v>
      </c>
      <c r="I21" s="34">
        <f t="shared" si="2"/>
        <v>247.5</v>
      </c>
      <c r="J21" s="26">
        <f t="shared" si="3"/>
        <v>428.5</v>
      </c>
      <c r="K21" s="26">
        <f t="shared" si="4"/>
        <v>609.5</v>
      </c>
      <c r="L21" s="26">
        <f t="shared" si="5"/>
        <v>790.5</v>
      </c>
      <c r="M21" s="26">
        <f t="shared" si="6"/>
        <v>971.5</v>
      </c>
      <c r="N21" s="26">
        <f t="shared" si="7"/>
        <v>1152.5</v>
      </c>
      <c r="O21" s="26">
        <f t="shared" si="8"/>
        <v>1333.5</v>
      </c>
      <c r="P21" s="26">
        <f t="shared" si="9"/>
        <v>1514.5</v>
      </c>
      <c r="Q21" s="26">
        <f t="shared" si="10"/>
        <v>1695.5</v>
      </c>
      <c r="R21" s="34">
        <f t="shared" si="11"/>
        <v>1876.5</v>
      </c>
    </row>
    <row r="22" spans="1:19" ht="28.5" thickBot="1" x14ac:dyDescent="0.35">
      <c r="A22" s="28" t="s">
        <v>88</v>
      </c>
      <c r="B22" s="36" t="s">
        <v>63</v>
      </c>
      <c r="C22" s="29">
        <v>1135</v>
      </c>
      <c r="D22" s="29">
        <v>946</v>
      </c>
      <c r="E22" s="29">
        <v>541</v>
      </c>
      <c r="F22" s="29">
        <v>246</v>
      </c>
      <c r="G22" s="26">
        <f t="shared" si="0"/>
        <v>889</v>
      </c>
      <c r="H22" s="26">
        <f t="shared" si="1"/>
        <v>189</v>
      </c>
      <c r="I22" s="34">
        <f t="shared" si="2"/>
        <v>1046.0999999999999</v>
      </c>
      <c r="J22" s="34">
        <f t="shared" si="3"/>
        <v>957.2</v>
      </c>
      <c r="K22" s="26">
        <f t="shared" si="4"/>
        <v>868.3</v>
      </c>
      <c r="L22" s="26">
        <f t="shared" si="5"/>
        <v>779.4</v>
      </c>
      <c r="M22" s="26">
        <f t="shared" si="6"/>
        <v>690.5</v>
      </c>
      <c r="N22" s="26">
        <f t="shared" si="7"/>
        <v>601.6</v>
      </c>
      <c r="O22" s="26">
        <f t="shared" si="8"/>
        <v>512.70000000000005</v>
      </c>
      <c r="P22" s="26">
        <f t="shared" si="9"/>
        <v>423.79999999999995</v>
      </c>
      <c r="Q22" s="26">
        <f t="shared" si="10"/>
        <v>334.9</v>
      </c>
      <c r="R22" s="34">
        <f t="shared" si="11"/>
        <v>246</v>
      </c>
      <c r="S22" s="31" t="s">
        <v>89</v>
      </c>
    </row>
    <row r="23" spans="1:19" thickBot="1" x14ac:dyDescent="0.35">
      <c r="A23" s="28" t="s">
        <v>90</v>
      </c>
      <c r="B23" s="36" t="s">
        <v>63</v>
      </c>
      <c r="C23" s="29">
        <v>41.5</v>
      </c>
      <c r="D23" s="29">
        <v>401.5</v>
      </c>
      <c r="E23" s="29">
        <v>526.5</v>
      </c>
      <c r="F23" s="29">
        <v>902.5</v>
      </c>
      <c r="G23" s="26">
        <f t="shared" si="0"/>
        <v>861</v>
      </c>
      <c r="H23" s="26">
        <f t="shared" si="1"/>
        <v>360</v>
      </c>
      <c r="I23" s="34">
        <f t="shared" si="2"/>
        <v>127.60000000000001</v>
      </c>
      <c r="J23" s="34">
        <f t="shared" si="3"/>
        <v>213.70000000000002</v>
      </c>
      <c r="K23" s="34">
        <f t="shared" si="4"/>
        <v>299.8</v>
      </c>
      <c r="L23" s="34">
        <f t="shared" si="5"/>
        <v>385.90000000000003</v>
      </c>
      <c r="M23" s="26">
        <f t="shared" si="6"/>
        <v>472</v>
      </c>
      <c r="N23" s="26">
        <f t="shared" si="7"/>
        <v>558.1</v>
      </c>
      <c r="O23" s="26">
        <f t="shared" si="8"/>
        <v>644.19999999999993</v>
      </c>
      <c r="P23" s="26">
        <f t="shared" si="9"/>
        <v>730.30000000000007</v>
      </c>
      <c r="Q23" s="26">
        <f t="shared" si="10"/>
        <v>816.4</v>
      </c>
      <c r="R23" s="34">
        <f t="shared" si="11"/>
        <v>902.5</v>
      </c>
    </row>
    <row r="24" spans="1:19" thickBot="1" x14ac:dyDescent="0.35">
      <c r="A24" s="28" t="s">
        <v>91</v>
      </c>
      <c r="B24" s="36" t="s">
        <v>63</v>
      </c>
      <c r="C24" s="29">
        <v>1412</v>
      </c>
      <c r="D24" s="29">
        <v>1065</v>
      </c>
      <c r="E24" s="29">
        <v>755</v>
      </c>
      <c r="F24" s="29">
        <v>189</v>
      </c>
      <c r="G24" s="26">
        <f t="shared" si="0"/>
        <v>1223</v>
      </c>
      <c r="H24" s="26">
        <f t="shared" si="1"/>
        <v>347</v>
      </c>
      <c r="I24" s="34">
        <f t="shared" si="2"/>
        <v>1289.7</v>
      </c>
      <c r="J24" s="34">
        <f t="shared" si="3"/>
        <v>1167.4000000000001</v>
      </c>
      <c r="K24" s="26">
        <f t="shared" si="4"/>
        <v>1045.0999999999999</v>
      </c>
      <c r="L24" s="26">
        <f t="shared" si="5"/>
        <v>922.8</v>
      </c>
      <c r="M24" s="26">
        <f t="shared" si="6"/>
        <v>800.5</v>
      </c>
      <c r="N24" s="26">
        <f t="shared" si="7"/>
        <v>678.2</v>
      </c>
      <c r="O24" s="26">
        <f t="shared" si="8"/>
        <v>555.90000000000009</v>
      </c>
      <c r="P24" s="26">
        <f t="shared" si="9"/>
        <v>433.59999999999991</v>
      </c>
      <c r="Q24" s="26">
        <f t="shared" si="10"/>
        <v>311.29999999999995</v>
      </c>
      <c r="R24" s="34">
        <f t="shared" si="11"/>
        <v>189</v>
      </c>
    </row>
    <row r="25" spans="1:19" thickBot="1" x14ac:dyDescent="0.35">
      <c r="A25" s="28" t="s">
        <v>92</v>
      </c>
      <c r="B25" s="36" t="s">
        <v>63</v>
      </c>
      <c r="C25" s="29">
        <v>1500</v>
      </c>
      <c r="D25" s="29">
        <v>1118</v>
      </c>
      <c r="E25" s="29">
        <v>745</v>
      </c>
      <c r="F25" s="29">
        <v>276</v>
      </c>
      <c r="G25" s="26">
        <f t="shared" si="0"/>
        <v>1224</v>
      </c>
      <c r="H25" s="26">
        <f t="shared" si="1"/>
        <v>382</v>
      </c>
      <c r="I25" s="34">
        <f t="shared" si="2"/>
        <v>1377.6</v>
      </c>
      <c r="J25" s="34">
        <f t="shared" si="3"/>
        <v>1255.2</v>
      </c>
      <c r="K25" s="34">
        <f t="shared" si="4"/>
        <v>1132.8</v>
      </c>
      <c r="L25" s="26">
        <f t="shared" si="5"/>
        <v>1010.4</v>
      </c>
      <c r="M25" s="26">
        <f t="shared" si="6"/>
        <v>888</v>
      </c>
      <c r="N25" s="26">
        <f t="shared" si="7"/>
        <v>765.6</v>
      </c>
      <c r="O25" s="26">
        <f t="shared" si="8"/>
        <v>643.20000000000005</v>
      </c>
      <c r="P25" s="26">
        <f t="shared" si="9"/>
        <v>520.79999999999995</v>
      </c>
      <c r="Q25" s="26">
        <f t="shared" si="10"/>
        <v>398.39999999999986</v>
      </c>
      <c r="R25" s="34">
        <f t="shared" si="11"/>
        <v>276</v>
      </c>
    </row>
    <row r="26" spans="1:19" thickBot="1" x14ac:dyDescent="0.35">
      <c r="A26" s="28" t="s">
        <v>93</v>
      </c>
      <c r="B26" s="36" t="s">
        <v>63</v>
      </c>
      <c r="C26" s="29">
        <v>48.5</v>
      </c>
      <c r="D26" s="29">
        <v>295.5</v>
      </c>
      <c r="E26" s="29">
        <v>431.5</v>
      </c>
      <c r="F26" s="29">
        <v>665.5</v>
      </c>
      <c r="G26" s="26">
        <f t="shared" si="0"/>
        <v>617</v>
      </c>
      <c r="H26" s="26">
        <f t="shared" si="1"/>
        <v>247</v>
      </c>
      <c r="I26" s="34">
        <f t="shared" si="2"/>
        <v>110.2</v>
      </c>
      <c r="J26" s="34">
        <f t="shared" si="3"/>
        <v>171.9</v>
      </c>
      <c r="K26" s="34">
        <f t="shared" si="4"/>
        <v>233.6</v>
      </c>
      <c r="L26" s="26">
        <f t="shared" si="5"/>
        <v>295.3</v>
      </c>
      <c r="M26" s="26">
        <f t="shared" si="6"/>
        <v>357</v>
      </c>
      <c r="N26" s="26">
        <f t="shared" si="7"/>
        <v>418.7</v>
      </c>
      <c r="O26" s="26">
        <f t="shared" si="8"/>
        <v>480.4</v>
      </c>
      <c r="P26" s="26">
        <f t="shared" si="9"/>
        <v>542.1</v>
      </c>
      <c r="Q26" s="26">
        <f t="shared" si="10"/>
        <v>603.80000000000007</v>
      </c>
      <c r="R26" s="34">
        <f t="shared" si="11"/>
        <v>665.5</v>
      </c>
      <c r="S26" s="31" t="s">
        <v>94</v>
      </c>
    </row>
    <row r="27" spans="1:19" thickBot="1" x14ac:dyDescent="0.35">
      <c r="A27" s="28" t="s">
        <v>95</v>
      </c>
      <c r="B27" s="36" t="s">
        <v>63</v>
      </c>
      <c r="C27" s="29">
        <v>35</v>
      </c>
      <c r="D27" s="29">
        <v>436</v>
      </c>
      <c r="E27" s="29">
        <v>966</v>
      </c>
      <c r="F27" s="29">
        <v>1341</v>
      </c>
      <c r="G27" s="26">
        <f t="shared" si="0"/>
        <v>1306</v>
      </c>
      <c r="H27" s="26">
        <f t="shared" si="1"/>
        <v>401</v>
      </c>
      <c r="I27" s="34">
        <f t="shared" si="2"/>
        <v>165.6</v>
      </c>
      <c r="J27" s="34">
        <f t="shared" si="3"/>
        <v>296.2</v>
      </c>
      <c r="K27" s="34">
        <f t="shared" si="4"/>
        <v>426.8</v>
      </c>
      <c r="L27" s="26">
        <f t="shared" si="5"/>
        <v>557.4</v>
      </c>
      <c r="M27" s="26">
        <f t="shared" si="6"/>
        <v>688</v>
      </c>
      <c r="N27" s="26">
        <f t="shared" si="7"/>
        <v>818.6</v>
      </c>
      <c r="O27" s="26">
        <f t="shared" si="8"/>
        <v>949.19999999999993</v>
      </c>
      <c r="P27" s="26">
        <f t="shared" si="9"/>
        <v>1079.8</v>
      </c>
      <c r="Q27" s="26">
        <f t="shared" si="10"/>
        <v>1210.4000000000001</v>
      </c>
      <c r="R27" s="34">
        <f t="shared" si="11"/>
        <v>1341</v>
      </c>
    </row>
    <row r="28" spans="1:19" thickBot="1" x14ac:dyDescent="0.35">
      <c r="A28" s="28" t="s">
        <v>96</v>
      </c>
      <c r="B28" s="36" t="s">
        <v>63</v>
      </c>
      <c r="C28" s="29">
        <v>71</v>
      </c>
      <c r="D28" s="29">
        <v>448</v>
      </c>
      <c r="E28" s="29">
        <v>953</v>
      </c>
      <c r="F28" s="29">
        <v>1470</v>
      </c>
      <c r="G28" s="26">
        <f t="shared" si="0"/>
        <v>1399</v>
      </c>
      <c r="H28" s="26">
        <f t="shared" si="1"/>
        <v>377</v>
      </c>
      <c r="I28" s="34">
        <f t="shared" si="2"/>
        <v>210.9</v>
      </c>
      <c r="J28" s="34">
        <f t="shared" si="3"/>
        <v>350.8</v>
      </c>
      <c r="K28" s="26">
        <f t="shared" si="4"/>
        <v>490.7</v>
      </c>
      <c r="L28" s="26">
        <f t="shared" si="5"/>
        <v>630.6</v>
      </c>
      <c r="M28" s="26">
        <f t="shared" si="6"/>
        <v>770.5</v>
      </c>
      <c r="N28" s="26">
        <f t="shared" si="7"/>
        <v>910.4</v>
      </c>
      <c r="O28" s="26">
        <f t="shared" si="8"/>
        <v>1050.3</v>
      </c>
      <c r="P28" s="26">
        <f t="shared" si="9"/>
        <v>1190.2</v>
      </c>
      <c r="Q28" s="26">
        <f t="shared" si="10"/>
        <v>1330.1000000000001</v>
      </c>
      <c r="R28" s="34">
        <f t="shared" si="11"/>
        <v>1470</v>
      </c>
      <c r="S28" s="31" t="s">
        <v>98</v>
      </c>
    </row>
    <row r="29" spans="1:19" thickBot="1" x14ac:dyDescent="0.35">
      <c r="A29" s="28" t="s">
        <v>97</v>
      </c>
      <c r="B29" s="36" t="s">
        <v>63</v>
      </c>
      <c r="C29" s="29">
        <v>27</v>
      </c>
      <c r="D29" s="29">
        <v>271</v>
      </c>
      <c r="E29" s="29">
        <v>680</v>
      </c>
      <c r="F29" s="29">
        <v>1220</v>
      </c>
      <c r="G29" s="26">
        <f t="shared" si="0"/>
        <v>1193</v>
      </c>
      <c r="H29" s="26">
        <f t="shared" si="1"/>
        <v>244</v>
      </c>
      <c r="I29" s="34">
        <f t="shared" si="2"/>
        <v>146.30000000000001</v>
      </c>
      <c r="J29" s="34">
        <f t="shared" si="3"/>
        <v>265.60000000000002</v>
      </c>
      <c r="K29" s="26">
        <f t="shared" si="4"/>
        <v>384.9</v>
      </c>
      <c r="L29" s="26">
        <f t="shared" si="5"/>
        <v>504.20000000000005</v>
      </c>
      <c r="M29" s="26">
        <f t="shared" si="6"/>
        <v>623.5</v>
      </c>
      <c r="N29" s="26">
        <f t="shared" si="7"/>
        <v>742.8</v>
      </c>
      <c r="O29" s="26">
        <f t="shared" si="8"/>
        <v>862.09999999999991</v>
      </c>
      <c r="P29" s="26">
        <f t="shared" si="9"/>
        <v>981.40000000000009</v>
      </c>
      <c r="Q29" s="26">
        <f t="shared" si="10"/>
        <v>1100.7</v>
      </c>
      <c r="R29" s="34">
        <f t="shared" si="11"/>
        <v>1220</v>
      </c>
    </row>
    <row r="30" spans="1:19" thickBot="1" x14ac:dyDescent="0.35">
      <c r="A30" s="28" t="s">
        <v>99</v>
      </c>
      <c r="B30" s="36" t="s">
        <v>63</v>
      </c>
      <c r="C30" s="29">
        <v>1462</v>
      </c>
      <c r="D30" s="29">
        <v>1067</v>
      </c>
      <c r="E30" s="29">
        <v>719</v>
      </c>
      <c r="F30" s="29">
        <v>247</v>
      </c>
      <c r="G30" s="26">
        <f t="shared" si="0"/>
        <v>1215</v>
      </c>
      <c r="H30" s="26">
        <f t="shared" si="1"/>
        <v>395</v>
      </c>
      <c r="I30" s="34">
        <f t="shared" si="2"/>
        <v>1340.5</v>
      </c>
      <c r="J30" s="34">
        <f t="shared" si="3"/>
        <v>1219</v>
      </c>
      <c r="K30" s="34">
        <f t="shared" si="4"/>
        <v>1097.5</v>
      </c>
      <c r="L30" s="26">
        <f t="shared" si="5"/>
        <v>976</v>
      </c>
      <c r="M30" s="26">
        <f t="shared" si="6"/>
        <v>854.5</v>
      </c>
      <c r="N30" s="26">
        <f t="shared" si="7"/>
        <v>733</v>
      </c>
      <c r="O30" s="26">
        <f t="shared" si="8"/>
        <v>611.5</v>
      </c>
      <c r="P30" s="26">
        <f t="shared" si="9"/>
        <v>490</v>
      </c>
      <c r="Q30" s="26">
        <f t="shared" si="10"/>
        <v>368.5</v>
      </c>
      <c r="R30" s="34">
        <f t="shared" si="11"/>
        <v>247</v>
      </c>
    </row>
    <row r="31" spans="1:19" thickBot="1" x14ac:dyDescent="0.35">
      <c r="A31" s="28" t="s">
        <v>100</v>
      </c>
      <c r="B31" s="36" t="s">
        <v>63</v>
      </c>
      <c r="C31" s="29">
        <v>1823.5</v>
      </c>
      <c r="D31" s="29">
        <v>1421.5</v>
      </c>
      <c r="E31" s="29">
        <v>1033.5</v>
      </c>
      <c r="F31" s="29">
        <v>422.5</v>
      </c>
      <c r="G31" s="26">
        <f t="shared" si="0"/>
        <v>1401</v>
      </c>
      <c r="H31" s="26">
        <f t="shared" si="1"/>
        <v>402</v>
      </c>
      <c r="I31" s="34">
        <f t="shared" si="2"/>
        <v>1683.4</v>
      </c>
      <c r="J31" s="34">
        <f t="shared" si="3"/>
        <v>1543.3</v>
      </c>
      <c r="K31" s="26">
        <f t="shared" si="4"/>
        <v>1403.2</v>
      </c>
      <c r="L31" s="26">
        <f t="shared" si="5"/>
        <v>1263.0999999999999</v>
      </c>
      <c r="M31" s="26">
        <f t="shared" si="6"/>
        <v>1123</v>
      </c>
      <c r="N31" s="26">
        <f t="shared" si="7"/>
        <v>982.9</v>
      </c>
      <c r="O31" s="26">
        <f t="shared" si="8"/>
        <v>842.80000000000007</v>
      </c>
      <c r="P31" s="26">
        <f t="shared" si="9"/>
        <v>702.7</v>
      </c>
      <c r="Q31" s="26">
        <f t="shared" si="10"/>
        <v>562.59999999999991</v>
      </c>
      <c r="R31" s="34">
        <f t="shared" si="11"/>
        <v>422.5</v>
      </c>
    </row>
    <row r="32" spans="1:19" thickBot="1" x14ac:dyDescent="0.35">
      <c r="A32" s="28" t="s">
        <v>101</v>
      </c>
      <c r="B32" s="36" t="s">
        <v>63</v>
      </c>
      <c r="C32" s="29">
        <v>1784</v>
      </c>
      <c r="D32" s="29">
        <v>1399</v>
      </c>
      <c r="E32" s="29">
        <v>750</v>
      </c>
      <c r="F32" s="29">
        <v>346</v>
      </c>
      <c r="G32" s="26">
        <f t="shared" si="0"/>
        <v>1438</v>
      </c>
      <c r="H32" s="26">
        <f t="shared" si="1"/>
        <v>385</v>
      </c>
      <c r="I32" s="34">
        <f t="shared" si="2"/>
        <v>1640.2</v>
      </c>
      <c r="J32" s="34">
        <f t="shared" si="3"/>
        <v>1496.4</v>
      </c>
      <c r="K32" s="26">
        <f t="shared" si="4"/>
        <v>1352.6</v>
      </c>
      <c r="L32" s="26">
        <f t="shared" si="5"/>
        <v>1208.8</v>
      </c>
      <c r="M32" s="26">
        <f t="shared" si="6"/>
        <v>1065</v>
      </c>
      <c r="N32" s="26">
        <f t="shared" si="7"/>
        <v>921.2</v>
      </c>
      <c r="O32" s="26">
        <f t="shared" si="8"/>
        <v>777.40000000000009</v>
      </c>
      <c r="P32" s="26">
        <f t="shared" si="9"/>
        <v>633.59999999999991</v>
      </c>
      <c r="Q32" s="26">
        <f t="shared" si="10"/>
        <v>489.79999999999995</v>
      </c>
      <c r="R32" s="34">
        <f t="shared" si="11"/>
        <v>346</v>
      </c>
    </row>
    <row r="33" spans="1:19" thickBot="1" x14ac:dyDescent="0.35">
      <c r="A33" s="28" t="s">
        <v>102</v>
      </c>
      <c r="B33" s="36" t="s">
        <v>63</v>
      </c>
      <c r="C33" s="29">
        <v>1402.5</v>
      </c>
      <c r="D33" s="29">
        <v>1090.5</v>
      </c>
      <c r="E33" s="29">
        <v>723.5</v>
      </c>
      <c r="F33" s="29">
        <v>331.5</v>
      </c>
      <c r="G33" s="26">
        <f t="shared" si="0"/>
        <v>1071</v>
      </c>
      <c r="H33" s="26">
        <f t="shared" si="1"/>
        <v>312</v>
      </c>
      <c r="I33" s="34">
        <f t="shared" si="2"/>
        <v>1295.4000000000001</v>
      </c>
      <c r="J33" s="34">
        <f t="shared" si="3"/>
        <v>1188.3</v>
      </c>
      <c r="K33" s="26">
        <f t="shared" si="4"/>
        <v>1081.2</v>
      </c>
      <c r="L33" s="26">
        <f t="shared" si="5"/>
        <v>974.09999999999991</v>
      </c>
      <c r="M33" s="26">
        <f t="shared" si="6"/>
        <v>867</v>
      </c>
      <c r="N33" s="26">
        <f t="shared" si="7"/>
        <v>759.9</v>
      </c>
      <c r="O33" s="26">
        <f t="shared" si="8"/>
        <v>652.80000000000007</v>
      </c>
      <c r="P33" s="26">
        <f t="shared" si="9"/>
        <v>545.69999999999993</v>
      </c>
      <c r="Q33" s="26">
        <f t="shared" si="10"/>
        <v>438.6</v>
      </c>
      <c r="R33" s="34">
        <f t="shared" si="11"/>
        <v>331.5</v>
      </c>
      <c r="S33" s="31" t="s">
        <v>71</v>
      </c>
    </row>
    <row r="34" spans="1:19" thickBot="1" x14ac:dyDescent="0.35">
      <c r="A34" s="28" t="s">
        <v>103</v>
      </c>
      <c r="B34" s="36" t="s">
        <v>63</v>
      </c>
      <c r="C34" s="29">
        <v>808</v>
      </c>
      <c r="D34" s="29">
        <v>594</v>
      </c>
      <c r="E34" s="29">
        <v>371</v>
      </c>
      <c r="F34" s="29">
        <v>119</v>
      </c>
      <c r="G34" s="26">
        <f t="shared" si="0"/>
        <v>689</v>
      </c>
      <c r="H34" s="26">
        <f t="shared" si="1"/>
        <v>214</v>
      </c>
      <c r="I34" s="34">
        <f t="shared" si="2"/>
        <v>739.1</v>
      </c>
      <c r="J34" s="34">
        <f t="shared" si="3"/>
        <v>670.2</v>
      </c>
      <c r="K34" s="34">
        <f t="shared" si="4"/>
        <v>601.29999999999995</v>
      </c>
      <c r="L34" s="26">
        <f t="shared" si="5"/>
        <v>532.4</v>
      </c>
      <c r="M34" s="26">
        <f t="shared" si="6"/>
        <v>463.5</v>
      </c>
      <c r="N34" s="26">
        <f t="shared" si="7"/>
        <v>394.6</v>
      </c>
      <c r="O34" s="26">
        <f t="shared" si="8"/>
        <v>325.70000000000005</v>
      </c>
      <c r="P34" s="26">
        <f t="shared" si="9"/>
        <v>256.79999999999995</v>
      </c>
      <c r="Q34" s="26">
        <f t="shared" si="10"/>
        <v>187.89999999999998</v>
      </c>
      <c r="R34" s="34">
        <f t="shared" si="11"/>
        <v>119</v>
      </c>
    </row>
    <row r="35" spans="1:19" thickBot="1" x14ac:dyDescent="0.35">
      <c r="A35" s="28" t="s">
        <v>104</v>
      </c>
      <c r="B35" s="36" t="s">
        <v>63</v>
      </c>
      <c r="C35" s="29">
        <v>1164.5</v>
      </c>
      <c r="D35" s="29">
        <v>880.5</v>
      </c>
      <c r="E35" s="29">
        <v>611.5</v>
      </c>
      <c r="F35" s="29">
        <v>351.5</v>
      </c>
      <c r="G35" s="26">
        <f t="shared" si="0"/>
        <v>813</v>
      </c>
      <c r="H35" s="26">
        <f t="shared" si="1"/>
        <v>284</v>
      </c>
      <c r="I35" s="34">
        <f t="shared" si="2"/>
        <v>1083.2</v>
      </c>
      <c r="J35" s="34">
        <f t="shared" si="3"/>
        <v>1001.9</v>
      </c>
      <c r="K35" s="34">
        <f t="shared" si="4"/>
        <v>920.6</v>
      </c>
      <c r="L35" s="26">
        <f t="shared" si="5"/>
        <v>839.3</v>
      </c>
      <c r="M35" s="26">
        <f t="shared" si="6"/>
        <v>758</v>
      </c>
      <c r="N35" s="26">
        <f t="shared" si="7"/>
        <v>676.7</v>
      </c>
      <c r="O35" s="26">
        <f t="shared" si="8"/>
        <v>595.40000000000009</v>
      </c>
      <c r="P35" s="26">
        <f t="shared" si="9"/>
        <v>514.09999999999991</v>
      </c>
      <c r="Q35" s="26">
        <f t="shared" si="10"/>
        <v>432.79999999999995</v>
      </c>
      <c r="R35" s="34">
        <f t="shared" si="11"/>
        <v>351.5</v>
      </c>
      <c r="S35" s="31" t="s">
        <v>105</v>
      </c>
    </row>
    <row r="36" spans="1:19" thickBot="1" x14ac:dyDescent="0.35">
      <c r="A36" s="28" t="s">
        <v>119</v>
      </c>
      <c r="B36" s="36" t="s">
        <v>63</v>
      </c>
      <c r="C36" s="29">
        <v>28.5</v>
      </c>
      <c r="D36" s="29">
        <v>526.5</v>
      </c>
      <c r="E36" s="29">
        <v>954.5</v>
      </c>
      <c r="F36" s="29">
        <v>1529.5</v>
      </c>
      <c r="G36" s="26">
        <f t="shared" si="0"/>
        <v>1501</v>
      </c>
      <c r="H36" s="26">
        <f t="shared" si="1"/>
        <v>498</v>
      </c>
      <c r="I36" s="34">
        <f t="shared" si="2"/>
        <v>178.6</v>
      </c>
      <c r="J36" s="34">
        <f t="shared" si="3"/>
        <v>328.7</v>
      </c>
      <c r="K36" s="34">
        <f t="shared" si="4"/>
        <v>478.8</v>
      </c>
      <c r="L36" s="26">
        <f t="shared" si="5"/>
        <v>628.9</v>
      </c>
      <c r="M36" s="26">
        <f t="shared" si="6"/>
        <v>779</v>
      </c>
      <c r="N36" s="26">
        <f t="shared" si="7"/>
        <v>929.1</v>
      </c>
      <c r="O36" s="26">
        <f t="shared" si="8"/>
        <v>1079.2</v>
      </c>
      <c r="P36" s="26">
        <f t="shared" si="9"/>
        <v>1229.3</v>
      </c>
      <c r="Q36" s="26">
        <f t="shared" si="10"/>
        <v>1379.4</v>
      </c>
      <c r="R36" s="34">
        <f t="shared" si="11"/>
        <v>1529.5</v>
      </c>
      <c r="S36" s="31" t="s">
        <v>120</v>
      </c>
    </row>
    <row r="37" spans="1:19" thickBot="1" x14ac:dyDescent="0.35">
      <c r="A37" s="28" t="s">
        <v>145</v>
      </c>
      <c r="B37" s="36" t="s">
        <v>63</v>
      </c>
      <c r="C37" s="29">
        <v>2176.5</v>
      </c>
      <c r="D37" s="29">
        <v>1800.5</v>
      </c>
      <c r="E37" s="29">
        <v>1376.5</v>
      </c>
      <c r="F37" s="29">
        <v>354.5</v>
      </c>
      <c r="G37" s="26">
        <f t="shared" si="0"/>
        <v>1822</v>
      </c>
      <c r="H37" s="26">
        <f t="shared" si="1"/>
        <v>376</v>
      </c>
      <c r="I37" s="34">
        <f t="shared" si="2"/>
        <v>1994.3</v>
      </c>
      <c r="J37" s="34">
        <f t="shared" si="3"/>
        <v>1812.1</v>
      </c>
      <c r="K37" s="26">
        <f t="shared" si="4"/>
        <v>1629.9</v>
      </c>
      <c r="L37" s="26">
        <f t="shared" si="5"/>
        <v>1447.6999999999998</v>
      </c>
      <c r="M37" s="26">
        <f t="shared" si="6"/>
        <v>1265.5</v>
      </c>
      <c r="N37" s="26">
        <f t="shared" si="7"/>
        <v>1083.3</v>
      </c>
      <c r="O37" s="26">
        <f t="shared" si="8"/>
        <v>901.10000000000014</v>
      </c>
      <c r="P37" s="26">
        <f t="shared" si="9"/>
        <v>718.89999999999986</v>
      </c>
      <c r="Q37" s="26">
        <f t="shared" si="10"/>
        <v>536.70000000000005</v>
      </c>
      <c r="R37" s="34">
        <f t="shared" si="11"/>
        <v>354.5</v>
      </c>
    </row>
    <row r="38" spans="1:19" thickBot="1" x14ac:dyDescent="0.35">
      <c r="A38" s="28" t="s">
        <v>147</v>
      </c>
      <c r="B38" s="36" t="s">
        <v>63</v>
      </c>
      <c r="C38" s="29">
        <v>46.5</v>
      </c>
      <c r="D38" s="29">
        <v>319.5</v>
      </c>
      <c r="E38" s="29">
        <v>556.5</v>
      </c>
      <c r="F38" s="29">
        <v>1306.5</v>
      </c>
      <c r="G38" s="26">
        <f t="shared" si="0"/>
        <v>1260</v>
      </c>
      <c r="H38" s="26">
        <f t="shared" si="1"/>
        <v>273</v>
      </c>
      <c r="I38" s="34">
        <f t="shared" si="2"/>
        <v>172.5</v>
      </c>
      <c r="J38" s="34">
        <f t="shared" si="3"/>
        <v>298.5</v>
      </c>
      <c r="K38" s="26">
        <f t="shared" si="4"/>
        <v>424.5</v>
      </c>
      <c r="L38" s="26">
        <f t="shared" si="5"/>
        <v>550.5</v>
      </c>
      <c r="M38" s="26">
        <f t="shared" si="6"/>
        <v>676.5</v>
      </c>
      <c r="N38" s="26">
        <f t="shared" si="7"/>
        <v>802.5</v>
      </c>
      <c r="O38" s="26">
        <f t="shared" si="8"/>
        <v>928.5</v>
      </c>
      <c r="P38" s="26">
        <f t="shared" si="9"/>
        <v>1054.5</v>
      </c>
      <c r="Q38" s="26">
        <f t="shared" si="10"/>
        <v>1180.5</v>
      </c>
      <c r="R38" s="34">
        <f t="shared" si="11"/>
        <v>1306.5</v>
      </c>
    </row>
    <row r="39" spans="1:19" thickBot="1" x14ac:dyDescent="0.35">
      <c r="A39" s="28" t="s">
        <v>149</v>
      </c>
      <c r="B39" s="36" t="s">
        <v>63</v>
      </c>
      <c r="C39" s="29">
        <v>1425</v>
      </c>
      <c r="D39" s="29">
        <v>1083</v>
      </c>
      <c r="E39" s="29">
        <v>842</v>
      </c>
      <c r="F39" s="29">
        <v>318</v>
      </c>
      <c r="G39" s="26">
        <f t="shared" si="0"/>
        <v>1107</v>
      </c>
      <c r="H39" s="26">
        <f t="shared" si="1"/>
        <v>342</v>
      </c>
      <c r="I39" s="34">
        <f t="shared" si="2"/>
        <v>1314.3</v>
      </c>
      <c r="J39" s="34">
        <f t="shared" si="3"/>
        <v>1203.5999999999999</v>
      </c>
      <c r="K39" s="34">
        <f t="shared" si="4"/>
        <v>1092.9000000000001</v>
      </c>
      <c r="L39" s="26">
        <f t="shared" si="5"/>
        <v>982.2</v>
      </c>
      <c r="M39" s="26">
        <f t="shared" si="6"/>
        <v>871.5</v>
      </c>
      <c r="N39" s="26">
        <f t="shared" si="7"/>
        <v>760.80000000000007</v>
      </c>
      <c r="O39" s="26">
        <f t="shared" si="8"/>
        <v>650.1</v>
      </c>
      <c r="P39" s="26">
        <f t="shared" si="9"/>
        <v>539.4</v>
      </c>
      <c r="Q39" s="26">
        <f t="shared" si="10"/>
        <v>428.69999999999993</v>
      </c>
      <c r="R39" s="34">
        <f t="shared" si="11"/>
        <v>318</v>
      </c>
    </row>
    <row r="40" spans="1:19" thickBot="1" x14ac:dyDescent="0.35">
      <c r="A40" s="28" t="s">
        <v>151</v>
      </c>
      <c r="B40" s="36" t="s">
        <v>63</v>
      </c>
      <c r="C40" s="29">
        <v>16.5</v>
      </c>
      <c r="D40" s="29">
        <v>410.5</v>
      </c>
      <c r="E40" s="29">
        <v>954.5</v>
      </c>
      <c r="F40" s="29">
        <v>2098.5</v>
      </c>
      <c r="G40" s="26">
        <f t="shared" si="0"/>
        <v>2082</v>
      </c>
      <c r="H40" s="26">
        <f t="shared" si="1"/>
        <v>394</v>
      </c>
      <c r="I40" s="34">
        <f t="shared" si="2"/>
        <v>224.70000000000002</v>
      </c>
      <c r="J40" s="26">
        <f t="shared" si="3"/>
        <v>432.90000000000003</v>
      </c>
      <c r="K40" s="26">
        <f t="shared" si="4"/>
        <v>641.1</v>
      </c>
      <c r="L40" s="26">
        <f t="shared" si="5"/>
        <v>849.30000000000007</v>
      </c>
      <c r="M40" s="26">
        <f t="shared" si="6"/>
        <v>1057.5</v>
      </c>
      <c r="N40" s="26">
        <f t="shared" si="7"/>
        <v>1265.7</v>
      </c>
      <c r="O40" s="26">
        <f t="shared" si="8"/>
        <v>1473.8999999999999</v>
      </c>
      <c r="P40" s="26">
        <f t="shared" si="9"/>
        <v>1682.1000000000001</v>
      </c>
      <c r="Q40" s="26">
        <f t="shared" si="10"/>
        <v>1890.3</v>
      </c>
      <c r="R40" s="34">
        <f t="shared" si="11"/>
        <v>2098.5</v>
      </c>
    </row>
    <row r="41" spans="1:19" thickBot="1" x14ac:dyDescent="0.35">
      <c r="A41" s="28" t="s">
        <v>153</v>
      </c>
      <c r="B41" s="36" t="s">
        <v>63</v>
      </c>
      <c r="C41" s="29">
        <v>1832.5</v>
      </c>
      <c r="D41" s="29">
        <v>1642.5</v>
      </c>
      <c r="E41" s="29">
        <v>626.5</v>
      </c>
      <c r="F41" s="29">
        <v>181.5</v>
      </c>
      <c r="G41" s="26">
        <f t="shared" si="0"/>
        <v>1651</v>
      </c>
      <c r="H41" s="26">
        <f t="shared" si="1"/>
        <v>190</v>
      </c>
      <c r="I41" s="34">
        <f t="shared" si="2"/>
        <v>1667.4</v>
      </c>
      <c r="J41" s="26">
        <f t="shared" si="3"/>
        <v>1502.3</v>
      </c>
      <c r="K41" s="26">
        <f t="shared" si="4"/>
        <v>1337.2</v>
      </c>
      <c r="L41" s="26">
        <f t="shared" si="5"/>
        <v>1172.0999999999999</v>
      </c>
      <c r="M41" s="26">
        <f t="shared" si="6"/>
        <v>1007</v>
      </c>
      <c r="N41" s="26">
        <f t="shared" si="7"/>
        <v>841.90000000000009</v>
      </c>
      <c r="O41" s="26">
        <f t="shared" si="8"/>
        <v>676.80000000000018</v>
      </c>
      <c r="P41" s="26">
        <f t="shared" si="9"/>
        <v>511.69999999999982</v>
      </c>
      <c r="Q41" s="26">
        <f t="shared" si="10"/>
        <v>346.59999999999991</v>
      </c>
      <c r="R41" s="34">
        <f t="shared" si="11"/>
        <v>181.5</v>
      </c>
    </row>
    <row r="42" spans="1:19" thickBot="1" x14ac:dyDescent="0.35">
      <c r="A42" s="28" t="s">
        <v>155</v>
      </c>
      <c r="B42" s="36" t="s">
        <v>63</v>
      </c>
      <c r="C42" s="29">
        <v>10</v>
      </c>
      <c r="D42" s="29">
        <v>304</v>
      </c>
      <c r="E42" s="29">
        <v>546</v>
      </c>
      <c r="F42" s="29">
        <v>923</v>
      </c>
      <c r="G42" s="26">
        <f t="shared" si="0"/>
        <v>913</v>
      </c>
      <c r="H42" s="26">
        <f t="shared" si="1"/>
        <v>294</v>
      </c>
      <c r="I42" s="34">
        <f t="shared" si="2"/>
        <v>101.30000000000001</v>
      </c>
      <c r="J42" s="34">
        <f t="shared" si="3"/>
        <v>192.60000000000002</v>
      </c>
      <c r="K42" s="34">
        <f t="shared" si="4"/>
        <v>283.89999999999998</v>
      </c>
      <c r="L42" s="26">
        <f t="shared" si="5"/>
        <v>375.20000000000005</v>
      </c>
      <c r="M42" s="26">
        <f t="shared" si="6"/>
        <v>466.5</v>
      </c>
      <c r="N42" s="26">
        <f t="shared" si="7"/>
        <v>557.79999999999995</v>
      </c>
      <c r="O42" s="26">
        <f t="shared" si="8"/>
        <v>649.09999999999991</v>
      </c>
      <c r="P42" s="26">
        <f t="shared" si="9"/>
        <v>740.40000000000009</v>
      </c>
      <c r="Q42" s="26">
        <f t="shared" si="10"/>
        <v>831.7</v>
      </c>
      <c r="R42" s="34">
        <f t="shared" si="11"/>
        <v>923</v>
      </c>
    </row>
    <row r="43" spans="1:19" thickBot="1" x14ac:dyDescent="0.35">
      <c r="A43" s="28" t="s">
        <v>157</v>
      </c>
      <c r="B43" s="36" t="s">
        <v>63</v>
      </c>
      <c r="C43" s="29">
        <v>1602.5</v>
      </c>
      <c r="D43" s="29">
        <v>1363.5</v>
      </c>
      <c r="E43" s="29">
        <v>814.5</v>
      </c>
      <c r="F43" s="29">
        <v>273.5</v>
      </c>
      <c r="G43" s="26">
        <f t="shared" si="0"/>
        <v>1329</v>
      </c>
      <c r="H43" s="26">
        <f t="shared" si="1"/>
        <v>239</v>
      </c>
      <c r="I43" s="34">
        <f t="shared" si="2"/>
        <v>1469.6</v>
      </c>
      <c r="J43" s="26">
        <f t="shared" si="3"/>
        <v>1336.7</v>
      </c>
      <c r="K43" s="26">
        <f t="shared" si="4"/>
        <v>1203.8</v>
      </c>
      <c r="L43" s="26">
        <f t="shared" si="5"/>
        <v>1070.9000000000001</v>
      </c>
      <c r="M43" s="26">
        <f t="shared" si="6"/>
        <v>938</v>
      </c>
      <c r="N43" s="26">
        <f t="shared" si="7"/>
        <v>805.1</v>
      </c>
      <c r="O43" s="26">
        <f t="shared" si="8"/>
        <v>672.2</v>
      </c>
      <c r="P43" s="26">
        <f t="shared" si="9"/>
        <v>539.29999999999995</v>
      </c>
      <c r="Q43" s="26">
        <f t="shared" si="10"/>
        <v>406.39999999999986</v>
      </c>
      <c r="R43" s="34">
        <f t="shared" si="11"/>
        <v>273.5</v>
      </c>
    </row>
    <row r="44" spans="1:19" thickBot="1" x14ac:dyDescent="0.35">
      <c r="A44" s="28" t="s">
        <v>158</v>
      </c>
      <c r="B44" s="36" t="s">
        <v>63</v>
      </c>
      <c r="C44" s="29">
        <v>5</v>
      </c>
      <c r="D44" s="29">
        <v>284</v>
      </c>
      <c r="E44" s="29">
        <v>629</v>
      </c>
      <c r="F44" s="29">
        <v>990</v>
      </c>
      <c r="G44" s="26">
        <f t="shared" si="0"/>
        <v>985</v>
      </c>
      <c r="H44" s="26">
        <f t="shared" si="1"/>
        <v>279</v>
      </c>
      <c r="I44" s="34">
        <f t="shared" si="2"/>
        <v>103.5</v>
      </c>
      <c r="J44" s="34">
        <f t="shared" si="3"/>
        <v>202</v>
      </c>
      <c r="K44" s="26">
        <f t="shared" si="4"/>
        <v>300.5</v>
      </c>
      <c r="L44" s="26">
        <f t="shared" si="5"/>
        <v>399</v>
      </c>
      <c r="M44" s="26">
        <f t="shared" si="6"/>
        <v>497.5</v>
      </c>
      <c r="N44" s="26">
        <f t="shared" si="7"/>
        <v>596</v>
      </c>
      <c r="O44" s="26">
        <f t="shared" si="8"/>
        <v>694.5</v>
      </c>
      <c r="P44" s="26">
        <f t="shared" si="9"/>
        <v>793</v>
      </c>
      <c r="Q44" s="26">
        <f t="shared" si="10"/>
        <v>891.5</v>
      </c>
      <c r="R44" s="34">
        <f t="shared" si="11"/>
        <v>990</v>
      </c>
    </row>
    <row r="45" spans="1:19" thickBot="1" x14ac:dyDescent="0.35">
      <c r="A45" s="28" t="s">
        <v>160</v>
      </c>
      <c r="B45" s="36" t="s">
        <v>63</v>
      </c>
      <c r="C45" s="29">
        <v>1789</v>
      </c>
      <c r="D45" s="29">
        <v>1373</v>
      </c>
      <c r="E45" s="29">
        <v>1242</v>
      </c>
      <c r="F45" s="29">
        <v>410</v>
      </c>
      <c r="G45" s="26">
        <f t="shared" si="0"/>
        <v>1379</v>
      </c>
      <c r="H45" s="26">
        <f t="shared" si="1"/>
        <v>416</v>
      </c>
      <c r="I45" s="34">
        <f t="shared" si="2"/>
        <v>1651.1</v>
      </c>
      <c r="J45" s="34">
        <f t="shared" si="3"/>
        <v>1513.2</v>
      </c>
      <c r="K45" s="26">
        <f t="shared" si="4"/>
        <v>1375.3</v>
      </c>
      <c r="L45" s="26">
        <f t="shared" si="5"/>
        <v>1237.4000000000001</v>
      </c>
      <c r="M45" s="26">
        <f t="shared" si="6"/>
        <v>1099.5</v>
      </c>
      <c r="N45" s="26">
        <f t="shared" si="7"/>
        <v>961.6</v>
      </c>
      <c r="O45" s="26">
        <f t="shared" si="8"/>
        <v>823.7</v>
      </c>
      <c r="P45" s="26">
        <f t="shared" si="9"/>
        <v>685.8</v>
      </c>
      <c r="Q45" s="26">
        <f t="shared" si="10"/>
        <v>547.89999999999986</v>
      </c>
      <c r="R45" s="34">
        <f t="shared" si="11"/>
        <v>410</v>
      </c>
    </row>
    <row r="46" spans="1:19" thickBot="1" x14ac:dyDescent="0.35">
      <c r="A46" s="28" t="s">
        <v>162</v>
      </c>
      <c r="B46" s="36" t="s">
        <v>63</v>
      </c>
      <c r="C46" s="29">
        <v>3.5</v>
      </c>
      <c r="D46" s="29">
        <v>152.5</v>
      </c>
      <c r="E46" s="29">
        <v>1012.5</v>
      </c>
      <c r="F46" s="29">
        <v>1132.5</v>
      </c>
      <c r="G46" s="26">
        <f t="shared" si="0"/>
        <v>1129</v>
      </c>
      <c r="H46" s="26">
        <f t="shared" si="1"/>
        <v>149</v>
      </c>
      <c r="I46" s="34">
        <f t="shared" si="2"/>
        <v>116.4</v>
      </c>
      <c r="J46" s="26">
        <f t="shared" si="3"/>
        <v>229.3</v>
      </c>
      <c r="K46" s="26">
        <f t="shared" si="4"/>
        <v>342.2</v>
      </c>
      <c r="L46" s="26">
        <f t="shared" si="5"/>
        <v>455.1</v>
      </c>
      <c r="M46" s="26">
        <f t="shared" si="6"/>
        <v>568</v>
      </c>
      <c r="N46" s="26">
        <f t="shared" si="7"/>
        <v>680.9</v>
      </c>
      <c r="O46" s="26">
        <f t="shared" si="8"/>
        <v>793.8</v>
      </c>
      <c r="P46" s="26">
        <f t="shared" si="9"/>
        <v>906.7</v>
      </c>
      <c r="Q46" s="26">
        <f t="shared" si="10"/>
        <v>1019.6</v>
      </c>
      <c r="R46" s="34">
        <f t="shared" si="11"/>
        <v>1132.5</v>
      </c>
    </row>
    <row r="47" spans="1:19" thickBot="1" x14ac:dyDescent="0.35">
      <c r="A47" s="28" t="s">
        <v>164</v>
      </c>
      <c r="B47" s="36" t="s">
        <v>63</v>
      </c>
      <c r="C47" s="29">
        <v>2.5</v>
      </c>
      <c r="D47" s="29">
        <v>133.5</v>
      </c>
      <c r="E47" s="29">
        <v>545.5</v>
      </c>
      <c r="F47" s="29">
        <v>744.5</v>
      </c>
      <c r="G47" s="26">
        <f t="shared" si="0"/>
        <v>742</v>
      </c>
      <c r="H47" s="26">
        <f t="shared" si="1"/>
        <v>131</v>
      </c>
      <c r="I47" s="34">
        <f t="shared" si="2"/>
        <v>76.7</v>
      </c>
      <c r="J47" s="26">
        <f t="shared" si="3"/>
        <v>150.9</v>
      </c>
      <c r="K47" s="26">
        <f t="shared" si="4"/>
        <v>225.1</v>
      </c>
      <c r="L47" s="26">
        <f t="shared" si="5"/>
        <v>299.3</v>
      </c>
      <c r="M47" s="26">
        <f t="shared" si="6"/>
        <v>373.5</v>
      </c>
      <c r="N47" s="26">
        <f t="shared" si="7"/>
        <v>447.7</v>
      </c>
      <c r="O47" s="26">
        <f t="shared" si="8"/>
        <v>521.9</v>
      </c>
      <c r="P47" s="26">
        <f t="shared" si="9"/>
        <v>596.1</v>
      </c>
      <c r="Q47" s="26">
        <f t="shared" si="10"/>
        <v>670.30000000000007</v>
      </c>
      <c r="R47" s="34">
        <f t="shared" si="11"/>
        <v>744.5</v>
      </c>
    </row>
    <row r="48" spans="1:19" thickBot="1" x14ac:dyDescent="0.35">
      <c r="A48" s="28" t="s">
        <v>166</v>
      </c>
      <c r="B48" s="36" t="s">
        <v>63</v>
      </c>
      <c r="C48" s="29">
        <v>41.5</v>
      </c>
      <c r="D48" s="29">
        <v>278.5</v>
      </c>
      <c r="E48" s="29">
        <v>558.5</v>
      </c>
      <c r="F48" s="29">
        <v>1527.5</v>
      </c>
      <c r="G48" s="26">
        <f t="shared" si="0"/>
        <v>1486</v>
      </c>
      <c r="H48" s="26">
        <f t="shared" si="1"/>
        <v>237</v>
      </c>
      <c r="I48" s="34">
        <f t="shared" si="2"/>
        <v>190.1</v>
      </c>
      <c r="J48" s="26">
        <f t="shared" si="3"/>
        <v>338.7</v>
      </c>
      <c r="K48" s="26">
        <f t="shared" si="4"/>
        <v>487.3</v>
      </c>
      <c r="L48" s="26">
        <f t="shared" si="5"/>
        <v>635.9</v>
      </c>
      <c r="M48" s="26">
        <f t="shared" si="6"/>
        <v>784.5</v>
      </c>
      <c r="N48" s="26">
        <f t="shared" si="7"/>
        <v>933.1</v>
      </c>
      <c r="O48" s="26">
        <f t="shared" si="8"/>
        <v>1081.7</v>
      </c>
      <c r="P48" s="26">
        <f t="shared" si="9"/>
        <v>1230.3</v>
      </c>
      <c r="Q48" s="26">
        <f t="shared" si="10"/>
        <v>1378.9</v>
      </c>
      <c r="R48" s="34">
        <f t="shared" si="11"/>
        <v>1527.5</v>
      </c>
    </row>
    <row r="49" spans="1:18" thickBot="1" x14ac:dyDescent="0.35">
      <c r="A49" s="28" t="s">
        <v>168</v>
      </c>
      <c r="B49" s="36" t="s">
        <v>63</v>
      </c>
      <c r="C49" s="29">
        <v>53</v>
      </c>
      <c r="D49" s="29">
        <v>326</v>
      </c>
      <c r="E49" s="29">
        <v>1219</v>
      </c>
      <c r="F49" s="29">
        <v>1690</v>
      </c>
      <c r="G49" s="26">
        <f t="shared" si="0"/>
        <v>1637</v>
      </c>
      <c r="H49" s="26">
        <f t="shared" si="1"/>
        <v>273</v>
      </c>
      <c r="I49" s="34">
        <f t="shared" si="2"/>
        <v>216.70000000000002</v>
      </c>
      <c r="J49" s="26">
        <f t="shared" si="3"/>
        <v>380.40000000000003</v>
      </c>
      <c r="K49" s="26">
        <f t="shared" si="4"/>
        <v>544.09999999999991</v>
      </c>
      <c r="L49" s="26">
        <f t="shared" si="5"/>
        <v>707.80000000000007</v>
      </c>
      <c r="M49" s="26">
        <f t="shared" si="6"/>
        <v>871.5</v>
      </c>
      <c r="N49" s="26">
        <f t="shared" si="7"/>
        <v>1035.1999999999998</v>
      </c>
      <c r="O49" s="26">
        <f t="shared" si="8"/>
        <v>1198.8999999999999</v>
      </c>
      <c r="P49" s="26">
        <f t="shared" si="9"/>
        <v>1362.6000000000001</v>
      </c>
      <c r="Q49" s="26">
        <f t="shared" si="10"/>
        <v>1526.3</v>
      </c>
      <c r="R49" s="34">
        <f t="shared" si="11"/>
        <v>1690</v>
      </c>
    </row>
    <row r="50" spans="1:18" thickBot="1" x14ac:dyDescent="0.35">
      <c r="A50" s="28" t="s">
        <v>170</v>
      </c>
      <c r="B50" s="36" t="s">
        <v>63</v>
      </c>
      <c r="C50" s="29">
        <v>1873</v>
      </c>
      <c r="D50" s="29">
        <v>1576</v>
      </c>
      <c r="E50" s="29">
        <v>1040</v>
      </c>
      <c r="F50" s="29">
        <v>729</v>
      </c>
      <c r="G50" s="26">
        <f t="shared" si="0"/>
        <v>1144</v>
      </c>
      <c r="H50" s="26">
        <f t="shared" si="1"/>
        <v>297</v>
      </c>
      <c r="I50" s="34">
        <f t="shared" si="2"/>
        <v>1758.6</v>
      </c>
      <c r="J50" s="34">
        <f t="shared" si="3"/>
        <v>1644.2</v>
      </c>
      <c r="K50" s="26">
        <f t="shared" si="4"/>
        <v>1529.8</v>
      </c>
      <c r="L50" s="26">
        <f t="shared" si="5"/>
        <v>1415.4</v>
      </c>
      <c r="M50" s="26">
        <f t="shared" si="6"/>
        <v>1301</v>
      </c>
      <c r="N50" s="26">
        <f t="shared" si="7"/>
        <v>1186.5999999999999</v>
      </c>
      <c r="O50" s="26">
        <f t="shared" si="8"/>
        <v>1072.2</v>
      </c>
      <c r="P50" s="26">
        <f t="shared" si="9"/>
        <v>957.8</v>
      </c>
      <c r="Q50" s="26">
        <f t="shared" si="10"/>
        <v>843.39999999999986</v>
      </c>
      <c r="R50" s="34">
        <f t="shared" si="11"/>
        <v>729</v>
      </c>
    </row>
    <row r="51" spans="1:18" thickBot="1" x14ac:dyDescent="0.35">
      <c r="A51" s="28" t="s">
        <v>172</v>
      </c>
      <c r="B51" s="36" t="s">
        <v>63</v>
      </c>
      <c r="C51" s="29">
        <v>31.672000000000001</v>
      </c>
      <c r="D51" s="29">
        <v>224.672</v>
      </c>
      <c r="E51" s="29">
        <v>422.67200000000003</v>
      </c>
      <c r="F51" s="29">
        <v>739.67200000000003</v>
      </c>
      <c r="G51" s="26">
        <f t="shared" si="0"/>
        <v>708</v>
      </c>
      <c r="H51" s="26">
        <f t="shared" si="1"/>
        <v>193</v>
      </c>
      <c r="I51" s="34">
        <f t="shared" si="2"/>
        <v>102.47199999999999</v>
      </c>
      <c r="J51" s="34">
        <f t="shared" si="3"/>
        <v>173.27199999999999</v>
      </c>
      <c r="K51" s="26">
        <f t="shared" si="4"/>
        <v>244.072</v>
      </c>
      <c r="L51" s="26">
        <f t="shared" si="5"/>
        <v>314.87200000000001</v>
      </c>
      <c r="M51" s="26">
        <f t="shared" si="6"/>
        <v>385.67200000000003</v>
      </c>
      <c r="N51" s="26">
        <f t="shared" si="7"/>
        <v>456.47200000000004</v>
      </c>
      <c r="O51" s="26">
        <f t="shared" si="8"/>
        <v>527.27199999999993</v>
      </c>
      <c r="P51" s="26">
        <f t="shared" si="9"/>
        <v>598.072</v>
      </c>
      <c r="Q51" s="26">
        <f t="shared" si="10"/>
        <v>668.87200000000007</v>
      </c>
      <c r="R51" s="34">
        <f t="shared" si="11"/>
        <v>739.67200000000003</v>
      </c>
    </row>
    <row r="52" spans="1:18" thickBot="1" x14ac:dyDescent="0.35">
      <c r="A52" s="28" t="s">
        <v>174</v>
      </c>
      <c r="B52" s="36" t="s">
        <v>63</v>
      </c>
      <c r="C52" s="29">
        <v>6.5</v>
      </c>
      <c r="D52" s="29">
        <v>395.5</v>
      </c>
      <c r="E52" s="29">
        <v>923.5</v>
      </c>
      <c r="F52" s="29">
        <v>1554.5</v>
      </c>
      <c r="G52" s="26">
        <f t="shared" si="0"/>
        <v>1548</v>
      </c>
      <c r="H52" s="26">
        <f t="shared" si="1"/>
        <v>389</v>
      </c>
      <c r="I52" s="34">
        <f t="shared" si="2"/>
        <v>161.30000000000001</v>
      </c>
      <c r="J52" s="34">
        <f t="shared" si="3"/>
        <v>316.10000000000002</v>
      </c>
      <c r="K52" s="26">
        <f t="shared" si="4"/>
        <v>470.9</v>
      </c>
      <c r="L52" s="26">
        <f t="shared" si="5"/>
        <v>625.70000000000005</v>
      </c>
      <c r="M52" s="26">
        <f t="shared" si="6"/>
        <v>780.5</v>
      </c>
      <c r="N52" s="26">
        <f t="shared" si="7"/>
        <v>935.3</v>
      </c>
      <c r="O52" s="26">
        <f t="shared" si="8"/>
        <v>1090.0999999999999</v>
      </c>
      <c r="P52" s="26">
        <f t="shared" si="9"/>
        <v>1244.9000000000001</v>
      </c>
      <c r="Q52" s="26">
        <f t="shared" si="10"/>
        <v>1399.7</v>
      </c>
      <c r="R52" s="34">
        <f t="shared" si="11"/>
        <v>1554.5</v>
      </c>
    </row>
    <row r="53" spans="1:18" thickBot="1" x14ac:dyDescent="0.35">
      <c r="A53" s="28" t="s">
        <v>176</v>
      </c>
      <c r="B53" s="36" t="s">
        <v>63</v>
      </c>
      <c r="C53" s="29">
        <v>5</v>
      </c>
      <c r="D53" s="29">
        <v>251</v>
      </c>
      <c r="E53" s="29">
        <v>435</v>
      </c>
      <c r="F53" s="29">
        <v>1008</v>
      </c>
      <c r="G53" s="26">
        <f t="shared" si="0"/>
        <v>1003</v>
      </c>
      <c r="H53" s="26">
        <f t="shared" si="1"/>
        <v>246</v>
      </c>
      <c r="I53" s="34">
        <f t="shared" si="2"/>
        <v>105.30000000000001</v>
      </c>
      <c r="J53" s="34">
        <f t="shared" si="3"/>
        <v>205.60000000000002</v>
      </c>
      <c r="K53" s="26">
        <f t="shared" si="4"/>
        <v>305.89999999999998</v>
      </c>
      <c r="L53" s="26">
        <f t="shared" si="5"/>
        <v>406.20000000000005</v>
      </c>
      <c r="M53" s="26">
        <f t="shared" si="6"/>
        <v>506.5</v>
      </c>
      <c r="N53" s="26">
        <f t="shared" si="7"/>
        <v>606.79999999999995</v>
      </c>
      <c r="O53" s="26">
        <f t="shared" si="8"/>
        <v>707.09999999999991</v>
      </c>
      <c r="P53" s="26">
        <f t="shared" si="9"/>
        <v>807.40000000000009</v>
      </c>
      <c r="Q53" s="26">
        <f t="shared" si="10"/>
        <v>907.7</v>
      </c>
      <c r="R53" s="34">
        <f t="shared" si="11"/>
        <v>1008</v>
      </c>
    </row>
    <row r="54" spans="1:18" thickBot="1" x14ac:dyDescent="0.35">
      <c r="A54" s="28" t="s">
        <v>178</v>
      </c>
      <c r="B54" s="36" t="s">
        <v>63</v>
      </c>
      <c r="C54" s="29">
        <v>32</v>
      </c>
      <c r="D54" s="29">
        <v>184</v>
      </c>
      <c r="E54" s="29">
        <v>390</v>
      </c>
      <c r="F54" s="29">
        <v>632</v>
      </c>
      <c r="G54" s="26">
        <f t="shared" si="0"/>
        <v>600</v>
      </c>
      <c r="H54" s="26">
        <f t="shared" si="1"/>
        <v>152</v>
      </c>
      <c r="I54" s="34">
        <f t="shared" si="2"/>
        <v>92</v>
      </c>
      <c r="J54" s="34">
        <f t="shared" si="3"/>
        <v>152</v>
      </c>
      <c r="K54" s="26">
        <f t="shared" si="4"/>
        <v>212</v>
      </c>
      <c r="L54" s="26">
        <f t="shared" si="5"/>
        <v>272</v>
      </c>
      <c r="M54" s="26">
        <f t="shared" si="6"/>
        <v>332</v>
      </c>
      <c r="N54" s="26">
        <f t="shared" si="7"/>
        <v>392</v>
      </c>
      <c r="O54" s="26">
        <f t="shared" si="8"/>
        <v>452</v>
      </c>
      <c r="P54" s="26">
        <f t="shared" si="9"/>
        <v>512</v>
      </c>
      <c r="Q54" s="26">
        <f t="shared" si="10"/>
        <v>572</v>
      </c>
      <c r="R54" s="34">
        <f t="shared" si="11"/>
        <v>632</v>
      </c>
    </row>
    <row r="55" spans="1:18" thickBot="1" x14ac:dyDescent="0.35">
      <c r="A55" s="28" t="s">
        <v>180</v>
      </c>
      <c r="B55" s="36" t="s">
        <v>63</v>
      </c>
      <c r="C55" s="29">
        <v>1832.5</v>
      </c>
      <c r="D55" s="29">
        <v>1539.5</v>
      </c>
      <c r="E55" s="29">
        <v>810.5</v>
      </c>
      <c r="F55" s="29">
        <v>532.5</v>
      </c>
      <c r="G55" s="26">
        <f t="shared" si="0"/>
        <v>1300</v>
      </c>
      <c r="H55" s="26">
        <f t="shared" si="1"/>
        <v>293</v>
      </c>
      <c r="I55" s="34">
        <f t="shared" si="2"/>
        <v>1702.5</v>
      </c>
      <c r="J55" s="34">
        <f t="shared" si="3"/>
        <v>1572.5</v>
      </c>
      <c r="K55" s="26">
        <f t="shared" si="4"/>
        <v>1442.5</v>
      </c>
      <c r="L55" s="26">
        <f t="shared" si="5"/>
        <v>1312.5</v>
      </c>
      <c r="M55" s="26">
        <f t="shared" si="6"/>
        <v>1182.5</v>
      </c>
      <c r="N55" s="26">
        <f t="shared" si="7"/>
        <v>1052.5</v>
      </c>
      <c r="O55" s="26">
        <f t="shared" si="8"/>
        <v>922.50000000000011</v>
      </c>
      <c r="P55" s="26">
        <f t="shared" si="9"/>
        <v>792.5</v>
      </c>
      <c r="Q55" s="26">
        <f t="shared" si="10"/>
        <v>662.5</v>
      </c>
      <c r="R55" s="34">
        <f t="shared" si="11"/>
        <v>532.5</v>
      </c>
    </row>
    <row r="56" spans="1:18" thickBot="1" x14ac:dyDescent="0.35">
      <c r="A56" s="28" t="s">
        <v>181</v>
      </c>
      <c r="B56" s="36" t="s">
        <v>63</v>
      </c>
      <c r="C56" s="29">
        <v>19</v>
      </c>
      <c r="D56" s="29">
        <v>457</v>
      </c>
      <c r="E56" s="29">
        <v>1092</v>
      </c>
      <c r="F56" s="29">
        <v>1841</v>
      </c>
      <c r="G56" s="26">
        <f t="shared" si="0"/>
        <v>1822</v>
      </c>
      <c r="H56" s="26">
        <f t="shared" si="1"/>
        <v>438</v>
      </c>
      <c r="I56" s="34">
        <f t="shared" si="2"/>
        <v>201.20000000000002</v>
      </c>
      <c r="J56" s="34">
        <f t="shared" si="3"/>
        <v>383.40000000000003</v>
      </c>
      <c r="K56" s="26">
        <f t="shared" si="4"/>
        <v>565.6</v>
      </c>
      <c r="L56" s="26">
        <f t="shared" si="5"/>
        <v>747.80000000000007</v>
      </c>
      <c r="M56" s="26">
        <f t="shared" si="6"/>
        <v>930</v>
      </c>
      <c r="N56" s="26">
        <f t="shared" si="7"/>
        <v>1112.2</v>
      </c>
      <c r="O56" s="26">
        <f t="shared" si="8"/>
        <v>1294.3999999999999</v>
      </c>
      <c r="P56" s="26">
        <f t="shared" si="9"/>
        <v>1476.6000000000001</v>
      </c>
      <c r="Q56" s="26">
        <f t="shared" si="10"/>
        <v>1658.8</v>
      </c>
      <c r="R56" s="34">
        <f t="shared" si="11"/>
        <v>1841</v>
      </c>
    </row>
    <row r="57" spans="1:18" thickBot="1" x14ac:dyDescent="0.35">
      <c r="A57" s="28" t="s">
        <v>182</v>
      </c>
      <c r="B57" s="36" t="s">
        <v>63</v>
      </c>
      <c r="C57" s="29">
        <v>2411</v>
      </c>
      <c r="D57" s="29">
        <v>1875</v>
      </c>
      <c r="E57" s="29">
        <v>1413</v>
      </c>
      <c r="F57" s="29">
        <v>418</v>
      </c>
      <c r="G57" s="26">
        <f t="shared" si="0"/>
        <v>1993</v>
      </c>
      <c r="H57" s="26">
        <f t="shared" si="1"/>
        <v>536</v>
      </c>
      <c r="I57" s="34">
        <f t="shared" si="2"/>
        <v>2211.6999999999998</v>
      </c>
      <c r="J57" s="34">
        <f t="shared" si="3"/>
        <v>2012.4</v>
      </c>
      <c r="K57" s="26">
        <f t="shared" si="4"/>
        <v>1813.1</v>
      </c>
      <c r="L57" s="26">
        <f t="shared" si="5"/>
        <v>1613.8</v>
      </c>
      <c r="M57" s="26">
        <f t="shared" si="6"/>
        <v>1414.5</v>
      </c>
      <c r="N57" s="26">
        <f t="shared" si="7"/>
        <v>1215.2</v>
      </c>
      <c r="O57" s="26">
        <f t="shared" si="8"/>
        <v>1015.9000000000001</v>
      </c>
      <c r="P57" s="26">
        <f t="shared" si="9"/>
        <v>816.59999999999991</v>
      </c>
      <c r="Q57" s="26">
        <f t="shared" si="10"/>
        <v>617.29999999999995</v>
      </c>
      <c r="R57" s="34">
        <f t="shared" si="11"/>
        <v>418</v>
      </c>
    </row>
    <row r="58" spans="1:18" thickBot="1" x14ac:dyDescent="0.35">
      <c r="A58" s="28" t="s">
        <v>186</v>
      </c>
      <c r="B58" s="36" t="s">
        <v>63</v>
      </c>
      <c r="C58" s="29">
        <v>66.5</v>
      </c>
      <c r="D58" s="29">
        <v>463.5</v>
      </c>
      <c r="E58" s="29">
        <v>1259.5</v>
      </c>
      <c r="F58" s="29">
        <v>1872.5</v>
      </c>
      <c r="G58" s="26">
        <f t="shared" si="0"/>
        <v>1806</v>
      </c>
      <c r="H58" s="26">
        <f t="shared" si="1"/>
        <v>397</v>
      </c>
      <c r="I58" s="34">
        <f t="shared" si="2"/>
        <v>247.10000000000002</v>
      </c>
      <c r="J58" s="34">
        <f t="shared" si="3"/>
        <v>427.70000000000005</v>
      </c>
      <c r="K58" s="26">
        <f t="shared" si="4"/>
        <v>608.29999999999995</v>
      </c>
      <c r="L58" s="26">
        <f t="shared" si="5"/>
        <v>788.90000000000009</v>
      </c>
      <c r="M58" s="26">
        <f t="shared" si="6"/>
        <v>969.5</v>
      </c>
      <c r="N58" s="26">
        <f t="shared" si="7"/>
        <v>1150.0999999999999</v>
      </c>
      <c r="O58" s="26">
        <f t="shared" si="8"/>
        <v>1330.6999999999998</v>
      </c>
      <c r="P58" s="26">
        <f t="shared" si="9"/>
        <v>1511.3000000000002</v>
      </c>
      <c r="Q58" s="26">
        <f t="shared" si="10"/>
        <v>1691.9</v>
      </c>
      <c r="R58" s="34">
        <f t="shared" si="11"/>
        <v>1872.5</v>
      </c>
    </row>
    <row r="59" spans="1:18" thickBot="1" x14ac:dyDescent="0.35">
      <c r="A59" s="28" t="s">
        <v>188</v>
      </c>
      <c r="B59" s="36" t="s">
        <v>63</v>
      </c>
      <c r="C59" s="29">
        <v>1590</v>
      </c>
      <c r="D59" s="29">
        <v>1336</v>
      </c>
      <c r="E59" s="29">
        <v>780</v>
      </c>
      <c r="F59" s="29">
        <v>383</v>
      </c>
      <c r="G59" s="26">
        <f t="shared" si="0"/>
        <v>1207</v>
      </c>
      <c r="H59" s="26">
        <f t="shared" si="1"/>
        <v>254</v>
      </c>
      <c r="I59" s="34">
        <f t="shared" si="2"/>
        <v>1469.3</v>
      </c>
      <c r="J59" s="34">
        <f t="shared" si="3"/>
        <v>1348.6</v>
      </c>
      <c r="K59" s="26">
        <f t="shared" si="4"/>
        <v>1227.9000000000001</v>
      </c>
      <c r="L59" s="26">
        <f t="shared" si="5"/>
        <v>1107.2</v>
      </c>
      <c r="M59" s="26">
        <f t="shared" si="6"/>
        <v>986.5</v>
      </c>
      <c r="N59" s="26">
        <f t="shared" si="7"/>
        <v>865.80000000000007</v>
      </c>
      <c r="O59" s="26">
        <f t="shared" si="8"/>
        <v>745.1</v>
      </c>
      <c r="P59" s="26">
        <f t="shared" si="9"/>
        <v>624.4</v>
      </c>
      <c r="Q59" s="26">
        <f t="shared" si="10"/>
        <v>503.70000000000005</v>
      </c>
      <c r="R59" s="34">
        <f t="shared" si="11"/>
        <v>383</v>
      </c>
    </row>
    <row r="60" spans="1:18" thickBot="1" x14ac:dyDescent="0.35">
      <c r="A60" s="28" t="s">
        <v>190</v>
      </c>
      <c r="B60" s="36" t="s">
        <v>63</v>
      </c>
      <c r="C60" s="29">
        <v>130.5</v>
      </c>
      <c r="D60" s="29">
        <v>444.5</v>
      </c>
      <c r="E60" s="29">
        <v>799.5</v>
      </c>
      <c r="F60" s="29">
        <v>1273.5</v>
      </c>
      <c r="G60" s="26">
        <f t="shared" si="0"/>
        <v>1143</v>
      </c>
      <c r="H60" s="26">
        <f t="shared" si="1"/>
        <v>314</v>
      </c>
      <c r="I60" s="34">
        <f t="shared" si="2"/>
        <v>244.8</v>
      </c>
      <c r="J60" s="34">
        <f t="shared" si="3"/>
        <v>359.1</v>
      </c>
      <c r="K60" s="26">
        <f t="shared" si="4"/>
        <v>473.4</v>
      </c>
      <c r="L60" s="26">
        <f t="shared" si="5"/>
        <v>587.70000000000005</v>
      </c>
      <c r="M60" s="26">
        <f t="shared" si="6"/>
        <v>702</v>
      </c>
      <c r="N60" s="26">
        <f t="shared" si="7"/>
        <v>816.3</v>
      </c>
      <c r="O60" s="26">
        <f t="shared" si="8"/>
        <v>930.59999999999991</v>
      </c>
      <c r="P60" s="26">
        <f t="shared" si="9"/>
        <v>1044.9000000000001</v>
      </c>
      <c r="Q60" s="26">
        <f t="shared" si="10"/>
        <v>1159.2</v>
      </c>
      <c r="R60" s="34">
        <f t="shared" si="11"/>
        <v>1273.5</v>
      </c>
    </row>
    <row r="61" spans="1:18" thickBot="1" x14ac:dyDescent="0.35">
      <c r="A61" s="28" t="s">
        <v>192</v>
      </c>
      <c r="B61" s="36" t="s">
        <v>63</v>
      </c>
      <c r="C61" s="29">
        <v>66.5</v>
      </c>
      <c r="D61" s="29">
        <v>404.5</v>
      </c>
      <c r="E61" s="29">
        <v>936.5</v>
      </c>
      <c r="F61" s="29">
        <v>1586.5</v>
      </c>
      <c r="G61" s="26">
        <f t="shared" si="0"/>
        <v>1520</v>
      </c>
      <c r="H61" s="26">
        <f t="shared" si="1"/>
        <v>338</v>
      </c>
      <c r="I61" s="34">
        <f t="shared" si="2"/>
        <v>218.5</v>
      </c>
      <c r="J61" s="34">
        <f t="shared" si="3"/>
        <v>370.5</v>
      </c>
      <c r="K61" s="26">
        <f t="shared" si="4"/>
        <v>522.5</v>
      </c>
      <c r="L61" s="26">
        <f t="shared" si="5"/>
        <v>674.5</v>
      </c>
      <c r="M61" s="26">
        <f t="shared" si="6"/>
        <v>826.5</v>
      </c>
      <c r="N61" s="26">
        <f t="shared" si="7"/>
        <v>978.5</v>
      </c>
      <c r="O61" s="26">
        <f t="shared" si="8"/>
        <v>1130.5</v>
      </c>
      <c r="P61" s="26">
        <f t="shared" si="9"/>
        <v>1282.5</v>
      </c>
      <c r="Q61" s="26">
        <f t="shared" si="10"/>
        <v>1434.5</v>
      </c>
      <c r="R61" s="34">
        <f t="shared" si="11"/>
        <v>1586.5</v>
      </c>
    </row>
    <row r="62" spans="1:18" thickBot="1" x14ac:dyDescent="0.35">
      <c r="A62" s="28" t="s">
        <v>193</v>
      </c>
      <c r="B62" s="36" t="s">
        <v>63</v>
      </c>
      <c r="C62" s="29">
        <v>34</v>
      </c>
      <c r="D62" s="29">
        <v>279</v>
      </c>
      <c r="E62" s="29">
        <v>482</v>
      </c>
      <c r="F62" s="29">
        <v>753</v>
      </c>
      <c r="G62" s="26">
        <f t="shared" si="0"/>
        <v>719</v>
      </c>
      <c r="H62" s="26">
        <f t="shared" si="1"/>
        <v>245</v>
      </c>
      <c r="I62" s="34">
        <f t="shared" si="2"/>
        <v>105.9</v>
      </c>
      <c r="J62" s="34">
        <f t="shared" si="3"/>
        <v>177.8</v>
      </c>
      <c r="K62" s="34">
        <f t="shared" si="4"/>
        <v>249.7</v>
      </c>
      <c r="L62" s="26">
        <f t="shared" si="5"/>
        <v>321.60000000000002</v>
      </c>
      <c r="M62" s="26">
        <f t="shared" si="6"/>
        <v>393.5</v>
      </c>
      <c r="N62" s="26">
        <f t="shared" si="7"/>
        <v>465.4</v>
      </c>
      <c r="O62" s="26">
        <f t="shared" si="8"/>
        <v>537.29999999999995</v>
      </c>
      <c r="P62" s="26">
        <f t="shared" si="9"/>
        <v>609.20000000000005</v>
      </c>
      <c r="Q62" s="26">
        <f t="shared" si="10"/>
        <v>681.1</v>
      </c>
      <c r="R62" s="34">
        <f t="shared" si="11"/>
        <v>753</v>
      </c>
    </row>
    <row r="63" spans="1:18" thickBot="1" x14ac:dyDescent="0.35">
      <c r="G63" s="26">
        <f t="shared" si="0"/>
        <v>0</v>
      </c>
      <c r="H63" s="26">
        <f t="shared" si="1"/>
        <v>0</v>
      </c>
      <c r="I63" s="26">
        <f t="shared" si="2"/>
        <v>0</v>
      </c>
      <c r="J63" s="26">
        <f t="shared" si="3"/>
        <v>0</v>
      </c>
      <c r="K63" s="26">
        <f t="shared" si="4"/>
        <v>0</v>
      </c>
      <c r="L63" s="26">
        <f t="shared" si="5"/>
        <v>0</v>
      </c>
      <c r="M63" s="26">
        <f t="shared" si="6"/>
        <v>0</v>
      </c>
      <c r="N63" s="26">
        <f t="shared" si="7"/>
        <v>0</v>
      </c>
      <c r="O63" s="26">
        <f t="shared" si="8"/>
        <v>0</v>
      </c>
      <c r="P63" s="26">
        <f t="shared" si="9"/>
        <v>0</v>
      </c>
      <c r="Q63" s="26">
        <f t="shared" si="10"/>
        <v>0</v>
      </c>
      <c r="R63" s="34">
        <f t="shared" si="11"/>
        <v>0</v>
      </c>
    </row>
    <row r="64" spans="1:18" thickBot="1" x14ac:dyDescent="0.35">
      <c r="G64" s="26">
        <f t="shared" si="0"/>
        <v>0</v>
      </c>
      <c r="H64" s="26">
        <f t="shared" si="1"/>
        <v>0</v>
      </c>
      <c r="I64" s="26">
        <f t="shared" si="2"/>
        <v>0</v>
      </c>
      <c r="J64" s="26">
        <f t="shared" si="3"/>
        <v>0</v>
      </c>
      <c r="K64" s="26">
        <f t="shared" si="4"/>
        <v>0</v>
      </c>
      <c r="L64" s="26">
        <f t="shared" si="5"/>
        <v>0</v>
      </c>
      <c r="M64" s="26">
        <f t="shared" si="6"/>
        <v>0</v>
      </c>
      <c r="N64" s="26">
        <f t="shared" si="7"/>
        <v>0</v>
      </c>
      <c r="O64" s="26">
        <f t="shared" si="8"/>
        <v>0</v>
      </c>
      <c r="P64" s="26">
        <f t="shared" si="9"/>
        <v>0</v>
      </c>
      <c r="Q64" s="26">
        <f t="shared" si="10"/>
        <v>0</v>
      </c>
      <c r="R64" s="34">
        <f t="shared" si="11"/>
        <v>0</v>
      </c>
    </row>
    <row r="65" spans="7:18" thickBot="1" x14ac:dyDescent="0.35">
      <c r="G65" s="26">
        <f t="shared" si="0"/>
        <v>0</v>
      </c>
      <c r="H65" s="26">
        <f t="shared" si="1"/>
        <v>0</v>
      </c>
      <c r="I65" s="26">
        <f t="shared" si="2"/>
        <v>0</v>
      </c>
      <c r="J65" s="26">
        <f t="shared" si="3"/>
        <v>0</v>
      </c>
      <c r="K65" s="26">
        <f t="shared" si="4"/>
        <v>0</v>
      </c>
      <c r="L65" s="26">
        <f t="shared" si="5"/>
        <v>0</v>
      </c>
      <c r="M65" s="26">
        <f t="shared" si="6"/>
        <v>0</v>
      </c>
      <c r="N65" s="26">
        <f t="shared" si="7"/>
        <v>0</v>
      </c>
      <c r="O65" s="26">
        <f t="shared" si="8"/>
        <v>0</v>
      </c>
      <c r="P65" s="26">
        <f t="shared" si="9"/>
        <v>0</v>
      </c>
      <c r="Q65" s="26">
        <f t="shared" si="10"/>
        <v>0</v>
      </c>
      <c r="R65" s="34">
        <f t="shared" si="11"/>
        <v>0</v>
      </c>
    </row>
    <row r="66" spans="7:18" thickBot="1" x14ac:dyDescent="0.35">
      <c r="G66" s="26">
        <f t="shared" si="0"/>
        <v>0</v>
      </c>
      <c r="H66" s="26">
        <f t="shared" si="1"/>
        <v>0</v>
      </c>
      <c r="I66" s="26">
        <f t="shared" si="2"/>
        <v>0</v>
      </c>
      <c r="J66" s="26">
        <f t="shared" si="3"/>
        <v>0</v>
      </c>
      <c r="K66" s="26">
        <f t="shared" si="4"/>
        <v>0</v>
      </c>
      <c r="L66" s="26">
        <f t="shared" si="5"/>
        <v>0</v>
      </c>
      <c r="M66" s="26">
        <f t="shared" si="6"/>
        <v>0</v>
      </c>
      <c r="N66" s="26">
        <f t="shared" si="7"/>
        <v>0</v>
      </c>
      <c r="O66" s="26">
        <f t="shared" si="8"/>
        <v>0</v>
      </c>
      <c r="P66" s="26">
        <f t="shared" si="9"/>
        <v>0</v>
      </c>
      <c r="Q66" s="26">
        <f t="shared" si="10"/>
        <v>0</v>
      </c>
      <c r="R66" s="34">
        <f t="shared" si="11"/>
        <v>0</v>
      </c>
    </row>
    <row r="67" spans="7:18" thickBot="1" x14ac:dyDescent="0.35">
      <c r="G67" s="26">
        <f t="shared" si="0"/>
        <v>0</v>
      </c>
      <c r="H67" s="26">
        <f t="shared" si="1"/>
        <v>0</v>
      </c>
      <c r="I67" s="26">
        <f t="shared" si="2"/>
        <v>0</v>
      </c>
      <c r="J67" s="26">
        <f t="shared" si="3"/>
        <v>0</v>
      </c>
      <c r="K67" s="26">
        <f t="shared" si="4"/>
        <v>0</v>
      </c>
      <c r="L67" s="26">
        <f t="shared" si="5"/>
        <v>0</v>
      </c>
      <c r="M67" s="26">
        <f t="shared" si="6"/>
        <v>0</v>
      </c>
      <c r="N67" s="26">
        <f t="shared" si="7"/>
        <v>0</v>
      </c>
      <c r="O67" s="26">
        <f t="shared" si="8"/>
        <v>0</v>
      </c>
      <c r="P67" s="26">
        <f t="shared" si="9"/>
        <v>0</v>
      </c>
      <c r="Q67" s="26">
        <f t="shared" si="10"/>
        <v>0</v>
      </c>
      <c r="R67" s="34">
        <f t="shared" si="11"/>
        <v>0</v>
      </c>
    </row>
    <row r="68" spans="7:18" thickBot="1" x14ac:dyDescent="0.35">
      <c r="G68" s="26">
        <f t="shared" ref="G68:G131" si="12">ABS(F68-C68)</f>
        <v>0</v>
      </c>
      <c r="H68" s="26">
        <f t="shared" ref="H68:H131" si="13">ABS(D68-C68)</f>
        <v>0</v>
      </c>
      <c r="I68" s="26">
        <f t="shared" ref="I68:I131" si="14">IF(G68&gt;C68, C68+(0.1*G68), C68-(0.1*G68))</f>
        <v>0</v>
      </c>
      <c r="J68" s="26">
        <f t="shared" ref="J68:J131" si="15">IF(G68&gt;C68, C68+(0.2*G68), C68-(0.2*G68))</f>
        <v>0</v>
      </c>
      <c r="K68" s="26">
        <f t="shared" ref="K68:K131" si="16">IF(G68&gt;C68, C68+(0.3*G68), C68-(0.3*G68))</f>
        <v>0</v>
      </c>
      <c r="L68" s="26">
        <f t="shared" ref="L68:L131" si="17">IF(G68&gt;C68, C68+(0.4*G68), C68-(0.4*G68))</f>
        <v>0</v>
      </c>
      <c r="M68" s="26">
        <f t="shared" ref="M68:M131" si="18">IF(G68&gt;C68, C68+(0.5*G68), C68-(0.5*G68))</f>
        <v>0</v>
      </c>
      <c r="N68" s="26">
        <f t="shared" ref="N68:N131" si="19">IF(G68&gt;C68, C68+(0.6*G68), C68-(0.6*G68))</f>
        <v>0</v>
      </c>
      <c r="O68" s="26">
        <f t="shared" ref="O68:O131" si="20">IF(G68&gt;C68, C68+(0.7*G68), C68-(0.7*G68))</f>
        <v>0</v>
      </c>
      <c r="P68" s="26">
        <f t="shared" ref="P68:P131" si="21">IF(G68&gt;C68, C68+(0.8*G68), C68-(0.8*G68))</f>
        <v>0</v>
      </c>
      <c r="Q68" s="26">
        <f t="shared" ref="Q68:Q131" si="22">IF(G68&gt;C68, C68+(0.9*G68), C68-(0.9*G68))</f>
        <v>0</v>
      </c>
      <c r="R68" s="34">
        <f t="shared" ref="R68:R131" si="23">IF(G68&gt;C68, C68+(1*G68), C68-(1*G68))</f>
        <v>0</v>
      </c>
    </row>
    <row r="69" spans="7:18" thickBot="1" x14ac:dyDescent="0.35">
      <c r="G69" s="26">
        <f t="shared" si="12"/>
        <v>0</v>
      </c>
      <c r="H69" s="26">
        <f t="shared" si="13"/>
        <v>0</v>
      </c>
      <c r="I69" s="26">
        <f t="shared" si="14"/>
        <v>0</v>
      </c>
      <c r="J69" s="26">
        <f t="shared" si="15"/>
        <v>0</v>
      </c>
      <c r="K69" s="26">
        <f t="shared" si="16"/>
        <v>0</v>
      </c>
      <c r="L69" s="26">
        <f t="shared" si="17"/>
        <v>0</v>
      </c>
      <c r="M69" s="26">
        <f t="shared" si="18"/>
        <v>0</v>
      </c>
      <c r="N69" s="26">
        <f t="shared" si="19"/>
        <v>0</v>
      </c>
      <c r="O69" s="26">
        <f t="shared" si="20"/>
        <v>0</v>
      </c>
      <c r="P69" s="26">
        <f t="shared" si="21"/>
        <v>0</v>
      </c>
      <c r="Q69" s="26">
        <f t="shared" si="22"/>
        <v>0</v>
      </c>
      <c r="R69" s="34">
        <f t="shared" si="23"/>
        <v>0</v>
      </c>
    </row>
    <row r="70" spans="7:18" thickBot="1" x14ac:dyDescent="0.35">
      <c r="G70" s="26">
        <f t="shared" si="12"/>
        <v>0</v>
      </c>
      <c r="H70" s="26">
        <f t="shared" si="13"/>
        <v>0</v>
      </c>
      <c r="I70" s="26">
        <f t="shared" si="14"/>
        <v>0</v>
      </c>
      <c r="J70" s="26">
        <f t="shared" si="15"/>
        <v>0</v>
      </c>
      <c r="K70" s="26">
        <f t="shared" si="16"/>
        <v>0</v>
      </c>
      <c r="L70" s="26">
        <f t="shared" si="17"/>
        <v>0</v>
      </c>
      <c r="M70" s="26">
        <f t="shared" si="18"/>
        <v>0</v>
      </c>
      <c r="N70" s="26">
        <f t="shared" si="19"/>
        <v>0</v>
      </c>
      <c r="O70" s="26">
        <f t="shared" si="20"/>
        <v>0</v>
      </c>
      <c r="P70" s="26">
        <f t="shared" si="21"/>
        <v>0</v>
      </c>
      <c r="Q70" s="26">
        <f t="shared" si="22"/>
        <v>0</v>
      </c>
      <c r="R70" s="34">
        <f t="shared" si="23"/>
        <v>0</v>
      </c>
    </row>
    <row r="71" spans="7:18" thickBot="1" x14ac:dyDescent="0.35">
      <c r="G71" s="26">
        <f t="shared" si="12"/>
        <v>0</v>
      </c>
      <c r="H71" s="26">
        <f t="shared" si="13"/>
        <v>0</v>
      </c>
      <c r="I71" s="26">
        <f t="shared" si="14"/>
        <v>0</v>
      </c>
      <c r="J71" s="26">
        <f t="shared" si="15"/>
        <v>0</v>
      </c>
      <c r="K71" s="26">
        <f t="shared" si="16"/>
        <v>0</v>
      </c>
      <c r="L71" s="26">
        <f t="shared" si="17"/>
        <v>0</v>
      </c>
      <c r="M71" s="26">
        <f t="shared" si="18"/>
        <v>0</v>
      </c>
      <c r="N71" s="26">
        <f t="shared" si="19"/>
        <v>0</v>
      </c>
      <c r="O71" s="26">
        <f t="shared" si="20"/>
        <v>0</v>
      </c>
      <c r="P71" s="26">
        <f t="shared" si="21"/>
        <v>0</v>
      </c>
      <c r="Q71" s="26">
        <f t="shared" si="22"/>
        <v>0</v>
      </c>
      <c r="R71" s="34">
        <f t="shared" si="23"/>
        <v>0</v>
      </c>
    </row>
    <row r="72" spans="7:18" thickBot="1" x14ac:dyDescent="0.35">
      <c r="G72" s="26">
        <f t="shared" si="12"/>
        <v>0</v>
      </c>
      <c r="H72" s="26">
        <f t="shared" si="13"/>
        <v>0</v>
      </c>
      <c r="I72" s="26">
        <f t="shared" si="14"/>
        <v>0</v>
      </c>
      <c r="J72" s="26">
        <f t="shared" si="15"/>
        <v>0</v>
      </c>
      <c r="K72" s="26">
        <f t="shared" si="16"/>
        <v>0</v>
      </c>
      <c r="L72" s="26">
        <f t="shared" si="17"/>
        <v>0</v>
      </c>
      <c r="M72" s="26">
        <f t="shared" si="18"/>
        <v>0</v>
      </c>
      <c r="N72" s="26">
        <f t="shared" si="19"/>
        <v>0</v>
      </c>
      <c r="O72" s="26">
        <f t="shared" si="20"/>
        <v>0</v>
      </c>
      <c r="P72" s="26">
        <f t="shared" si="21"/>
        <v>0</v>
      </c>
      <c r="Q72" s="26">
        <f t="shared" si="22"/>
        <v>0</v>
      </c>
      <c r="R72" s="34">
        <f t="shared" si="23"/>
        <v>0</v>
      </c>
    </row>
    <row r="73" spans="7:18" thickBot="1" x14ac:dyDescent="0.35">
      <c r="G73" s="26">
        <f t="shared" si="12"/>
        <v>0</v>
      </c>
      <c r="H73" s="26">
        <f t="shared" si="13"/>
        <v>0</v>
      </c>
      <c r="I73" s="26">
        <f t="shared" si="14"/>
        <v>0</v>
      </c>
      <c r="J73" s="26">
        <f t="shared" si="15"/>
        <v>0</v>
      </c>
      <c r="K73" s="26">
        <f t="shared" si="16"/>
        <v>0</v>
      </c>
      <c r="L73" s="26">
        <f t="shared" si="17"/>
        <v>0</v>
      </c>
      <c r="M73" s="26">
        <f t="shared" si="18"/>
        <v>0</v>
      </c>
      <c r="N73" s="26">
        <f t="shared" si="19"/>
        <v>0</v>
      </c>
      <c r="O73" s="26">
        <f t="shared" si="20"/>
        <v>0</v>
      </c>
      <c r="P73" s="26">
        <f t="shared" si="21"/>
        <v>0</v>
      </c>
      <c r="Q73" s="26">
        <f t="shared" si="22"/>
        <v>0</v>
      </c>
      <c r="R73" s="34">
        <f t="shared" si="23"/>
        <v>0</v>
      </c>
    </row>
    <row r="74" spans="7:18" thickBot="1" x14ac:dyDescent="0.35">
      <c r="G74" s="26">
        <f t="shared" si="12"/>
        <v>0</v>
      </c>
      <c r="H74" s="26">
        <f t="shared" si="13"/>
        <v>0</v>
      </c>
      <c r="I74" s="26">
        <f t="shared" si="14"/>
        <v>0</v>
      </c>
      <c r="J74" s="26">
        <f t="shared" si="15"/>
        <v>0</v>
      </c>
      <c r="K74" s="26">
        <f t="shared" si="16"/>
        <v>0</v>
      </c>
      <c r="L74" s="26">
        <f t="shared" si="17"/>
        <v>0</v>
      </c>
      <c r="M74" s="26">
        <f t="shared" si="18"/>
        <v>0</v>
      </c>
      <c r="N74" s="26">
        <f t="shared" si="19"/>
        <v>0</v>
      </c>
      <c r="O74" s="26">
        <f t="shared" si="20"/>
        <v>0</v>
      </c>
      <c r="P74" s="26">
        <f t="shared" si="21"/>
        <v>0</v>
      </c>
      <c r="Q74" s="26">
        <f t="shared" si="22"/>
        <v>0</v>
      </c>
      <c r="R74" s="34">
        <f t="shared" si="23"/>
        <v>0</v>
      </c>
    </row>
    <row r="75" spans="7:18" thickBot="1" x14ac:dyDescent="0.35">
      <c r="G75" s="26">
        <f t="shared" si="12"/>
        <v>0</v>
      </c>
      <c r="H75" s="26">
        <f t="shared" si="13"/>
        <v>0</v>
      </c>
      <c r="I75" s="26">
        <f t="shared" si="14"/>
        <v>0</v>
      </c>
      <c r="J75" s="26">
        <f t="shared" si="15"/>
        <v>0</v>
      </c>
      <c r="K75" s="26">
        <f t="shared" si="16"/>
        <v>0</v>
      </c>
      <c r="L75" s="26">
        <f t="shared" si="17"/>
        <v>0</v>
      </c>
      <c r="M75" s="26">
        <f t="shared" si="18"/>
        <v>0</v>
      </c>
      <c r="N75" s="26">
        <f t="shared" si="19"/>
        <v>0</v>
      </c>
      <c r="O75" s="26">
        <f t="shared" si="20"/>
        <v>0</v>
      </c>
      <c r="P75" s="26">
        <f t="shared" si="21"/>
        <v>0</v>
      </c>
      <c r="Q75" s="26">
        <f t="shared" si="22"/>
        <v>0</v>
      </c>
      <c r="R75" s="34">
        <f t="shared" si="23"/>
        <v>0</v>
      </c>
    </row>
    <row r="76" spans="7:18" thickBot="1" x14ac:dyDescent="0.35">
      <c r="G76" s="26">
        <f t="shared" si="12"/>
        <v>0</v>
      </c>
      <c r="H76" s="26">
        <f t="shared" si="13"/>
        <v>0</v>
      </c>
      <c r="I76" s="26">
        <f t="shared" si="14"/>
        <v>0</v>
      </c>
      <c r="J76" s="26">
        <f t="shared" si="15"/>
        <v>0</v>
      </c>
      <c r="K76" s="26">
        <f t="shared" si="16"/>
        <v>0</v>
      </c>
      <c r="L76" s="26">
        <f t="shared" si="17"/>
        <v>0</v>
      </c>
      <c r="M76" s="26">
        <f t="shared" si="18"/>
        <v>0</v>
      </c>
      <c r="N76" s="26">
        <f t="shared" si="19"/>
        <v>0</v>
      </c>
      <c r="O76" s="26">
        <f t="shared" si="20"/>
        <v>0</v>
      </c>
      <c r="P76" s="26">
        <f t="shared" si="21"/>
        <v>0</v>
      </c>
      <c r="Q76" s="26">
        <f t="shared" si="22"/>
        <v>0</v>
      </c>
      <c r="R76" s="34">
        <f t="shared" si="23"/>
        <v>0</v>
      </c>
    </row>
    <row r="77" spans="7:18" thickBot="1" x14ac:dyDescent="0.35">
      <c r="G77" s="26">
        <f t="shared" si="12"/>
        <v>0</v>
      </c>
      <c r="H77" s="26">
        <f t="shared" si="13"/>
        <v>0</v>
      </c>
      <c r="I77" s="26">
        <f t="shared" si="14"/>
        <v>0</v>
      </c>
      <c r="J77" s="26">
        <f t="shared" si="15"/>
        <v>0</v>
      </c>
      <c r="K77" s="26">
        <f t="shared" si="16"/>
        <v>0</v>
      </c>
      <c r="L77" s="26">
        <f t="shared" si="17"/>
        <v>0</v>
      </c>
      <c r="M77" s="26">
        <f t="shared" si="18"/>
        <v>0</v>
      </c>
      <c r="N77" s="26">
        <f t="shared" si="19"/>
        <v>0</v>
      </c>
      <c r="O77" s="26">
        <f t="shared" si="20"/>
        <v>0</v>
      </c>
      <c r="P77" s="26">
        <f t="shared" si="21"/>
        <v>0</v>
      </c>
      <c r="Q77" s="26">
        <f t="shared" si="22"/>
        <v>0</v>
      </c>
      <c r="R77" s="34">
        <f t="shared" si="23"/>
        <v>0</v>
      </c>
    </row>
    <row r="78" spans="7:18" thickBot="1" x14ac:dyDescent="0.35">
      <c r="G78" s="26">
        <f t="shared" si="12"/>
        <v>0</v>
      </c>
      <c r="H78" s="26">
        <f t="shared" si="13"/>
        <v>0</v>
      </c>
      <c r="I78" s="26">
        <f t="shared" si="14"/>
        <v>0</v>
      </c>
      <c r="J78" s="26">
        <f t="shared" si="15"/>
        <v>0</v>
      </c>
      <c r="K78" s="26">
        <f t="shared" si="16"/>
        <v>0</v>
      </c>
      <c r="L78" s="26">
        <f t="shared" si="17"/>
        <v>0</v>
      </c>
      <c r="M78" s="26">
        <f t="shared" si="18"/>
        <v>0</v>
      </c>
      <c r="N78" s="26">
        <f t="shared" si="19"/>
        <v>0</v>
      </c>
      <c r="O78" s="26">
        <f t="shared" si="20"/>
        <v>0</v>
      </c>
      <c r="P78" s="26">
        <f t="shared" si="21"/>
        <v>0</v>
      </c>
      <c r="Q78" s="26">
        <f t="shared" si="22"/>
        <v>0</v>
      </c>
      <c r="R78" s="34">
        <f t="shared" si="23"/>
        <v>0</v>
      </c>
    </row>
    <row r="79" spans="7:18" thickBot="1" x14ac:dyDescent="0.35">
      <c r="G79" s="26">
        <f t="shared" si="12"/>
        <v>0</v>
      </c>
      <c r="H79" s="26">
        <f t="shared" si="13"/>
        <v>0</v>
      </c>
      <c r="I79" s="26">
        <f t="shared" si="14"/>
        <v>0</v>
      </c>
      <c r="J79" s="26">
        <f t="shared" si="15"/>
        <v>0</v>
      </c>
      <c r="K79" s="26">
        <f t="shared" si="16"/>
        <v>0</v>
      </c>
      <c r="L79" s="26">
        <f t="shared" si="17"/>
        <v>0</v>
      </c>
      <c r="M79" s="26">
        <f t="shared" si="18"/>
        <v>0</v>
      </c>
      <c r="N79" s="26">
        <f t="shared" si="19"/>
        <v>0</v>
      </c>
      <c r="O79" s="26">
        <f t="shared" si="20"/>
        <v>0</v>
      </c>
      <c r="P79" s="26">
        <f t="shared" si="21"/>
        <v>0</v>
      </c>
      <c r="Q79" s="26">
        <f t="shared" si="22"/>
        <v>0</v>
      </c>
      <c r="R79" s="34">
        <f t="shared" si="23"/>
        <v>0</v>
      </c>
    </row>
    <row r="80" spans="7:18" thickBot="1" x14ac:dyDescent="0.35">
      <c r="G80" s="26">
        <f t="shared" si="12"/>
        <v>0</v>
      </c>
      <c r="H80" s="26">
        <f t="shared" si="13"/>
        <v>0</v>
      </c>
      <c r="I80" s="26">
        <f t="shared" si="14"/>
        <v>0</v>
      </c>
      <c r="J80" s="26">
        <f t="shared" si="15"/>
        <v>0</v>
      </c>
      <c r="K80" s="26">
        <f t="shared" si="16"/>
        <v>0</v>
      </c>
      <c r="L80" s="26">
        <f t="shared" si="17"/>
        <v>0</v>
      </c>
      <c r="M80" s="26">
        <f t="shared" si="18"/>
        <v>0</v>
      </c>
      <c r="N80" s="26">
        <f t="shared" si="19"/>
        <v>0</v>
      </c>
      <c r="O80" s="26">
        <f t="shared" si="20"/>
        <v>0</v>
      </c>
      <c r="P80" s="26">
        <f t="shared" si="21"/>
        <v>0</v>
      </c>
      <c r="Q80" s="26">
        <f t="shared" si="22"/>
        <v>0</v>
      </c>
      <c r="R80" s="34">
        <f t="shared" si="23"/>
        <v>0</v>
      </c>
    </row>
    <row r="81" spans="7:18" thickBot="1" x14ac:dyDescent="0.35">
      <c r="G81" s="26">
        <f t="shared" si="12"/>
        <v>0</v>
      </c>
      <c r="H81" s="26">
        <f t="shared" si="13"/>
        <v>0</v>
      </c>
      <c r="I81" s="26">
        <f t="shared" si="14"/>
        <v>0</v>
      </c>
      <c r="J81" s="26">
        <f t="shared" si="15"/>
        <v>0</v>
      </c>
      <c r="K81" s="26">
        <f t="shared" si="16"/>
        <v>0</v>
      </c>
      <c r="L81" s="26">
        <f t="shared" si="17"/>
        <v>0</v>
      </c>
      <c r="M81" s="26">
        <f t="shared" si="18"/>
        <v>0</v>
      </c>
      <c r="N81" s="26">
        <f t="shared" si="19"/>
        <v>0</v>
      </c>
      <c r="O81" s="26">
        <f t="shared" si="20"/>
        <v>0</v>
      </c>
      <c r="P81" s="26">
        <f t="shared" si="21"/>
        <v>0</v>
      </c>
      <c r="Q81" s="26">
        <f t="shared" si="22"/>
        <v>0</v>
      </c>
      <c r="R81" s="34">
        <f t="shared" si="23"/>
        <v>0</v>
      </c>
    </row>
    <row r="82" spans="7:18" thickBot="1" x14ac:dyDescent="0.35">
      <c r="G82" s="26">
        <f t="shared" si="12"/>
        <v>0</v>
      </c>
      <c r="H82" s="26">
        <f t="shared" si="13"/>
        <v>0</v>
      </c>
      <c r="I82" s="26">
        <f t="shared" si="14"/>
        <v>0</v>
      </c>
      <c r="J82" s="26">
        <f t="shared" si="15"/>
        <v>0</v>
      </c>
      <c r="K82" s="26">
        <f t="shared" si="16"/>
        <v>0</v>
      </c>
      <c r="L82" s="26">
        <f t="shared" si="17"/>
        <v>0</v>
      </c>
      <c r="M82" s="26">
        <f t="shared" si="18"/>
        <v>0</v>
      </c>
      <c r="N82" s="26">
        <f t="shared" si="19"/>
        <v>0</v>
      </c>
      <c r="O82" s="26">
        <f t="shared" si="20"/>
        <v>0</v>
      </c>
      <c r="P82" s="26">
        <f t="shared" si="21"/>
        <v>0</v>
      </c>
      <c r="Q82" s="26">
        <f t="shared" si="22"/>
        <v>0</v>
      </c>
      <c r="R82" s="34">
        <f t="shared" si="23"/>
        <v>0</v>
      </c>
    </row>
    <row r="83" spans="7:18" thickBot="1" x14ac:dyDescent="0.35">
      <c r="G83" s="26">
        <f t="shared" si="12"/>
        <v>0</v>
      </c>
      <c r="H83" s="26">
        <f t="shared" si="13"/>
        <v>0</v>
      </c>
      <c r="I83" s="26">
        <f t="shared" si="14"/>
        <v>0</v>
      </c>
      <c r="J83" s="26">
        <f t="shared" si="15"/>
        <v>0</v>
      </c>
      <c r="K83" s="26">
        <f t="shared" si="16"/>
        <v>0</v>
      </c>
      <c r="L83" s="26">
        <f t="shared" si="17"/>
        <v>0</v>
      </c>
      <c r="M83" s="26">
        <f t="shared" si="18"/>
        <v>0</v>
      </c>
      <c r="N83" s="26">
        <f t="shared" si="19"/>
        <v>0</v>
      </c>
      <c r="O83" s="26">
        <f t="shared" si="20"/>
        <v>0</v>
      </c>
      <c r="P83" s="26">
        <f t="shared" si="21"/>
        <v>0</v>
      </c>
      <c r="Q83" s="26">
        <f t="shared" si="22"/>
        <v>0</v>
      </c>
      <c r="R83" s="34">
        <f t="shared" si="23"/>
        <v>0</v>
      </c>
    </row>
    <row r="84" spans="7:18" thickBot="1" x14ac:dyDescent="0.35">
      <c r="G84" s="26">
        <f t="shared" si="12"/>
        <v>0</v>
      </c>
      <c r="H84" s="26">
        <f t="shared" si="13"/>
        <v>0</v>
      </c>
      <c r="I84" s="26">
        <f t="shared" si="14"/>
        <v>0</v>
      </c>
      <c r="J84" s="26">
        <f t="shared" si="15"/>
        <v>0</v>
      </c>
      <c r="K84" s="26">
        <f t="shared" si="16"/>
        <v>0</v>
      </c>
      <c r="L84" s="26">
        <f t="shared" si="17"/>
        <v>0</v>
      </c>
      <c r="M84" s="26">
        <f t="shared" si="18"/>
        <v>0</v>
      </c>
      <c r="N84" s="26">
        <f t="shared" si="19"/>
        <v>0</v>
      </c>
      <c r="O84" s="26">
        <f t="shared" si="20"/>
        <v>0</v>
      </c>
      <c r="P84" s="26">
        <f t="shared" si="21"/>
        <v>0</v>
      </c>
      <c r="Q84" s="26">
        <f t="shared" si="22"/>
        <v>0</v>
      </c>
      <c r="R84" s="34">
        <f t="shared" si="23"/>
        <v>0</v>
      </c>
    </row>
    <row r="85" spans="7:18" thickBot="1" x14ac:dyDescent="0.35">
      <c r="G85" s="26">
        <f t="shared" si="12"/>
        <v>0</v>
      </c>
      <c r="H85" s="26">
        <f t="shared" si="13"/>
        <v>0</v>
      </c>
      <c r="I85" s="26">
        <f t="shared" si="14"/>
        <v>0</v>
      </c>
      <c r="J85" s="26">
        <f t="shared" si="15"/>
        <v>0</v>
      </c>
      <c r="K85" s="26">
        <f t="shared" si="16"/>
        <v>0</v>
      </c>
      <c r="L85" s="26">
        <f t="shared" si="17"/>
        <v>0</v>
      </c>
      <c r="M85" s="26">
        <f t="shared" si="18"/>
        <v>0</v>
      </c>
      <c r="N85" s="26">
        <f t="shared" si="19"/>
        <v>0</v>
      </c>
      <c r="O85" s="26">
        <f t="shared" si="20"/>
        <v>0</v>
      </c>
      <c r="P85" s="26">
        <f t="shared" si="21"/>
        <v>0</v>
      </c>
      <c r="Q85" s="26">
        <f t="shared" si="22"/>
        <v>0</v>
      </c>
      <c r="R85" s="34">
        <f t="shared" si="23"/>
        <v>0</v>
      </c>
    </row>
    <row r="86" spans="7:18" thickBot="1" x14ac:dyDescent="0.35">
      <c r="G86" s="26">
        <f t="shared" si="12"/>
        <v>0</v>
      </c>
      <c r="H86" s="26">
        <f t="shared" si="13"/>
        <v>0</v>
      </c>
      <c r="I86" s="26">
        <f t="shared" si="14"/>
        <v>0</v>
      </c>
      <c r="J86" s="26">
        <f t="shared" si="15"/>
        <v>0</v>
      </c>
      <c r="K86" s="26">
        <f t="shared" si="16"/>
        <v>0</v>
      </c>
      <c r="L86" s="26">
        <f t="shared" si="17"/>
        <v>0</v>
      </c>
      <c r="M86" s="26">
        <f t="shared" si="18"/>
        <v>0</v>
      </c>
      <c r="N86" s="26">
        <f t="shared" si="19"/>
        <v>0</v>
      </c>
      <c r="O86" s="26">
        <f t="shared" si="20"/>
        <v>0</v>
      </c>
      <c r="P86" s="26">
        <f t="shared" si="21"/>
        <v>0</v>
      </c>
      <c r="Q86" s="26">
        <f t="shared" si="22"/>
        <v>0</v>
      </c>
      <c r="R86" s="34">
        <f t="shared" si="23"/>
        <v>0</v>
      </c>
    </row>
    <row r="87" spans="7:18" thickBot="1" x14ac:dyDescent="0.35">
      <c r="G87" s="26">
        <f t="shared" si="12"/>
        <v>0</v>
      </c>
      <c r="H87" s="26">
        <f t="shared" si="13"/>
        <v>0</v>
      </c>
      <c r="I87" s="26">
        <f t="shared" si="14"/>
        <v>0</v>
      </c>
      <c r="J87" s="26">
        <f t="shared" si="15"/>
        <v>0</v>
      </c>
      <c r="K87" s="26">
        <f t="shared" si="16"/>
        <v>0</v>
      </c>
      <c r="L87" s="26">
        <f t="shared" si="17"/>
        <v>0</v>
      </c>
      <c r="M87" s="26">
        <f t="shared" si="18"/>
        <v>0</v>
      </c>
      <c r="N87" s="26">
        <f t="shared" si="19"/>
        <v>0</v>
      </c>
      <c r="O87" s="26">
        <f t="shared" si="20"/>
        <v>0</v>
      </c>
      <c r="P87" s="26">
        <f t="shared" si="21"/>
        <v>0</v>
      </c>
      <c r="Q87" s="26">
        <f t="shared" si="22"/>
        <v>0</v>
      </c>
      <c r="R87" s="34">
        <f t="shared" si="23"/>
        <v>0</v>
      </c>
    </row>
    <row r="88" spans="7:18" thickBot="1" x14ac:dyDescent="0.35">
      <c r="G88" s="26">
        <f t="shared" si="12"/>
        <v>0</v>
      </c>
      <c r="H88" s="26">
        <f t="shared" si="13"/>
        <v>0</v>
      </c>
      <c r="I88" s="26">
        <f t="shared" si="14"/>
        <v>0</v>
      </c>
      <c r="J88" s="26">
        <f t="shared" si="15"/>
        <v>0</v>
      </c>
      <c r="K88" s="26">
        <f t="shared" si="16"/>
        <v>0</v>
      </c>
      <c r="L88" s="26">
        <f t="shared" si="17"/>
        <v>0</v>
      </c>
      <c r="M88" s="26">
        <f t="shared" si="18"/>
        <v>0</v>
      </c>
      <c r="N88" s="26">
        <f t="shared" si="19"/>
        <v>0</v>
      </c>
      <c r="O88" s="26">
        <f t="shared" si="20"/>
        <v>0</v>
      </c>
      <c r="P88" s="26">
        <f t="shared" si="21"/>
        <v>0</v>
      </c>
      <c r="Q88" s="26">
        <f t="shared" si="22"/>
        <v>0</v>
      </c>
      <c r="R88" s="34">
        <f t="shared" si="23"/>
        <v>0</v>
      </c>
    </row>
    <row r="89" spans="7:18" thickBot="1" x14ac:dyDescent="0.35">
      <c r="G89" s="26">
        <f t="shared" si="12"/>
        <v>0</v>
      </c>
      <c r="H89" s="26">
        <f t="shared" si="13"/>
        <v>0</v>
      </c>
      <c r="I89" s="26">
        <f t="shared" si="14"/>
        <v>0</v>
      </c>
      <c r="J89" s="26">
        <f t="shared" si="15"/>
        <v>0</v>
      </c>
      <c r="K89" s="26">
        <f t="shared" si="16"/>
        <v>0</v>
      </c>
      <c r="L89" s="26">
        <f t="shared" si="17"/>
        <v>0</v>
      </c>
      <c r="M89" s="26">
        <f t="shared" si="18"/>
        <v>0</v>
      </c>
      <c r="N89" s="26">
        <f t="shared" si="19"/>
        <v>0</v>
      </c>
      <c r="O89" s="26">
        <f t="shared" si="20"/>
        <v>0</v>
      </c>
      <c r="P89" s="26">
        <f t="shared" si="21"/>
        <v>0</v>
      </c>
      <c r="Q89" s="26">
        <f t="shared" si="22"/>
        <v>0</v>
      </c>
      <c r="R89" s="34">
        <f t="shared" si="23"/>
        <v>0</v>
      </c>
    </row>
    <row r="90" spans="7:18" thickBot="1" x14ac:dyDescent="0.35">
      <c r="G90" s="26">
        <f t="shared" si="12"/>
        <v>0</v>
      </c>
      <c r="H90" s="26">
        <f t="shared" si="13"/>
        <v>0</v>
      </c>
      <c r="I90" s="26">
        <f t="shared" si="14"/>
        <v>0</v>
      </c>
      <c r="J90" s="26">
        <f t="shared" si="15"/>
        <v>0</v>
      </c>
      <c r="K90" s="26">
        <f t="shared" si="16"/>
        <v>0</v>
      </c>
      <c r="L90" s="26">
        <f t="shared" si="17"/>
        <v>0</v>
      </c>
      <c r="M90" s="26">
        <f t="shared" si="18"/>
        <v>0</v>
      </c>
      <c r="N90" s="26">
        <f t="shared" si="19"/>
        <v>0</v>
      </c>
      <c r="O90" s="26">
        <f t="shared" si="20"/>
        <v>0</v>
      </c>
      <c r="P90" s="26">
        <f t="shared" si="21"/>
        <v>0</v>
      </c>
      <c r="Q90" s="26">
        <f t="shared" si="22"/>
        <v>0</v>
      </c>
      <c r="R90" s="34">
        <f t="shared" si="23"/>
        <v>0</v>
      </c>
    </row>
    <row r="91" spans="7:18" thickBot="1" x14ac:dyDescent="0.35">
      <c r="G91" s="26">
        <f t="shared" si="12"/>
        <v>0</v>
      </c>
      <c r="H91" s="26">
        <f t="shared" si="13"/>
        <v>0</v>
      </c>
      <c r="I91" s="26">
        <f t="shared" si="14"/>
        <v>0</v>
      </c>
      <c r="J91" s="26">
        <f t="shared" si="15"/>
        <v>0</v>
      </c>
      <c r="K91" s="26">
        <f t="shared" si="16"/>
        <v>0</v>
      </c>
      <c r="L91" s="26">
        <f t="shared" si="17"/>
        <v>0</v>
      </c>
      <c r="M91" s="26">
        <f t="shared" si="18"/>
        <v>0</v>
      </c>
      <c r="N91" s="26">
        <f t="shared" si="19"/>
        <v>0</v>
      </c>
      <c r="O91" s="26">
        <f t="shared" si="20"/>
        <v>0</v>
      </c>
      <c r="P91" s="26">
        <f t="shared" si="21"/>
        <v>0</v>
      </c>
      <c r="Q91" s="26">
        <f t="shared" si="22"/>
        <v>0</v>
      </c>
      <c r="R91" s="34">
        <f t="shared" si="23"/>
        <v>0</v>
      </c>
    </row>
    <row r="92" spans="7:18" thickBot="1" x14ac:dyDescent="0.35">
      <c r="G92" s="26">
        <f t="shared" si="12"/>
        <v>0</v>
      </c>
      <c r="H92" s="26">
        <f t="shared" si="13"/>
        <v>0</v>
      </c>
      <c r="I92" s="26">
        <f t="shared" si="14"/>
        <v>0</v>
      </c>
      <c r="J92" s="26">
        <f t="shared" si="15"/>
        <v>0</v>
      </c>
      <c r="K92" s="26">
        <f t="shared" si="16"/>
        <v>0</v>
      </c>
      <c r="L92" s="26">
        <f t="shared" si="17"/>
        <v>0</v>
      </c>
      <c r="M92" s="26">
        <f t="shared" si="18"/>
        <v>0</v>
      </c>
      <c r="N92" s="26">
        <f t="shared" si="19"/>
        <v>0</v>
      </c>
      <c r="O92" s="26">
        <f t="shared" si="20"/>
        <v>0</v>
      </c>
      <c r="P92" s="26">
        <f t="shared" si="21"/>
        <v>0</v>
      </c>
      <c r="Q92" s="26">
        <f t="shared" si="22"/>
        <v>0</v>
      </c>
      <c r="R92" s="34">
        <f t="shared" si="23"/>
        <v>0</v>
      </c>
    </row>
    <row r="93" spans="7:18" thickBot="1" x14ac:dyDescent="0.35">
      <c r="G93" s="26">
        <f t="shared" si="12"/>
        <v>0</v>
      </c>
      <c r="H93" s="26">
        <f t="shared" si="13"/>
        <v>0</v>
      </c>
      <c r="I93" s="26">
        <f t="shared" si="14"/>
        <v>0</v>
      </c>
      <c r="J93" s="26">
        <f t="shared" si="15"/>
        <v>0</v>
      </c>
      <c r="K93" s="26">
        <f t="shared" si="16"/>
        <v>0</v>
      </c>
      <c r="L93" s="26">
        <f t="shared" si="17"/>
        <v>0</v>
      </c>
      <c r="M93" s="26">
        <f t="shared" si="18"/>
        <v>0</v>
      </c>
      <c r="N93" s="26">
        <f t="shared" si="19"/>
        <v>0</v>
      </c>
      <c r="O93" s="26">
        <f t="shared" si="20"/>
        <v>0</v>
      </c>
      <c r="P93" s="26">
        <f t="shared" si="21"/>
        <v>0</v>
      </c>
      <c r="Q93" s="26">
        <f t="shared" si="22"/>
        <v>0</v>
      </c>
      <c r="R93" s="34">
        <f t="shared" si="23"/>
        <v>0</v>
      </c>
    </row>
    <row r="94" spans="7:18" thickBot="1" x14ac:dyDescent="0.35">
      <c r="G94" s="26">
        <f t="shared" si="12"/>
        <v>0</v>
      </c>
      <c r="H94" s="26">
        <f t="shared" si="13"/>
        <v>0</v>
      </c>
      <c r="I94" s="26">
        <f t="shared" si="14"/>
        <v>0</v>
      </c>
      <c r="J94" s="26">
        <f t="shared" si="15"/>
        <v>0</v>
      </c>
      <c r="K94" s="26">
        <f t="shared" si="16"/>
        <v>0</v>
      </c>
      <c r="L94" s="26">
        <f t="shared" si="17"/>
        <v>0</v>
      </c>
      <c r="M94" s="26">
        <f t="shared" si="18"/>
        <v>0</v>
      </c>
      <c r="N94" s="26">
        <f t="shared" si="19"/>
        <v>0</v>
      </c>
      <c r="O94" s="26">
        <f t="shared" si="20"/>
        <v>0</v>
      </c>
      <c r="P94" s="26">
        <f t="shared" si="21"/>
        <v>0</v>
      </c>
      <c r="Q94" s="26">
        <f t="shared" si="22"/>
        <v>0</v>
      </c>
      <c r="R94" s="34">
        <f t="shared" si="23"/>
        <v>0</v>
      </c>
    </row>
    <row r="95" spans="7:18" thickBot="1" x14ac:dyDescent="0.35">
      <c r="G95" s="26">
        <f t="shared" si="12"/>
        <v>0</v>
      </c>
      <c r="H95" s="26">
        <f t="shared" si="13"/>
        <v>0</v>
      </c>
      <c r="I95" s="26">
        <f t="shared" si="14"/>
        <v>0</v>
      </c>
      <c r="J95" s="26">
        <f t="shared" si="15"/>
        <v>0</v>
      </c>
      <c r="K95" s="26">
        <f t="shared" si="16"/>
        <v>0</v>
      </c>
      <c r="L95" s="26">
        <f t="shared" si="17"/>
        <v>0</v>
      </c>
      <c r="M95" s="26">
        <f t="shared" si="18"/>
        <v>0</v>
      </c>
      <c r="N95" s="26">
        <f t="shared" si="19"/>
        <v>0</v>
      </c>
      <c r="O95" s="26">
        <f t="shared" si="20"/>
        <v>0</v>
      </c>
      <c r="P95" s="26">
        <f t="shared" si="21"/>
        <v>0</v>
      </c>
      <c r="Q95" s="26">
        <f t="shared" si="22"/>
        <v>0</v>
      </c>
      <c r="R95" s="34">
        <f t="shared" si="23"/>
        <v>0</v>
      </c>
    </row>
    <row r="96" spans="7:18" thickBot="1" x14ac:dyDescent="0.35">
      <c r="G96" s="26">
        <f t="shared" si="12"/>
        <v>0</v>
      </c>
      <c r="H96" s="26">
        <f t="shared" si="13"/>
        <v>0</v>
      </c>
      <c r="I96" s="26">
        <f t="shared" si="14"/>
        <v>0</v>
      </c>
      <c r="J96" s="26">
        <f t="shared" si="15"/>
        <v>0</v>
      </c>
      <c r="K96" s="26">
        <f t="shared" si="16"/>
        <v>0</v>
      </c>
      <c r="L96" s="26">
        <f t="shared" si="17"/>
        <v>0</v>
      </c>
      <c r="M96" s="26">
        <f t="shared" si="18"/>
        <v>0</v>
      </c>
      <c r="N96" s="26">
        <f t="shared" si="19"/>
        <v>0</v>
      </c>
      <c r="O96" s="26">
        <f t="shared" si="20"/>
        <v>0</v>
      </c>
      <c r="P96" s="26">
        <f t="shared" si="21"/>
        <v>0</v>
      </c>
      <c r="Q96" s="26">
        <f t="shared" si="22"/>
        <v>0</v>
      </c>
      <c r="R96" s="34">
        <f t="shared" si="23"/>
        <v>0</v>
      </c>
    </row>
    <row r="97" spans="7:18" thickBot="1" x14ac:dyDescent="0.35">
      <c r="G97" s="26">
        <f t="shared" si="12"/>
        <v>0</v>
      </c>
      <c r="H97" s="26">
        <f t="shared" si="13"/>
        <v>0</v>
      </c>
      <c r="I97" s="26">
        <f t="shared" si="14"/>
        <v>0</v>
      </c>
      <c r="J97" s="26">
        <f t="shared" si="15"/>
        <v>0</v>
      </c>
      <c r="K97" s="26">
        <f t="shared" si="16"/>
        <v>0</v>
      </c>
      <c r="L97" s="26">
        <f t="shared" si="17"/>
        <v>0</v>
      </c>
      <c r="M97" s="26">
        <f t="shared" si="18"/>
        <v>0</v>
      </c>
      <c r="N97" s="26">
        <f t="shared" si="19"/>
        <v>0</v>
      </c>
      <c r="O97" s="26">
        <f t="shared" si="20"/>
        <v>0</v>
      </c>
      <c r="P97" s="26">
        <f t="shared" si="21"/>
        <v>0</v>
      </c>
      <c r="Q97" s="26">
        <f t="shared" si="22"/>
        <v>0</v>
      </c>
      <c r="R97" s="34">
        <f t="shared" si="23"/>
        <v>0</v>
      </c>
    </row>
    <row r="98" spans="7:18" thickBot="1" x14ac:dyDescent="0.35">
      <c r="G98" s="26">
        <f t="shared" si="12"/>
        <v>0</v>
      </c>
      <c r="H98" s="26">
        <f t="shared" si="13"/>
        <v>0</v>
      </c>
      <c r="I98" s="26">
        <f t="shared" si="14"/>
        <v>0</v>
      </c>
      <c r="J98" s="26">
        <f t="shared" si="15"/>
        <v>0</v>
      </c>
      <c r="K98" s="26">
        <f t="shared" si="16"/>
        <v>0</v>
      </c>
      <c r="L98" s="26">
        <f t="shared" si="17"/>
        <v>0</v>
      </c>
      <c r="M98" s="26">
        <f t="shared" si="18"/>
        <v>0</v>
      </c>
      <c r="N98" s="26">
        <f t="shared" si="19"/>
        <v>0</v>
      </c>
      <c r="O98" s="26">
        <f t="shared" si="20"/>
        <v>0</v>
      </c>
      <c r="P98" s="26">
        <f t="shared" si="21"/>
        <v>0</v>
      </c>
      <c r="Q98" s="26">
        <f t="shared" si="22"/>
        <v>0</v>
      </c>
      <c r="R98" s="34">
        <f t="shared" si="23"/>
        <v>0</v>
      </c>
    </row>
    <row r="99" spans="7:18" thickBot="1" x14ac:dyDescent="0.35">
      <c r="G99" s="26">
        <f t="shared" si="12"/>
        <v>0</v>
      </c>
      <c r="H99" s="26">
        <f t="shared" si="13"/>
        <v>0</v>
      </c>
      <c r="I99" s="26">
        <f t="shared" si="14"/>
        <v>0</v>
      </c>
      <c r="J99" s="26">
        <f t="shared" si="15"/>
        <v>0</v>
      </c>
      <c r="K99" s="26">
        <f t="shared" si="16"/>
        <v>0</v>
      </c>
      <c r="L99" s="26">
        <f t="shared" si="17"/>
        <v>0</v>
      </c>
      <c r="M99" s="26">
        <f t="shared" si="18"/>
        <v>0</v>
      </c>
      <c r="N99" s="26">
        <f t="shared" si="19"/>
        <v>0</v>
      </c>
      <c r="O99" s="26">
        <f t="shared" si="20"/>
        <v>0</v>
      </c>
      <c r="P99" s="26">
        <f t="shared" si="21"/>
        <v>0</v>
      </c>
      <c r="Q99" s="26">
        <f t="shared" si="22"/>
        <v>0</v>
      </c>
      <c r="R99" s="34">
        <f t="shared" si="23"/>
        <v>0</v>
      </c>
    </row>
    <row r="100" spans="7:18" thickBot="1" x14ac:dyDescent="0.35">
      <c r="G100" s="26">
        <f t="shared" si="12"/>
        <v>0</v>
      </c>
      <c r="H100" s="26">
        <f t="shared" si="13"/>
        <v>0</v>
      </c>
      <c r="I100" s="26">
        <f t="shared" si="14"/>
        <v>0</v>
      </c>
      <c r="J100" s="26">
        <f t="shared" si="15"/>
        <v>0</v>
      </c>
      <c r="K100" s="26">
        <f t="shared" si="16"/>
        <v>0</v>
      </c>
      <c r="L100" s="26">
        <f t="shared" si="17"/>
        <v>0</v>
      </c>
      <c r="M100" s="26">
        <f t="shared" si="18"/>
        <v>0</v>
      </c>
      <c r="N100" s="26">
        <f t="shared" si="19"/>
        <v>0</v>
      </c>
      <c r="O100" s="26">
        <f t="shared" si="20"/>
        <v>0</v>
      </c>
      <c r="P100" s="26">
        <f t="shared" si="21"/>
        <v>0</v>
      </c>
      <c r="Q100" s="26">
        <f t="shared" si="22"/>
        <v>0</v>
      </c>
      <c r="R100" s="34">
        <f t="shared" si="23"/>
        <v>0</v>
      </c>
    </row>
    <row r="101" spans="7:18" thickBot="1" x14ac:dyDescent="0.35">
      <c r="G101" s="26">
        <f t="shared" si="12"/>
        <v>0</v>
      </c>
      <c r="H101" s="26">
        <f t="shared" si="13"/>
        <v>0</v>
      </c>
      <c r="I101" s="26">
        <f t="shared" si="14"/>
        <v>0</v>
      </c>
      <c r="J101" s="26">
        <f t="shared" si="15"/>
        <v>0</v>
      </c>
      <c r="K101" s="26">
        <f t="shared" si="16"/>
        <v>0</v>
      </c>
      <c r="L101" s="26">
        <f t="shared" si="17"/>
        <v>0</v>
      </c>
      <c r="M101" s="26">
        <f t="shared" si="18"/>
        <v>0</v>
      </c>
      <c r="N101" s="26">
        <f t="shared" si="19"/>
        <v>0</v>
      </c>
      <c r="O101" s="26">
        <f t="shared" si="20"/>
        <v>0</v>
      </c>
      <c r="P101" s="26">
        <f t="shared" si="21"/>
        <v>0</v>
      </c>
      <c r="Q101" s="26">
        <f t="shared" si="22"/>
        <v>0</v>
      </c>
      <c r="R101" s="34">
        <f t="shared" si="23"/>
        <v>0</v>
      </c>
    </row>
    <row r="102" spans="7:18" thickBot="1" x14ac:dyDescent="0.35">
      <c r="G102" s="26">
        <f t="shared" si="12"/>
        <v>0</v>
      </c>
      <c r="H102" s="26">
        <f t="shared" si="13"/>
        <v>0</v>
      </c>
      <c r="I102" s="26">
        <f t="shared" si="14"/>
        <v>0</v>
      </c>
      <c r="J102" s="26">
        <f t="shared" si="15"/>
        <v>0</v>
      </c>
      <c r="K102" s="26">
        <f t="shared" si="16"/>
        <v>0</v>
      </c>
      <c r="L102" s="26">
        <f t="shared" si="17"/>
        <v>0</v>
      </c>
      <c r="M102" s="26">
        <f t="shared" si="18"/>
        <v>0</v>
      </c>
      <c r="N102" s="26">
        <f t="shared" si="19"/>
        <v>0</v>
      </c>
      <c r="O102" s="26">
        <f t="shared" si="20"/>
        <v>0</v>
      </c>
      <c r="P102" s="26">
        <f t="shared" si="21"/>
        <v>0</v>
      </c>
      <c r="Q102" s="26">
        <f t="shared" si="22"/>
        <v>0</v>
      </c>
      <c r="R102" s="34">
        <f t="shared" si="23"/>
        <v>0</v>
      </c>
    </row>
    <row r="103" spans="7:18" thickBot="1" x14ac:dyDescent="0.35">
      <c r="G103" s="26">
        <f t="shared" si="12"/>
        <v>0</v>
      </c>
      <c r="H103" s="26">
        <f t="shared" si="13"/>
        <v>0</v>
      </c>
      <c r="I103" s="26">
        <f t="shared" si="14"/>
        <v>0</v>
      </c>
      <c r="J103" s="26">
        <f t="shared" si="15"/>
        <v>0</v>
      </c>
      <c r="K103" s="26">
        <f t="shared" si="16"/>
        <v>0</v>
      </c>
      <c r="L103" s="26">
        <f t="shared" si="17"/>
        <v>0</v>
      </c>
      <c r="M103" s="26">
        <f t="shared" si="18"/>
        <v>0</v>
      </c>
      <c r="N103" s="26">
        <f t="shared" si="19"/>
        <v>0</v>
      </c>
      <c r="O103" s="26">
        <f t="shared" si="20"/>
        <v>0</v>
      </c>
      <c r="P103" s="26">
        <f t="shared" si="21"/>
        <v>0</v>
      </c>
      <c r="Q103" s="26">
        <f t="shared" si="22"/>
        <v>0</v>
      </c>
      <c r="R103" s="34">
        <f t="shared" si="23"/>
        <v>0</v>
      </c>
    </row>
    <row r="104" spans="7:18" thickBot="1" x14ac:dyDescent="0.35">
      <c r="G104" s="26">
        <f t="shared" si="12"/>
        <v>0</v>
      </c>
      <c r="H104" s="26">
        <f t="shared" si="13"/>
        <v>0</v>
      </c>
      <c r="I104" s="26">
        <f t="shared" si="14"/>
        <v>0</v>
      </c>
      <c r="J104" s="26">
        <f t="shared" si="15"/>
        <v>0</v>
      </c>
      <c r="K104" s="26">
        <f t="shared" si="16"/>
        <v>0</v>
      </c>
      <c r="L104" s="26">
        <f t="shared" si="17"/>
        <v>0</v>
      </c>
      <c r="M104" s="26">
        <f t="shared" si="18"/>
        <v>0</v>
      </c>
      <c r="N104" s="26">
        <f t="shared" si="19"/>
        <v>0</v>
      </c>
      <c r="O104" s="26">
        <f t="shared" si="20"/>
        <v>0</v>
      </c>
      <c r="P104" s="26">
        <f t="shared" si="21"/>
        <v>0</v>
      </c>
      <c r="Q104" s="26">
        <f t="shared" si="22"/>
        <v>0</v>
      </c>
      <c r="R104" s="34">
        <f t="shared" si="23"/>
        <v>0</v>
      </c>
    </row>
    <row r="105" spans="7:18" thickBot="1" x14ac:dyDescent="0.35">
      <c r="G105" s="26">
        <f t="shared" si="12"/>
        <v>0</v>
      </c>
      <c r="H105" s="26">
        <f t="shared" si="13"/>
        <v>0</v>
      </c>
      <c r="I105" s="26">
        <f t="shared" si="14"/>
        <v>0</v>
      </c>
      <c r="J105" s="26">
        <f t="shared" si="15"/>
        <v>0</v>
      </c>
      <c r="K105" s="26">
        <f t="shared" si="16"/>
        <v>0</v>
      </c>
      <c r="L105" s="26">
        <f t="shared" si="17"/>
        <v>0</v>
      </c>
      <c r="M105" s="26">
        <f t="shared" si="18"/>
        <v>0</v>
      </c>
      <c r="N105" s="26">
        <f t="shared" si="19"/>
        <v>0</v>
      </c>
      <c r="O105" s="26">
        <f t="shared" si="20"/>
        <v>0</v>
      </c>
      <c r="P105" s="26">
        <f t="shared" si="21"/>
        <v>0</v>
      </c>
      <c r="Q105" s="26">
        <f t="shared" si="22"/>
        <v>0</v>
      </c>
      <c r="R105" s="34">
        <f t="shared" si="23"/>
        <v>0</v>
      </c>
    </row>
    <row r="106" spans="7:18" thickBot="1" x14ac:dyDescent="0.35">
      <c r="G106" s="26">
        <f t="shared" si="12"/>
        <v>0</v>
      </c>
      <c r="H106" s="26">
        <f t="shared" si="13"/>
        <v>0</v>
      </c>
      <c r="I106" s="26">
        <f t="shared" si="14"/>
        <v>0</v>
      </c>
      <c r="J106" s="26">
        <f t="shared" si="15"/>
        <v>0</v>
      </c>
      <c r="K106" s="26">
        <f t="shared" si="16"/>
        <v>0</v>
      </c>
      <c r="L106" s="26">
        <f t="shared" si="17"/>
        <v>0</v>
      </c>
      <c r="M106" s="26">
        <f t="shared" si="18"/>
        <v>0</v>
      </c>
      <c r="N106" s="26">
        <f t="shared" si="19"/>
        <v>0</v>
      </c>
      <c r="O106" s="26">
        <f t="shared" si="20"/>
        <v>0</v>
      </c>
      <c r="P106" s="26">
        <f t="shared" si="21"/>
        <v>0</v>
      </c>
      <c r="Q106" s="26">
        <f t="shared" si="22"/>
        <v>0</v>
      </c>
      <c r="R106" s="34">
        <f t="shared" si="23"/>
        <v>0</v>
      </c>
    </row>
    <row r="107" spans="7:18" thickBot="1" x14ac:dyDescent="0.35">
      <c r="G107" s="26">
        <f t="shared" si="12"/>
        <v>0</v>
      </c>
      <c r="H107" s="26">
        <f t="shared" si="13"/>
        <v>0</v>
      </c>
      <c r="I107" s="26">
        <f t="shared" si="14"/>
        <v>0</v>
      </c>
      <c r="J107" s="26">
        <f t="shared" si="15"/>
        <v>0</v>
      </c>
      <c r="K107" s="26">
        <f t="shared" si="16"/>
        <v>0</v>
      </c>
      <c r="L107" s="26">
        <f t="shared" si="17"/>
        <v>0</v>
      </c>
      <c r="M107" s="26">
        <f t="shared" si="18"/>
        <v>0</v>
      </c>
      <c r="N107" s="26">
        <f t="shared" si="19"/>
        <v>0</v>
      </c>
      <c r="O107" s="26">
        <f t="shared" si="20"/>
        <v>0</v>
      </c>
      <c r="P107" s="26">
        <f t="shared" si="21"/>
        <v>0</v>
      </c>
      <c r="Q107" s="26">
        <f t="shared" si="22"/>
        <v>0</v>
      </c>
      <c r="R107" s="34">
        <f t="shared" si="23"/>
        <v>0</v>
      </c>
    </row>
    <row r="108" spans="7:18" thickBot="1" x14ac:dyDescent="0.35">
      <c r="G108" s="26">
        <f t="shared" si="12"/>
        <v>0</v>
      </c>
      <c r="H108" s="26">
        <f t="shared" si="13"/>
        <v>0</v>
      </c>
      <c r="I108" s="26">
        <f t="shared" si="14"/>
        <v>0</v>
      </c>
      <c r="J108" s="26">
        <f t="shared" si="15"/>
        <v>0</v>
      </c>
      <c r="K108" s="26">
        <f t="shared" si="16"/>
        <v>0</v>
      </c>
      <c r="L108" s="26">
        <f t="shared" si="17"/>
        <v>0</v>
      </c>
      <c r="M108" s="26">
        <f t="shared" si="18"/>
        <v>0</v>
      </c>
      <c r="N108" s="26">
        <f t="shared" si="19"/>
        <v>0</v>
      </c>
      <c r="O108" s="26">
        <f t="shared" si="20"/>
        <v>0</v>
      </c>
      <c r="P108" s="26">
        <f t="shared" si="21"/>
        <v>0</v>
      </c>
      <c r="Q108" s="26">
        <f t="shared" si="22"/>
        <v>0</v>
      </c>
      <c r="R108" s="34">
        <f t="shared" si="23"/>
        <v>0</v>
      </c>
    </row>
    <row r="109" spans="7:18" thickBot="1" x14ac:dyDescent="0.35">
      <c r="G109" s="26">
        <f t="shared" si="12"/>
        <v>0</v>
      </c>
      <c r="H109" s="26">
        <f t="shared" si="13"/>
        <v>0</v>
      </c>
      <c r="I109" s="26">
        <f t="shared" si="14"/>
        <v>0</v>
      </c>
      <c r="J109" s="26">
        <f t="shared" si="15"/>
        <v>0</v>
      </c>
      <c r="K109" s="26">
        <f t="shared" si="16"/>
        <v>0</v>
      </c>
      <c r="L109" s="26">
        <f t="shared" si="17"/>
        <v>0</v>
      </c>
      <c r="M109" s="26">
        <f t="shared" si="18"/>
        <v>0</v>
      </c>
      <c r="N109" s="26">
        <f t="shared" si="19"/>
        <v>0</v>
      </c>
      <c r="O109" s="26">
        <f t="shared" si="20"/>
        <v>0</v>
      </c>
      <c r="P109" s="26">
        <f t="shared" si="21"/>
        <v>0</v>
      </c>
      <c r="Q109" s="26">
        <f t="shared" si="22"/>
        <v>0</v>
      </c>
      <c r="R109" s="34">
        <f t="shared" si="23"/>
        <v>0</v>
      </c>
    </row>
    <row r="110" spans="7:18" thickBot="1" x14ac:dyDescent="0.35">
      <c r="G110" s="26">
        <f t="shared" si="12"/>
        <v>0</v>
      </c>
      <c r="H110" s="26">
        <f t="shared" si="13"/>
        <v>0</v>
      </c>
      <c r="I110" s="26">
        <f t="shared" si="14"/>
        <v>0</v>
      </c>
      <c r="J110" s="26">
        <f t="shared" si="15"/>
        <v>0</v>
      </c>
      <c r="K110" s="26">
        <f t="shared" si="16"/>
        <v>0</v>
      </c>
      <c r="L110" s="26">
        <f t="shared" si="17"/>
        <v>0</v>
      </c>
      <c r="M110" s="26">
        <f t="shared" si="18"/>
        <v>0</v>
      </c>
      <c r="N110" s="26">
        <f t="shared" si="19"/>
        <v>0</v>
      </c>
      <c r="O110" s="26">
        <f t="shared" si="20"/>
        <v>0</v>
      </c>
      <c r="P110" s="26">
        <f t="shared" si="21"/>
        <v>0</v>
      </c>
      <c r="Q110" s="26">
        <f t="shared" si="22"/>
        <v>0</v>
      </c>
      <c r="R110" s="34">
        <f t="shared" si="23"/>
        <v>0</v>
      </c>
    </row>
    <row r="111" spans="7:18" thickBot="1" x14ac:dyDescent="0.35">
      <c r="G111" s="26">
        <f t="shared" si="12"/>
        <v>0</v>
      </c>
      <c r="H111" s="26">
        <f t="shared" si="13"/>
        <v>0</v>
      </c>
      <c r="I111" s="26">
        <f t="shared" si="14"/>
        <v>0</v>
      </c>
      <c r="J111" s="26">
        <f t="shared" si="15"/>
        <v>0</v>
      </c>
      <c r="K111" s="26">
        <f t="shared" si="16"/>
        <v>0</v>
      </c>
      <c r="L111" s="26">
        <f t="shared" si="17"/>
        <v>0</v>
      </c>
      <c r="M111" s="26">
        <f t="shared" si="18"/>
        <v>0</v>
      </c>
      <c r="N111" s="26">
        <f t="shared" si="19"/>
        <v>0</v>
      </c>
      <c r="O111" s="26">
        <f t="shared" si="20"/>
        <v>0</v>
      </c>
      <c r="P111" s="26">
        <f t="shared" si="21"/>
        <v>0</v>
      </c>
      <c r="Q111" s="26">
        <f t="shared" si="22"/>
        <v>0</v>
      </c>
      <c r="R111" s="34">
        <f t="shared" si="23"/>
        <v>0</v>
      </c>
    </row>
    <row r="112" spans="7:18" thickBot="1" x14ac:dyDescent="0.35">
      <c r="G112" s="26">
        <f t="shared" si="12"/>
        <v>0</v>
      </c>
      <c r="H112" s="26">
        <f t="shared" si="13"/>
        <v>0</v>
      </c>
      <c r="I112" s="26">
        <f t="shared" si="14"/>
        <v>0</v>
      </c>
      <c r="J112" s="26">
        <f t="shared" si="15"/>
        <v>0</v>
      </c>
      <c r="K112" s="26">
        <f t="shared" si="16"/>
        <v>0</v>
      </c>
      <c r="L112" s="26">
        <f t="shared" si="17"/>
        <v>0</v>
      </c>
      <c r="M112" s="26">
        <f t="shared" si="18"/>
        <v>0</v>
      </c>
      <c r="N112" s="26">
        <f t="shared" si="19"/>
        <v>0</v>
      </c>
      <c r="O112" s="26">
        <f t="shared" si="20"/>
        <v>0</v>
      </c>
      <c r="P112" s="26">
        <f t="shared" si="21"/>
        <v>0</v>
      </c>
      <c r="Q112" s="26">
        <f t="shared" si="22"/>
        <v>0</v>
      </c>
      <c r="R112" s="34">
        <f t="shared" si="23"/>
        <v>0</v>
      </c>
    </row>
    <row r="113" spans="7:18" thickBot="1" x14ac:dyDescent="0.35">
      <c r="G113" s="26">
        <f t="shared" si="12"/>
        <v>0</v>
      </c>
      <c r="H113" s="26">
        <f t="shared" si="13"/>
        <v>0</v>
      </c>
      <c r="I113" s="26">
        <f t="shared" si="14"/>
        <v>0</v>
      </c>
      <c r="J113" s="26">
        <f t="shared" si="15"/>
        <v>0</v>
      </c>
      <c r="K113" s="26">
        <f t="shared" si="16"/>
        <v>0</v>
      </c>
      <c r="L113" s="26">
        <f t="shared" si="17"/>
        <v>0</v>
      </c>
      <c r="M113" s="26">
        <f t="shared" si="18"/>
        <v>0</v>
      </c>
      <c r="N113" s="26">
        <f t="shared" si="19"/>
        <v>0</v>
      </c>
      <c r="O113" s="26">
        <f t="shared" si="20"/>
        <v>0</v>
      </c>
      <c r="P113" s="26">
        <f t="shared" si="21"/>
        <v>0</v>
      </c>
      <c r="Q113" s="26">
        <f t="shared" si="22"/>
        <v>0</v>
      </c>
      <c r="R113" s="34">
        <f t="shared" si="23"/>
        <v>0</v>
      </c>
    </row>
    <row r="114" spans="7:18" thickBot="1" x14ac:dyDescent="0.35">
      <c r="G114" s="26">
        <f t="shared" si="12"/>
        <v>0</v>
      </c>
      <c r="H114" s="26">
        <f t="shared" si="13"/>
        <v>0</v>
      </c>
      <c r="I114" s="26">
        <f t="shared" si="14"/>
        <v>0</v>
      </c>
      <c r="J114" s="26">
        <f t="shared" si="15"/>
        <v>0</v>
      </c>
      <c r="K114" s="26">
        <f t="shared" si="16"/>
        <v>0</v>
      </c>
      <c r="L114" s="26">
        <f t="shared" si="17"/>
        <v>0</v>
      </c>
      <c r="M114" s="26">
        <f t="shared" si="18"/>
        <v>0</v>
      </c>
      <c r="N114" s="26">
        <f t="shared" si="19"/>
        <v>0</v>
      </c>
      <c r="O114" s="26">
        <f t="shared" si="20"/>
        <v>0</v>
      </c>
      <c r="P114" s="26">
        <f t="shared" si="21"/>
        <v>0</v>
      </c>
      <c r="Q114" s="26">
        <f t="shared" si="22"/>
        <v>0</v>
      </c>
      <c r="R114" s="34">
        <f t="shared" si="23"/>
        <v>0</v>
      </c>
    </row>
    <row r="115" spans="7:18" thickBot="1" x14ac:dyDescent="0.35">
      <c r="G115" s="26">
        <f t="shared" si="12"/>
        <v>0</v>
      </c>
      <c r="H115" s="26">
        <f t="shared" si="13"/>
        <v>0</v>
      </c>
      <c r="I115" s="26">
        <f t="shared" si="14"/>
        <v>0</v>
      </c>
      <c r="J115" s="26">
        <f t="shared" si="15"/>
        <v>0</v>
      </c>
      <c r="K115" s="26">
        <f t="shared" si="16"/>
        <v>0</v>
      </c>
      <c r="L115" s="26">
        <f t="shared" si="17"/>
        <v>0</v>
      </c>
      <c r="M115" s="26">
        <f t="shared" si="18"/>
        <v>0</v>
      </c>
      <c r="N115" s="26">
        <f t="shared" si="19"/>
        <v>0</v>
      </c>
      <c r="O115" s="26">
        <f t="shared" si="20"/>
        <v>0</v>
      </c>
      <c r="P115" s="26">
        <f t="shared" si="21"/>
        <v>0</v>
      </c>
      <c r="Q115" s="26">
        <f t="shared" si="22"/>
        <v>0</v>
      </c>
      <c r="R115" s="34">
        <f t="shared" si="23"/>
        <v>0</v>
      </c>
    </row>
    <row r="116" spans="7:18" thickBot="1" x14ac:dyDescent="0.35">
      <c r="G116" s="26">
        <f t="shared" si="12"/>
        <v>0</v>
      </c>
      <c r="H116" s="26">
        <f t="shared" si="13"/>
        <v>0</v>
      </c>
      <c r="I116" s="26">
        <f t="shared" si="14"/>
        <v>0</v>
      </c>
      <c r="J116" s="26">
        <f t="shared" si="15"/>
        <v>0</v>
      </c>
      <c r="K116" s="26">
        <f t="shared" si="16"/>
        <v>0</v>
      </c>
      <c r="L116" s="26">
        <f t="shared" si="17"/>
        <v>0</v>
      </c>
      <c r="M116" s="26">
        <f t="shared" si="18"/>
        <v>0</v>
      </c>
      <c r="N116" s="26">
        <f t="shared" si="19"/>
        <v>0</v>
      </c>
      <c r="O116" s="26">
        <f t="shared" si="20"/>
        <v>0</v>
      </c>
      <c r="P116" s="26">
        <f t="shared" si="21"/>
        <v>0</v>
      </c>
      <c r="Q116" s="26">
        <f t="shared" si="22"/>
        <v>0</v>
      </c>
      <c r="R116" s="34">
        <f t="shared" si="23"/>
        <v>0</v>
      </c>
    </row>
    <row r="117" spans="7:18" thickBot="1" x14ac:dyDescent="0.35">
      <c r="G117" s="26">
        <f t="shared" si="12"/>
        <v>0</v>
      </c>
      <c r="H117" s="26">
        <f t="shared" si="13"/>
        <v>0</v>
      </c>
      <c r="I117" s="26">
        <f t="shared" si="14"/>
        <v>0</v>
      </c>
      <c r="J117" s="26">
        <f t="shared" si="15"/>
        <v>0</v>
      </c>
      <c r="K117" s="26">
        <f t="shared" si="16"/>
        <v>0</v>
      </c>
      <c r="L117" s="26">
        <f t="shared" si="17"/>
        <v>0</v>
      </c>
      <c r="M117" s="26">
        <f t="shared" si="18"/>
        <v>0</v>
      </c>
      <c r="N117" s="26">
        <f t="shared" si="19"/>
        <v>0</v>
      </c>
      <c r="O117" s="26">
        <f t="shared" si="20"/>
        <v>0</v>
      </c>
      <c r="P117" s="26">
        <f t="shared" si="21"/>
        <v>0</v>
      </c>
      <c r="Q117" s="26">
        <f t="shared" si="22"/>
        <v>0</v>
      </c>
      <c r="R117" s="34">
        <f t="shared" si="23"/>
        <v>0</v>
      </c>
    </row>
    <row r="118" spans="7:18" thickBot="1" x14ac:dyDescent="0.35">
      <c r="G118" s="26">
        <f t="shared" si="12"/>
        <v>0</v>
      </c>
      <c r="H118" s="26">
        <f t="shared" si="13"/>
        <v>0</v>
      </c>
      <c r="I118" s="26">
        <f t="shared" si="14"/>
        <v>0</v>
      </c>
      <c r="J118" s="26">
        <f t="shared" si="15"/>
        <v>0</v>
      </c>
      <c r="K118" s="26">
        <f t="shared" si="16"/>
        <v>0</v>
      </c>
      <c r="L118" s="26">
        <f t="shared" si="17"/>
        <v>0</v>
      </c>
      <c r="M118" s="26">
        <f t="shared" si="18"/>
        <v>0</v>
      </c>
      <c r="N118" s="26">
        <f t="shared" si="19"/>
        <v>0</v>
      </c>
      <c r="O118" s="26">
        <f t="shared" si="20"/>
        <v>0</v>
      </c>
      <c r="P118" s="26">
        <f t="shared" si="21"/>
        <v>0</v>
      </c>
      <c r="Q118" s="26">
        <f t="shared" si="22"/>
        <v>0</v>
      </c>
      <c r="R118" s="34">
        <f t="shared" si="23"/>
        <v>0</v>
      </c>
    </row>
    <row r="119" spans="7:18" thickBot="1" x14ac:dyDescent="0.35">
      <c r="G119" s="26">
        <f t="shared" si="12"/>
        <v>0</v>
      </c>
      <c r="H119" s="26">
        <f t="shared" si="13"/>
        <v>0</v>
      </c>
      <c r="I119" s="26">
        <f t="shared" si="14"/>
        <v>0</v>
      </c>
      <c r="J119" s="26">
        <f t="shared" si="15"/>
        <v>0</v>
      </c>
      <c r="K119" s="26">
        <f t="shared" si="16"/>
        <v>0</v>
      </c>
      <c r="L119" s="26">
        <f t="shared" si="17"/>
        <v>0</v>
      </c>
      <c r="M119" s="26">
        <f t="shared" si="18"/>
        <v>0</v>
      </c>
      <c r="N119" s="26">
        <f t="shared" si="19"/>
        <v>0</v>
      </c>
      <c r="O119" s="26">
        <f t="shared" si="20"/>
        <v>0</v>
      </c>
      <c r="P119" s="26">
        <f t="shared" si="21"/>
        <v>0</v>
      </c>
      <c r="Q119" s="26">
        <f t="shared" si="22"/>
        <v>0</v>
      </c>
      <c r="R119" s="34">
        <f t="shared" si="23"/>
        <v>0</v>
      </c>
    </row>
    <row r="120" spans="7:18" thickBot="1" x14ac:dyDescent="0.35">
      <c r="G120" s="26">
        <f t="shared" si="12"/>
        <v>0</v>
      </c>
      <c r="H120" s="26">
        <f t="shared" si="13"/>
        <v>0</v>
      </c>
      <c r="I120" s="26">
        <f t="shared" si="14"/>
        <v>0</v>
      </c>
      <c r="J120" s="26">
        <f t="shared" si="15"/>
        <v>0</v>
      </c>
      <c r="K120" s="26">
        <f t="shared" si="16"/>
        <v>0</v>
      </c>
      <c r="L120" s="26">
        <f t="shared" si="17"/>
        <v>0</v>
      </c>
      <c r="M120" s="26">
        <f t="shared" si="18"/>
        <v>0</v>
      </c>
      <c r="N120" s="26">
        <f t="shared" si="19"/>
        <v>0</v>
      </c>
      <c r="O120" s="26">
        <f t="shared" si="20"/>
        <v>0</v>
      </c>
      <c r="P120" s="26">
        <f t="shared" si="21"/>
        <v>0</v>
      </c>
      <c r="Q120" s="26">
        <f t="shared" si="22"/>
        <v>0</v>
      </c>
      <c r="R120" s="34">
        <f t="shared" si="23"/>
        <v>0</v>
      </c>
    </row>
    <row r="121" spans="7:18" thickBot="1" x14ac:dyDescent="0.35">
      <c r="G121" s="26">
        <f t="shared" si="12"/>
        <v>0</v>
      </c>
      <c r="H121" s="26">
        <f t="shared" si="13"/>
        <v>0</v>
      </c>
      <c r="I121" s="26">
        <f t="shared" si="14"/>
        <v>0</v>
      </c>
      <c r="J121" s="26">
        <f t="shared" si="15"/>
        <v>0</v>
      </c>
      <c r="K121" s="26">
        <f t="shared" si="16"/>
        <v>0</v>
      </c>
      <c r="L121" s="26">
        <f t="shared" si="17"/>
        <v>0</v>
      </c>
      <c r="M121" s="26">
        <f t="shared" si="18"/>
        <v>0</v>
      </c>
      <c r="N121" s="26">
        <f t="shared" si="19"/>
        <v>0</v>
      </c>
      <c r="O121" s="26">
        <f t="shared" si="20"/>
        <v>0</v>
      </c>
      <c r="P121" s="26">
        <f t="shared" si="21"/>
        <v>0</v>
      </c>
      <c r="Q121" s="26">
        <f t="shared" si="22"/>
        <v>0</v>
      </c>
      <c r="R121" s="34">
        <f t="shared" si="23"/>
        <v>0</v>
      </c>
    </row>
    <row r="122" spans="7:18" thickBot="1" x14ac:dyDescent="0.35">
      <c r="G122" s="26">
        <f t="shared" si="12"/>
        <v>0</v>
      </c>
      <c r="H122" s="26">
        <f t="shared" si="13"/>
        <v>0</v>
      </c>
      <c r="I122" s="26">
        <f t="shared" si="14"/>
        <v>0</v>
      </c>
      <c r="J122" s="26">
        <f t="shared" si="15"/>
        <v>0</v>
      </c>
      <c r="K122" s="26">
        <f t="shared" si="16"/>
        <v>0</v>
      </c>
      <c r="L122" s="26">
        <f t="shared" si="17"/>
        <v>0</v>
      </c>
      <c r="M122" s="26">
        <f t="shared" si="18"/>
        <v>0</v>
      </c>
      <c r="N122" s="26">
        <f t="shared" si="19"/>
        <v>0</v>
      </c>
      <c r="O122" s="26">
        <f t="shared" si="20"/>
        <v>0</v>
      </c>
      <c r="P122" s="26">
        <f t="shared" si="21"/>
        <v>0</v>
      </c>
      <c r="Q122" s="26">
        <f t="shared" si="22"/>
        <v>0</v>
      </c>
      <c r="R122" s="34">
        <f t="shared" si="23"/>
        <v>0</v>
      </c>
    </row>
    <row r="123" spans="7:18" thickBot="1" x14ac:dyDescent="0.35">
      <c r="G123" s="26">
        <f t="shared" si="12"/>
        <v>0</v>
      </c>
      <c r="H123" s="26">
        <f t="shared" si="13"/>
        <v>0</v>
      </c>
      <c r="I123" s="26">
        <f t="shared" si="14"/>
        <v>0</v>
      </c>
      <c r="J123" s="26">
        <f t="shared" si="15"/>
        <v>0</v>
      </c>
      <c r="K123" s="26">
        <f t="shared" si="16"/>
        <v>0</v>
      </c>
      <c r="L123" s="26">
        <f t="shared" si="17"/>
        <v>0</v>
      </c>
      <c r="M123" s="26">
        <f t="shared" si="18"/>
        <v>0</v>
      </c>
      <c r="N123" s="26">
        <f t="shared" si="19"/>
        <v>0</v>
      </c>
      <c r="O123" s="26">
        <f t="shared" si="20"/>
        <v>0</v>
      </c>
      <c r="P123" s="26">
        <f t="shared" si="21"/>
        <v>0</v>
      </c>
      <c r="Q123" s="26">
        <f t="shared" si="22"/>
        <v>0</v>
      </c>
      <c r="R123" s="34">
        <f t="shared" si="23"/>
        <v>0</v>
      </c>
    </row>
    <row r="124" spans="7:18" thickBot="1" x14ac:dyDescent="0.35">
      <c r="G124" s="26">
        <f t="shared" si="12"/>
        <v>0</v>
      </c>
      <c r="H124" s="26">
        <f t="shared" si="13"/>
        <v>0</v>
      </c>
      <c r="I124" s="26">
        <f t="shared" si="14"/>
        <v>0</v>
      </c>
      <c r="J124" s="26">
        <f t="shared" si="15"/>
        <v>0</v>
      </c>
      <c r="K124" s="26">
        <f t="shared" si="16"/>
        <v>0</v>
      </c>
      <c r="L124" s="26">
        <f t="shared" si="17"/>
        <v>0</v>
      </c>
      <c r="M124" s="26">
        <f t="shared" si="18"/>
        <v>0</v>
      </c>
      <c r="N124" s="26">
        <f t="shared" si="19"/>
        <v>0</v>
      </c>
      <c r="O124" s="26">
        <f t="shared" si="20"/>
        <v>0</v>
      </c>
      <c r="P124" s="26">
        <f t="shared" si="21"/>
        <v>0</v>
      </c>
      <c r="Q124" s="26">
        <f t="shared" si="22"/>
        <v>0</v>
      </c>
      <c r="R124" s="34">
        <f t="shared" si="23"/>
        <v>0</v>
      </c>
    </row>
    <row r="125" spans="7:18" thickBot="1" x14ac:dyDescent="0.35">
      <c r="G125" s="26">
        <f t="shared" si="12"/>
        <v>0</v>
      </c>
      <c r="H125" s="26">
        <f t="shared" si="13"/>
        <v>0</v>
      </c>
      <c r="I125" s="26">
        <f t="shared" si="14"/>
        <v>0</v>
      </c>
      <c r="J125" s="26">
        <f t="shared" si="15"/>
        <v>0</v>
      </c>
      <c r="K125" s="26">
        <f t="shared" si="16"/>
        <v>0</v>
      </c>
      <c r="L125" s="26">
        <f t="shared" si="17"/>
        <v>0</v>
      </c>
      <c r="M125" s="26">
        <f t="shared" si="18"/>
        <v>0</v>
      </c>
      <c r="N125" s="26">
        <f t="shared" si="19"/>
        <v>0</v>
      </c>
      <c r="O125" s="26">
        <f t="shared" si="20"/>
        <v>0</v>
      </c>
      <c r="P125" s="26">
        <f t="shared" si="21"/>
        <v>0</v>
      </c>
      <c r="Q125" s="26">
        <f t="shared" si="22"/>
        <v>0</v>
      </c>
      <c r="R125" s="34">
        <f t="shared" si="23"/>
        <v>0</v>
      </c>
    </row>
    <row r="126" spans="7:18" thickBot="1" x14ac:dyDescent="0.35">
      <c r="G126" s="26">
        <f t="shared" si="12"/>
        <v>0</v>
      </c>
      <c r="H126" s="26">
        <f t="shared" si="13"/>
        <v>0</v>
      </c>
      <c r="I126" s="26">
        <f t="shared" si="14"/>
        <v>0</v>
      </c>
      <c r="J126" s="26">
        <f t="shared" si="15"/>
        <v>0</v>
      </c>
      <c r="K126" s="26">
        <f t="shared" si="16"/>
        <v>0</v>
      </c>
      <c r="L126" s="26">
        <f t="shared" si="17"/>
        <v>0</v>
      </c>
      <c r="M126" s="26">
        <f t="shared" si="18"/>
        <v>0</v>
      </c>
      <c r="N126" s="26">
        <f t="shared" si="19"/>
        <v>0</v>
      </c>
      <c r="O126" s="26">
        <f t="shared" si="20"/>
        <v>0</v>
      </c>
      <c r="P126" s="26">
        <f t="shared" si="21"/>
        <v>0</v>
      </c>
      <c r="Q126" s="26">
        <f t="shared" si="22"/>
        <v>0</v>
      </c>
      <c r="R126" s="34">
        <f t="shared" si="23"/>
        <v>0</v>
      </c>
    </row>
    <row r="127" spans="7:18" thickBot="1" x14ac:dyDescent="0.35">
      <c r="G127" s="26">
        <f t="shared" si="12"/>
        <v>0</v>
      </c>
      <c r="H127" s="26">
        <f t="shared" si="13"/>
        <v>0</v>
      </c>
      <c r="I127" s="26">
        <f t="shared" si="14"/>
        <v>0</v>
      </c>
      <c r="J127" s="26">
        <f t="shared" si="15"/>
        <v>0</v>
      </c>
      <c r="K127" s="26">
        <f t="shared" si="16"/>
        <v>0</v>
      </c>
      <c r="L127" s="26">
        <f t="shared" si="17"/>
        <v>0</v>
      </c>
      <c r="M127" s="26">
        <f t="shared" si="18"/>
        <v>0</v>
      </c>
      <c r="N127" s="26">
        <f t="shared" si="19"/>
        <v>0</v>
      </c>
      <c r="O127" s="26">
        <f t="shared" si="20"/>
        <v>0</v>
      </c>
      <c r="P127" s="26">
        <f t="shared" si="21"/>
        <v>0</v>
      </c>
      <c r="Q127" s="26">
        <f t="shared" si="22"/>
        <v>0</v>
      </c>
      <c r="R127" s="34">
        <f t="shared" si="23"/>
        <v>0</v>
      </c>
    </row>
    <row r="128" spans="7:18" thickBot="1" x14ac:dyDescent="0.35">
      <c r="G128" s="26">
        <f t="shared" si="12"/>
        <v>0</v>
      </c>
      <c r="H128" s="26">
        <f t="shared" si="13"/>
        <v>0</v>
      </c>
      <c r="I128" s="26">
        <f t="shared" si="14"/>
        <v>0</v>
      </c>
      <c r="J128" s="26">
        <f t="shared" si="15"/>
        <v>0</v>
      </c>
      <c r="K128" s="26">
        <f t="shared" si="16"/>
        <v>0</v>
      </c>
      <c r="L128" s="26">
        <f t="shared" si="17"/>
        <v>0</v>
      </c>
      <c r="M128" s="26">
        <f t="shared" si="18"/>
        <v>0</v>
      </c>
      <c r="N128" s="26">
        <f t="shared" si="19"/>
        <v>0</v>
      </c>
      <c r="O128" s="26">
        <f t="shared" si="20"/>
        <v>0</v>
      </c>
      <c r="P128" s="26">
        <f t="shared" si="21"/>
        <v>0</v>
      </c>
      <c r="Q128" s="26">
        <f t="shared" si="22"/>
        <v>0</v>
      </c>
      <c r="R128" s="34">
        <f t="shared" si="23"/>
        <v>0</v>
      </c>
    </row>
    <row r="129" spans="7:18" thickBot="1" x14ac:dyDescent="0.35">
      <c r="G129" s="26">
        <f t="shared" si="12"/>
        <v>0</v>
      </c>
      <c r="H129" s="26">
        <f t="shared" si="13"/>
        <v>0</v>
      </c>
      <c r="I129" s="26">
        <f t="shared" si="14"/>
        <v>0</v>
      </c>
      <c r="J129" s="26">
        <f t="shared" si="15"/>
        <v>0</v>
      </c>
      <c r="K129" s="26">
        <f t="shared" si="16"/>
        <v>0</v>
      </c>
      <c r="L129" s="26">
        <f t="shared" si="17"/>
        <v>0</v>
      </c>
      <c r="M129" s="26">
        <f t="shared" si="18"/>
        <v>0</v>
      </c>
      <c r="N129" s="26">
        <f t="shared" si="19"/>
        <v>0</v>
      </c>
      <c r="O129" s="26">
        <f t="shared" si="20"/>
        <v>0</v>
      </c>
      <c r="P129" s="26">
        <f t="shared" si="21"/>
        <v>0</v>
      </c>
      <c r="Q129" s="26">
        <f t="shared" si="22"/>
        <v>0</v>
      </c>
      <c r="R129" s="34">
        <f t="shared" si="23"/>
        <v>0</v>
      </c>
    </row>
    <row r="130" spans="7:18" thickBot="1" x14ac:dyDescent="0.35">
      <c r="G130" s="26">
        <f t="shared" si="12"/>
        <v>0</v>
      </c>
      <c r="H130" s="26">
        <f t="shared" si="13"/>
        <v>0</v>
      </c>
      <c r="I130" s="26">
        <f t="shared" si="14"/>
        <v>0</v>
      </c>
      <c r="J130" s="26">
        <f t="shared" si="15"/>
        <v>0</v>
      </c>
      <c r="K130" s="26">
        <f t="shared" si="16"/>
        <v>0</v>
      </c>
      <c r="L130" s="26">
        <f t="shared" si="17"/>
        <v>0</v>
      </c>
      <c r="M130" s="26">
        <f t="shared" si="18"/>
        <v>0</v>
      </c>
      <c r="N130" s="26">
        <f t="shared" si="19"/>
        <v>0</v>
      </c>
      <c r="O130" s="26">
        <f t="shared" si="20"/>
        <v>0</v>
      </c>
      <c r="P130" s="26">
        <f t="shared" si="21"/>
        <v>0</v>
      </c>
      <c r="Q130" s="26">
        <f t="shared" si="22"/>
        <v>0</v>
      </c>
      <c r="R130" s="34">
        <f t="shared" si="23"/>
        <v>0</v>
      </c>
    </row>
    <row r="131" spans="7:18" thickBot="1" x14ac:dyDescent="0.35">
      <c r="G131" s="26">
        <f t="shared" si="12"/>
        <v>0</v>
      </c>
      <c r="H131" s="26">
        <f t="shared" si="13"/>
        <v>0</v>
      </c>
      <c r="I131" s="26">
        <f t="shared" si="14"/>
        <v>0</v>
      </c>
      <c r="J131" s="26">
        <f t="shared" si="15"/>
        <v>0</v>
      </c>
      <c r="K131" s="26">
        <f t="shared" si="16"/>
        <v>0</v>
      </c>
      <c r="L131" s="26">
        <f t="shared" si="17"/>
        <v>0</v>
      </c>
      <c r="M131" s="26">
        <f t="shared" si="18"/>
        <v>0</v>
      </c>
      <c r="N131" s="26">
        <f t="shared" si="19"/>
        <v>0</v>
      </c>
      <c r="O131" s="26">
        <f t="shared" si="20"/>
        <v>0</v>
      </c>
      <c r="P131" s="26">
        <f t="shared" si="21"/>
        <v>0</v>
      </c>
      <c r="Q131" s="26">
        <f t="shared" si="22"/>
        <v>0</v>
      </c>
      <c r="R131" s="34">
        <f t="shared" si="23"/>
        <v>0</v>
      </c>
    </row>
    <row r="132" spans="7:18" thickBot="1" x14ac:dyDescent="0.35">
      <c r="G132" s="26">
        <f t="shared" ref="G132:G195" si="24">ABS(F132-C132)</f>
        <v>0</v>
      </c>
      <c r="H132" s="26">
        <f t="shared" ref="H132:H195" si="25">ABS(D132-C132)</f>
        <v>0</v>
      </c>
      <c r="I132" s="26">
        <f t="shared" ref="I132:I195" si="26">IF(G132&gt;C132, C132+(0.1*G132), C132-(0.1*G132))</f>
        <v>0</v>
      </c>
      <c r="J132" s="26">
        <f t="shared" ref="J132:J195" si="27">IF(G132&gt;C132, C132+(0.2*G132), C132-(0.2*G132))</f>
        <v>0</v>
      </c>
      <c r="K132" s="26">
        <f t="shared" ref="K132:K195" si="28">IF(G132&gt;C132, C132+(0.3*G132), C132-(0.3*G132))</f>
        <v>0</v>
      </c>
      <c r="L132" s="26">
        <f t="shared" ref="L132:L195" si="29">IF(G132&gt;C132, C132+(0.4*G132), C132-(0.4*G132))</f>
        <v>0</v>
      </c>
      <c r="M132" s="26">
        <f t="shared" ref="M132:M195" si="30">IF(G132&gt;C132, C132+(0.5*G132), C132-(0.5*G132))</f>
        <v>0</v>
      </c>
      <c r="N132" s="26">
        <f t="shared" ref="N132:N195" si="31">IF(G132&gt;C132, C132+(0.6*G132), C132-(0.6*G132))</f>
        <v>0</v>
      </c>
      <c r="O132" s="26">
        <f t="shared" ref="O132:O195" si="32">IF(G132&gt;C132, C132+(0.7*G132), C132-(0.7*G132))</f>
        <v>0</v>
      </c>
      <c r="P132" s="26">
        <f t="shared" ref="P132:P195" si="33">IF(G132&gt;C132, C132+(0.8*G132), C132-(0.8*G132))</f>
        <v>0</v>
      </c>
      <c r="Q132" s="26">
        <f t="shared" ref="Q132:Q195" si="34">IF(G132&gt;C132, C132+(0.9*G132), C132-(0.9*G132))</f>
        <v>0</v>
      </c>
      <c r="R132" s="34">
        <f t="shared" ref="R132:R195" si="35">IF(G132&gt;C132, C132+(1*G132), C132-(1*G132))</f>
        <v>0</v>
      </c>
    </row>
    <row r="133" spans="7:18" thickBot="1" x14ac:dyDescent="0.35">
      <c r="G133" s="26">
        <f t="shared" si="24"/>
        <v>0</v>
      </c>
      <c r="H133" s="26">
        <f t="shared" si="25"/>
        <v>0</v>
      </c>
      <c r="I133" s="26">
        <f t="shared" si="26"/>
        <v>0</v>
      </c>
      <c r="J133" s="26">
        <f t="shared" si="27"/>
        <v>0</v>
      </c>
      <c r="K133" s="26">
        <f t="shared" si="28"/>
        <v>0</v>
      </c>
      <c r="L133" s="26">
        <f t="shared" si="29"/>
        <v>0</v>
      </c>
      <c r="M133" s="26">
        <f t="shared" si="30"/>
        <v>0</v>
      </c>
      <c r="N133" s="26">
        <f t="shared" si="31"/>
        <v>0</v>
      </c>
      <c r="O133" s="26">
        <f t="shared" si="32"/>
        <v>0</v>
      </c>
      <c r="P133" s="26">
        <f t="shared" si="33"/>
        <v>0</v>
      </c>
      <c r="Q133" s="26">
        <f t="shared" si="34"/>
        <v>0</v>
      </c>
      <c r="R133" s="34">
        <f t="shared" si="35"/>
        <v>0</v>
      </c>
    </row>
    <row r="134" spans="7:18" thickBot="1" x14ac:dyDescent="0.35">
      <c r="G134" s="26">
        <f t="shared" si="24"/>
        <v>0</v>
      </c>
      <c r="H134" s="26">
        <f t="shared" si="25"/>
        <v>0</v>
      </c>
      <c r="I134" s="26">
        <f t="shared" si="26"/>
        <v>0</v>
      </c>
      <c r="J134" s="26">
        <f t="shared" si="27"/>
        <v>0</v>
      </c>
      <c r="K134" s="26">
        <f t="shared" si="28"/>
        <v>0</v>
      </c>
      <c r="L134" s="26">
        <f t="shared" si="29"/>
        <v>0</v>
      </c>
      <c r="M134" s="26">
        <f t="shared" si="30"/>
        <v>0</v>
      </c>
      <c r="N134" s="26">
        <f t="shared" si="31"/>
        <v>0</v>
      </c>
      <c r="O134" s="26">
        <f t="shared" si="32"/>
        <v>0</v>
      </c>
      <c r="P134" s="26">
        <f t="shared" si="33"/>
        <v>0</v>
      </c>
      <c r="Q134" s="26">
        <f t="shared" si="34"/>
        <v>0</v>
      </c>
      <c r="R134" s="34">
        <f t="shared" si="35"/>
        <v>0</v>
      </c>
    </row>
    <row r="135" spans="7:18" thickBot="1" x14ac:dyDescent="0.35">
      <c r="G135" s="26">
        <f t="shared" si="24"/>
        <v>0</v>
      </c>
      <c r="H135" s="26">
        <f t="shared" si="25"/>
        <v>0</v>
      </c>
      <c r="I135" s="26">
        <f t="shared" si="26"/>
        <v>0</v>
      </c>
      <c r="J135" s="26">
        <f t="shared" si="27"/>
        <v>0</v>
      </c>
      <c r="K135" s="26">
        <f t="shared" si="28"/>
        <v>0</v>
      </c>
      <c r="L135" s="26">
        <f t="shared" si="29"/>
        <v>0</v>
      </c>
      <c r="M135" s="26">
        <f t="shared" si="30"/>
        <v>0</v>
      </c>
      <c r="N135" s="26">
        <f t="shared" si="31"/>
        <v>0</v>
      </c>
      <c r="O135" s="26">
        <f t="shared" si="32"/>
        <v>0</v>
      </c>
      <c r="P135" s="26">
        <f t="shared" si="33"/>
        <v>0</v>
      </c>
      <c r="Q135" s="26">
        <f t="shared" si="34"/>
        <v>0</v>
      </c>
      <c r="R135" s="34">
        <f t="shared" si="35"/>
        <v>0</v>
      </c>
    </row>
    <row r="136" spans="7:18" thickBot="1" x14ac:dyDescent="0.35">
      <c r="G136" s="26">
        <f t="shared" si="24"/>
        <v>0</v>
      </c>
      <c r="H136" s="26">
        <f t="shared" si="25"/>
        <v>0</v>
      </c>
      <c r="I136" s="26">
        <f t="shared" si="26"/>
        <v>0</v>
      </c>
      <c r="J136" s="26">
        <f t="shared" si="27"/>
        <v>0</v>
      </c>
      <c r="K136" s="26">
        <f t="shared" si="28"/>
        <v>0</v>
      </c>
      <c r="L136" s="26">
        <f t="shared" si="29"/>
        <v>0</v>
      </c>
      <c r="M136" s="26">
        <f t="shared" si="30"/>
        <v>0</v>
      </c>
      <c r="N136" s="26">
        <f t="shared" si="31"/>
        <v>0</v>
      </c>
      <c r="O136" s="26">
        <f t="shared" si="32"/>
        <v>0</v>
      </c>
      <c r="P136" s="26">
        <f t="shared" si="33"/>
        <v>0</v>
      </c>
      <c r="Q136" s="26">
        <f t="shared" si="34"/>
        <v>0</v>
      </c>
      <c r="R136" s="34">
        <f t="shared" si="35"/>
        <v>0</v>
      </c>
    </row>
    <row r="137" spans="7:18" thickBot="1" x14ac:dyDescent="0.35">
      <c r="G137" s="26">
        <f t="shared" si="24"/>
        <v>0</v>
      </c>
      <c r="H137" s="26">
        <f t="shared" si="25"/>
        <v>0</v>
      </c>
      <c r="I137" s="26">
        <f t="shared" si="26"/>
        <v>0</v>
      </c>
      <c r="J137" s="26">
        <f t="shared" si="27"/>
        <v>0</v>
      </c>
      <c r="K137" s="26">
        <f t="shared" si="28"/>
        <v>0</v>
      </c>
      <c r="L137" s="26">
        <f t="shared" si="29"/>
        <v>0</v>
      </c>
      <c r="M137" s="26">
        <f t="shared" si="30"/>
        <v>0</v>
      </c>
      <c r="N137" s="26">
        <f t="shared" si="31"/>
        <v>0</v>
      </c>
      <c r="O137" s="26">
        <f t="shared" si="32"/>
        <v>0</v>
      </c>
      <c r="P137" s="26">
        <f t="shared" si="33"/>
        <v>0</v>
      </c>
      <c r="Q137" s="26">
        <f t="shared" si="34"/>
        <v>0</v>
      </c>
      <c r="R137" s="34">
        <f t="shared" si="35"/>
        <v>0</v>
      </c>
    </row>
    <row r="138" spans="7:18" thickBot="1" x14ac:dyDescent="0.35">
      <c r="G138" s="26">
        <f t="shared" si="24"/>
        <v>0</v>
      </c>
      <c r="H138" s="26">
        <f t="shared" si="25"/>
        <v>0</v>
      </c>
      <c r="I138" s="26">
        <f t="shared" si="26"/>
        <v>0</v>
      </c>
      <c r="J138" s="26">
        <f t="shared" si="27"/>
        <v>0</v>
      </c>
      <c r="K138" s="26">
        <f t="shared" si="28"/>
        <v>0</v>
      </c>
      <c r="L138" s="26">
        <f t="shared" si="29"/>
        <v>0</v>
      </c>
      <c r="M138" s="26">
        <f t="shared" si="30"/>
        <v>0</v>
      </c>
      <c r="N138" s="26">
        <f t="shared" si="31"/>
        <v>0</v>
      </c>
      <c r="O138" s="26">
        <f t="shared" si="32"/>
        <v>0</v>
      </c>
      <c r="P138" s="26">
        <f t="shared" si="33"/>
        <v>0</v>
      </c>
      <c r="Q138" s="26">
        <f t="shared" si="34"/>
        <v>0</v>
      </c>
      <c r="R138" s="34">
        <f t="shared" si="35"/>
        <v>0</v>
      </c>
    </row>
    <row r="139" spans="7:18" thickBot="1" x14ac:dyDescent="0.35">
      <c r="G139" s="26">
        <f t="shared" si="24"/>
        <v>0</v>
      </c>
      <c r="H139" s="26">
        <f t="shared" si="25"/>
        <v>0</v>
      </c>
      <c r="I139" s="26">
        <f t="shared" si="26"/>
        <v>0</v>
      </c>
      <c r="J139" s="26">
        <f t="shared" si="27"/>
        <v>0</v>
      </c>
      <c r="K139" s="26">
        <f t="shared" si="28"/>
        <v>0</v>
      </c>
      <c r="L139" s="26">
        <f t="shared" si="29"/>
        <v>0</v>
      </c>
      <c r="M139" s="26">
        <f t="shared" si="30"/>
        <v>0</v>
      </c>
      <c r="N139" s="26">
        <f t="shared" si="31"/>
        <v>0</v>
      </c>
      <c r="O139" s="26">
        <f t="shared" si="32"/>
        <v>0</v>
      </c>
      <c r="P139" s="26">
        <f t="shared" si="33"/>
        <v>0</v>
      </c>
      <c r="Q139" s="26">
        <f t="shared" si="34"/>
        <v>0</v>
      </c>
      <c r="R139" s="34">
        <f t="shared" si="35"/>
        <v>0</v>
      </c>
    </row>
    <row r="140" spans="7:18" thickBot="1" x14ac:dyDescent="0.35">
      <c r="G140" s="26">
        <f t="shared" si="24"/>
        <v>0</v>
      </c>
      <c r="H140" s="26">
        <f t="shared" si="25"/>
        <v>0</v>
      </c>
      <c r="I140" s="26">
        <f t="shared" si="26"/>
        <v>0</v>
      </c>
      <c r="J140" s="26">
        <f t="shared" si="27"/>
        <v>0</v>
      </c>
      <c r="K140" s="26">
        <f t="shared" si="28"/>
        <v>0</v>
      </c>
      <c r="L140" s="26">
        <f t="shared" si="29"/>
        <v>0</v>
      </c>
      <c r="M140" s="26">
        <f t="shared" si="30"/>
        <v>0</v>
      </c>
      <c r="N140" s="26">
        <f t="shared" si="31"/>
        <v>0</v>
      </c>
      <c r="O140" s="26">
        <f t="shared" si="32"/>
        <v>0</v>
      </c>
      <c r="P140" s="26">
        <f t="shared" si="33"/>
        <v>0</v>
      </c>
      <c r="Q140" s="26">
        <f t="shared" si="34"/>
        <v>0</v>
      </c>
      <c r="R140" s="34">
        <f t="shared" si="35"/>
        <v>0</v>
      </c>
    </row>
    <row r="141" spans="7:18" thickBot="1" x14ac:dyDescent="0.35">
      <c r="G141" s="26">
        <f t="shared" si="24"/>
        <v>0</v>
      </c>
      <c r="H141" s="26">
        <f t="shared" si="25"/>
        <v>0</v>
      </c>
      <c r="I141" s="26">
        <f t="shared" si="26"/>
        <v>0</v>
      </c>
      <c r="J141" s="26">
        <f t="shared" si="27"/>
        <v>0</v>
      </c>
      <c r="K141" s="26">
        <f t="shared" si="28"/>
        <v>0</v>
      </c>
      <c r="L141" s="26">
        <f t="shared" si="29"/>
        <v>0</v>
      </c>
      <c r="M141" s="26">
        <f t="shared" si="30"/>
        <v>0</v>
      </c>
      <c r="N141" s="26">
        <f t="shared" si="31"/>
        <v>0</v>
      </c>
      <c r="O141" s="26">
        <f t="shared" si="32"/>
        <v>0</v>
      </c>
      <c r="P141" s="26">
        <f t="shared" si="33"/>
        <v>0</v>
      </c>
      <c r="Q141" s="26">
        <f t="shared" si="34"/>
        <v>0</v>
      </c>
      <c r="R141" s="34">
        <f t="shared" si="35"/>
        <v>0</v>
      </c>
    </row>
    <row r="142" spans="7:18" thickBot="1" x14ac:dyDescent="0.35">
      <c r="G142" s="26">
        <f t="shared" si="24"/>
        <v>0</v>
      </c>
      <c r="H142" s="26">
        <f t="shared" si="25"/>
        <v>0</v>
      </c>
      <c r="I142" s="26">
        <f t="shared" si="26"/>
        <v>0</v>
      </c>
      <c r="J142" s="26">
        <f t="shared" si="27"/>
        <v>0</v>
      </c>
      <c r="K142" s="26">
        <f t="shared" si="28"/>
        <v>0</v>
      </c>
      <c r="L142" s="26">
        <f t="shared" si="29"/>
        <v>0</v>
      </c>
      <c r="M142" s="26">
        <f t="shared" si="30"/>
        <v>0</v>
      </c>
      <c r="N142" s="26">
        <f t="shared" si="31"/>
        <v>0</v>
      </c>
      <c r="O142" s="26">
        <f t="shared" si="32"/>
        <v>0</v>
      </c>
      <c r="P142" s="26">
        <f t="shared" si="33"/>
        <v>0</v>
      </c>
      <c r="Q142" s="26">
        <f t="shared" si="34"/>
        <v>0</v>
      </c>
      <c r="R142" s="34">
        <f t="shared" si="35"/>
        <v>0</v>
      </c>
    </row>
    <row r="143" spans="7:18" thickBot="1" x14ac:dyDescent="0.35">
      <c r="G143" s="26">
        <f t="shared" si="24"/>
        <v>0</v>
      </c>
      <c r="H143" s="26">
        <f t="shared" si="25"/>
        <v>0</v>
      </c>
      <c r="I143" s="26">
        <f t="shared" si="26"/>
        <v>0</v>
      </c>
      <c r="J143" s="26">
        <f t="shared" si="27"/>
        <v>0</v>
      </c>
      <c r="K143" s="26">
        <f t="shared" si="28"/>
        <v>0</v>
      </c>
      <c r="L143" s="26">
        <f t="shared" si="29"/>
        <v>0</v>
      </c>
      <c r="M143" s="26">
        <f t="shared" si="30"/>
        <v>0</v>
      </c>
      <c r="N143" s="26">
        <f t="shared" si="31"/>
        <v>0</v>
      </c>
      <c r="O143" s="26">
        <f t="shared" si="32"/>
        <v>0</v>
      </c>
      <c r="P143" s="26">
        <f t="shared" si="33"/>
        <v>0</v>
      </c>
      <c r="Q143" s="26">
        <f t="shared" si="34"/>
        <v>0</v>
      </c>
      <c r="R143" s="34">
        <f t="shared" si="35"/>
        <v>0</v>
      </c>
    </row>
    <row r="144" spans="7:18" thickBot="1" x14ac:dyDescent="0.35">
      <c r="G144" s="26">
        <f t="shared" si="24"/>
        <v>0</v>
      </c>
      <c r="H144" s="26">
        <f t="shared" si="25"/>
        <v>0</v>
      </c>
      <c r="I144" s="26">
        <f t="shared" si="26"/>
        <v>0</v>
      </c>
      <c r="J144" s="26">
        <f t="shared" si="27"/>
        <v>0</v>
      </c>
      <c r="K144" s="26">
        <f t="shared" si="28"/>
        <v>0</v>
      </c>
      <c r="L144" s="26">
        <f t="shared" si="29"/>
        <v>0</v>
      </c>
      <c r="M144" s="26">
        <f t="shared" si="30"/>
        <v>0</v>
      </c>
      <c r="N144" s="26">
        <f t="shared" si="31"/>
        <v>0</v>
      </c>
      <c r="O144" s="26">
        <f t="shared" si="32"/>
        <v>0</v>
      </c>
      <c r="P144" s="26">
        <f t="shared" si="33"/>
        <v>0</v>
      </c>
      <c r="Q144" s="26">
        <f t="shared" si="34"/>
        <v>0</v>
      </c>
      <c r="R144" s="34">
        <f t="shared" si="35"/>
        <v>0</v>
      </c>
    </row>
    <row r="145" spans="7:18" thickBot="1" x14ac:dyDescent="0.35">
      <c r="G145" s="26">
        <f t="shared" si="24"/>
        <v>0</v>
      </c>
      <c r="H145" s="26">
        <f t="shared" si="25"/>
        <v>0</v>
      </c>
      <c r="I145" s="26">
        <f t="shared" si="26"/>
        <v>0</v>
      </c>
      <c r="J145" s="26">
        <f t="shared" si="27"/>
        <v>0</v>
      </c>
      <c r="K145" s="26">
        <f t="shared" si="28"/>
        <v>0</v>
      </c>
      <c r="L145" s="26">
        <f t="shared" si="29"/>
        <v>0</v>
      </c>
      <c r="M145" s="26">
        <f t="shared" si="30"/>
        <v>0</v>
      </c>
      <c r="N145" s="26">
        <f t="shared" si="31"/>
        <v>0</v>
      </c>
      <c r="O145" s="26">
        <f t="shared" si="32"/>
        <v>0</v>
      </c>
      <c r="P145" s="26">
        <f t="shared" si="33"/>
        <v>0</v>
      </c>
      <c r="Q145" s="26">
        <f t="shared" si="34"/>
        <v>0</v>
      </c>
      <c r="R145" s="34">
        <f t="shared" si="35"/>
        <v>0</v>
      </c>
    </row>
    <row r="146" spans="7:18" thickBot="1" x14ac:dyDescent="0.35">
      <c r="G146" s="26">
        <f t="shared" si="24"/>
        <v>0</v>
      </c>
      <c r="H146" s="26">
        <f t="shared" si="25"/>
        <v>0</v>
      </c>
      <c r="I146" s="26">
        <f t="shared" si="26"/>
        <v>0</v>
      </c>
      <c r="J146" s="26">
        <f t="shared" si="27"/>
        <v>0</v>
      </c>
      <c r="K146" s="26">
        <f t="shared" si="28"/>
        <v>0</v>
      </c>
      <c r="L146" s="26">
        <f t="shared" si="29"/>
        <v>0</v>
      </c>
      <c r="M146" s="26">
        <f t="shared" si="30"/>
        <v>0</v>
      </c>
      <c r="N146" s="26">
        <f t="shared" si="31"/>
        <v>0</v>
      </c>
      <c r="O146" s="26">
        <f t="shared" si="32"/>
        <v>0</v>
      </c>
      <c r="P146" s="26">
        <f t="shared" si="33"/>
        <v>0</v>
      </c>
      <c r="Q146" s="26">
        <f t="shared" si="34"/>
        <v>0</v>
      </c>
      <c r="R146" s="34">
        <f t="shared" si="35"/>
        <v>0</v>
      </c>
    </row>
    <row r="147" spans="7:18" thickBot="1" x14ac:dyDescent="0.35">
      <c r="G147" s="26">
        <f t="shared" si="24"/>
        <v>0</v>
      </c>
      <c r="H147" s="26">
        <f t="shared" si="25"/>
        <v>0</v>
      </c>
      <c r="I147" s="26">
        <f t="shared" si="26"/>
        <v>0</v>
      </c>
      <c r="J147" s="26">
        <f t="shared" si="27"/>
        <v>0</v>
      </c>
      <c r="K147" s="26">
        <f t="shared" si="28"/>
        <v>0</v>
      </c>
      <c r="L147" s="26">
        <f t="shared" si="29"/>
        <v>0</v>
      </c>
      <c r="M147" s="26">
        <f t="shared" si="30"/>
        <v>0</v>
      </c>
      <c r="N147" s="26">
        <f t="shared" si="31"/>
        <v>0</v>
      </c>
      <c r="O147" s="26">
        <f t="shared" si="32"/>
        <v>0</v>
      </c>
      <c r="P147" s="26">
        <f t="shared" si="33"/>
        <v>0</v>
      </c>
      <c r="Q147" s="26">
        <f t="shared" si="34"/>
        <v>0</v>
      </c>
      <c r="R147" s="34">
        <f t="shared" si="35"/>
        <v>0</v>
      </c>
    </row>
    <row r="148" spans="7:18" thickBot="1" x14ac:dyDescent="0.35">
      <c r="G148" s="26">
        <f t="shared" si="24"/>
        <v>0</v>
      </c>
      <c r="H148" s="26">
        <f t="shared" si="25"/>
        <v>0</v>
      </c>
      <c r="I148" s="26">
        <f t="shared" si="26"/>
        <v>0</v>
      </c>
      <c r="J148" s="26">
        <f t="shared" si="27"/>
        <v>0</v>
      </c>
      <c r="K148" s="26">
        <f t="shared" si="28"/>
        <v>0</v>
      </c>
      <c r="L148" s="26">
        <f t="shared" si="29"/>
        <v>0</v>
      </c>
      <c r="M148" s="26">
        <f t="shared" si="30"/>
        <v>0</v>
      </c>
      <c r="N148" s="26">
        <f t="shared" si="31"/>
        <v>0</v>
      </c>
      <c r="O148" s="26">
        <f t="shared" si="32"/>
        <v>0</v>
      </c>
      <c r="P148" s="26">
        <f t="shared" si="33"/>
        <v>0</v>
      </c>
      <c r="Q148" s="26">
        <f t="shared" si="34"/>
        <v>0</v>
      </c>
      <c r="R148" s="34">
        <f t="shared" si="35"/>
        <v>0</v>
      </c>
    </row>
    <row r="149" spans="7:18" thickBot="1" x14ac:dyDescent="0.35">
      <c r="G149" s="26">
        <f t="shared" si="24"/>
        <v>0</v>
      </c>
      <c r="H149" s="26">
        <f t="shared" si="25"/>
        <v>0</v>
      </c>
      <c r="I149" s="26">
        <f t="shared" si="26"/>
        <v>0</v>
      </c>
      <c r="J149" s="26">
        <f t="shared" si="27"/>
        <v>0</v>
      </c>
      <c r="K149" s="26">
        <f t="shared" si="28"/>
        <v>0</v>
      </c>
      <c r="L149" s="26">
        <f t="shared" si="29"/>
        <v>0</v>
      </c>
      <c r="M149" s="26">
        <f t="shared" si="30"/>
        <v>0</v>
      </c>
      <c r="N149" s="26">
        <f t="shared" si="31"/>
        <v>0</v>
      </c>
      <c r="O149" s="26">
        <f t="shared" si="32"/>
        <v>0</v>
      </c>
      <c r="P149" s="26">
        <f t="shared" si="33"/>
        <v>0</v>
      </c>
      <c r="Q149" s="26">
        <f t="shared" si="34"/>
        <v>0</v>
      </c>
      <c r="R149" s="34">
        <f t="shared" si="35"/>
        <v>0</v>
      </c>
    </row>
    <row r="150" spans="7:18" thickBot="1" x14ac:dyDescent="0.35">
      <c r="G150" s="26">
        <f t="shared" si="24"/>
        <v>0</v>
      </c>
      <c r="H150" s="26">
        <f t="shared" si="25"/>
        <v>0</v>
      </c>
      <c r="I150" s="26">
        <f t="shared" si="26"/>
        <v>0</v>
      </c>
      <c r="J150" s="26">
        <f t="shared" si="27"/>
        <v>0</v>
      </c>
      <c r="K150" s="26">
        <f t="shared" si="28"/>
        <v>0</v>
      </c>
      <c r="L150" s="26">
        <f t="shared" si="29"/>
        <v>0</v>
      </c>
      <c r="M150" s="26">
        <f t="shared" si="30"/>
        <v>0</v>
      </c>
      <c r="N150" s="26">
        <f t="shared" si="31"/>
        <v>0</v>
      </c>
      <c r="O150" s="26">
        <f t="shared" si="32"/>
        <v>0</v>
      </c>
      <c r="P150" s="26">
        <f t="shared" si="33"/>
        <v>0</v>
      </c>
      <c r="Q150" s="26">
        <f t="shared" si="34"/>
        <v>0</v>
      </c>
      <c r="R150" s="34">
        <f t="shared" si="35"/>
        <v>0</v>
      </c>
    </row>
    <row r="151" spans="7:18" thickBot="1" x14ac:dyDescent="0.35">
      <c r="G151" s="26">
        <f t="shared" si="24"/>
        <v>0</v>
      </c>
      <c r="H151" s="26">
        <f t="shared" si="25"/>
        <v>0</v>
      </c>
      <c r="I151" s="26">
        <f t="shared" si="26"/>
        <v>0</v>
      </c>
      <c r="J151" s="26">
        <f t="shared" si="27"/>
        <v>0</v>
      </c>
      <c r="K151" s="26">
        <f t="shared" si="28"/>
        <v>0</v>
      </c>
      <c r="L151" s="26">
        <f t="shared" si="29"/>
        <v>0</v>
      </c>
      <c r="M151" s="26">
        <f t="shared" si="30"/>
        <v>0</v>
      </c>
      <c r="N151" s="26">
        <f t="shared" si="31"/>
        <v>0</v>
      </c>
      <c r="O151" s="26">
        <f t="shared" si="32"/>
        <v>0</v>
      </c>
      <c r="P151" s="26">
        <f t="shared" si="33"/>
        <v>0</v>
      </c>
      <c r="Q151" s="26">
        <f t="shared" si="34"/>
        <v>0</v>
      </c>
      <c r="R151" s="34">
        <f t="shared" si="35"/>
        <v>0</v>
      </c>
    </row>
    <row r="152" spans="7:18" thickBot="1" x14ac:dyDescent="0.35">
      <c r="G152" s="26">
        <f t="shared" si="24"/>
        <v>0</v>
      </c>
      <c r="H152" s="26">
        <f t="shared" si="25"/>
        <v>0</v>
      </c>
      <c r="I152" s="26">
        <f t="shared" si="26"/>
        <v>0</v>
      </c>
      <c r="J152" s="26">
        <f t="shared" si="27"/>
        <v>0</v>
      </c>
      <c r="K152" s="26">
        <f t="shared" si="28"/>
        <v>0</v>
      </c>
      <c r="L152" s="26">
        <f t="shared" si="29"/>
        <v>0</v>
      </c>
      <c r="M152" s="26">
        <f t="shared" si="30"/>
        <v>0</v>
      </c>
      <c r="N152" s="26">
        <f t="shared" si="31"/>
        <v>0</v>
      </c>
      <c r="O152" s="26">
        <f t="shared" si="32"/>
        <v>0</v>
      </c>
      <c r="P152" s="26">
        <f t="shared" si="33"/>
        <v>0</v>
      </c>
      <c r="Q152" s="26">
        <f t="shared" si="34"/>
        <v>0</v>
      </c>
      <c r="R152" s="34">
        <f t="shared" si="35"/>
        <v>0</v>
      </c>
    </row>
    <row r="153" spans="7:18" thickBot="1" x14ac:dyDescent="0.35">
      <c r="G153" s="26">
        <f t="shared" si="24"/>
        <v>0</v>
      </c>
      <c r="H153" s="26">
        <f t="shared" si="25"/>
        <v>0</v>
      </c>
      <c r="I153" s="26">
        <f t="shared" si="26"/>
        <v>0</v>
      </c>
      <c r="J153" s="26">
        <f t="shared" si="27"/>
        <v>0</v>
      </c>
      <c r="K153" s="26">
        <f t="shared" si="28"/>
        <v>0</v>
      </c>
      <c r="L153" s="26">
        <f t="shared" si="29"/>
        <v>0</v>
      </c>
      <c r="M153" s="26">
        <f t="shared" si="30"/>
        <v>0</v>
      </c>
      <c r="N153" s="26">
        <f t="shared" si="31"/>
        <v>0</v>
      </c>
      <c r="O153" s="26">
        <f t="shared" si="32"/>
        <v>0</v>
      </c>
      <c r="P153" s="26">
        <f t="shared" si="33"/>
        <v>0</v>
      </c>
      <c r="Q153" s="26">
        <f t="shared" si="34"/>
        <v>0</v>
      </c>
      <c r="R153" s="34">
        <f t="shared" si="35"/>
        <v>0</v>
      </c>
    </row>
    <row r="154" spans="7:18" thickBot="1" x14ac:dyDescent="0.35">
      <c r="G154" s="26">
        <f t="shared" si="24"/>
        <v>0</v>
      </c>
      <c r="H154" s="26">
        <f t="shared" si="25"/>
        <v>0</v>
      </c>
      <c r="I154" s="26">
        <f t="shared" si="26"/>
        <v>0</v>
      </c>
      <c r="J154" s="26">
        <f t="shared" si="27"/>
        <v>0</v>
      </c>
      <c r="K154" s="26">
        <f t="shared" si="28"/>
        <v>0</v>
      </c>
      <c r="L154" s="26">
        <f t="shared" si="29"/>
        <v>0</v>
      </c>
      <c r="M154" s="26">
        <f t="shared" si="30"/>
        <v>0</v>
      </c>
      <c r="N154" s="26">
        <f t="shared" si="31"/>
        <v>0</v>
      </c>
      <c r="O154" s="26">
        <f t="shared" si="32"/>
        <v>0</v>
      </c>
      <c r="P154" s="26">
        <f t="shared" si="33"/>
        <v>0</v>
      </c>
      <c r="Q154" s="26">
        <f t="shared" si="34"/>
        <v>0</v>
      </c>
      <c r="R154" s="34">
        <f t="shared" si="35"/>
        <v>0</v>
      </c>
    </row>
    <row r="155" spans="7:18" thickBot="1" x14ac:dyDescent="0.35">
      <c r="G155" s="26">
        <f t="shared" si="24"/>
        <v>0</v>
      </c>
      <c r="H155" s="26">
        <f t="shared" si="25"/>
        <v>0</v>
      </c>
      <c r="I155" s="26">
        <f t="shared" si="26"/>
        <v>0</v>
      </c>
      <c r="J155" s="26">
        <f t="shared" si="27"/>
        <v>0</v>
      </c>
      <c r="K155" s="26">
        <f t="shared" si="28"/>
        <v>0</v>
      </c>
      <c r="L155" s="26">
        <f t="shared" si="29"/>
        <v>0</v>
      </c>
      <c r="M155" s="26">
        <f t="shared" si="30"/>
        <v>0</v>
      </c>
      <c r="N155" s="26">
        <f t="shared" si="31"/>
        <v>0</v>
      </c>
      <c r="O155" s="26">
        <f t="shared" si="32"/>
        <v>0</v>
      </c>
      <c r="P155" s="26">
        <f t="shared" si="33"/>
        <v>0</v>
      </c>
      <c r="Q155" s="26">
        <f t="shared" si="34"/>
        <v>0</v>
      </c>
      <c r="R155" s="34">
        <f t="shared" si="35"/>
        <v>0</v>
      </c>
    </row>
    <row r="156" spans="7:18" thickBot="1" x14ac:dyDescent="0.35">
      <c r="G156" s="26">
        <f t="shared" si="24"/>
        <v>0</v>
      </c>
      <c r="H156" s="26">
        <f t="shared" si="25"/>
        <v>0</v>
      </c>
      <c r="I156" s="26">
        <f t="shared" si="26"/>
        <v>0</v>
      </c>
      <c r="J156" s="26">
        <f t="shared" si="27"/>
        <v>0</v>
      </c>
      <c r="K156" s="26">
        <f t="shared" si="28"/>
        <v>0</v>
      </c>
      <c r="L156" s="26">
        <f t="shared" si="29"/>
        <v>0</v>
      </c>
      <c r="M156" s="26">
        <f t="shared" si="30"/>
        <v>0</v>
      </c>
      <c r="N156" s="26">
        <f t="shared" si="31"/>
        <v>0</v>
      </c>
      <c r="O156" s="26">
        <f t="shared" si="32"/>
        <v>0</v>
      </c>
      <c r="P156" s="26">
        <f t="shared" si="33"/>
        <v>0</v>
      </c>
      <c r="Q156" s="26">
        <f t="shared" si="34"/>
        <v>0</v>
      </c>
      <c r="R156" s="34">
        <f t="shared" si="35"/>
        <v>0</v>
      </c>
    </row>
    <row r="157" spans="7:18" thickBot="1" x14ac:dyDescent="0.35">
      <c r="G157" s="26">
        <f t="shared" si="24"/>
        <v>0</v>
      </c>
      <c r="H157" s="26">
        <f t="shared" si="25"/>
        <v>0</v>
      </c>
      <c r="I157" s="26">
        <f t="shared" si="26"/>
        <v>0</v>
      </c>
      <c r="J157" s="26">
        <f t="shared" si="27"/>
        <v>0</v>
      </c>
      <c r="K157" s="26">
        <f t="shared" si="28"/>
        <v>0</v>
      </c>
      <c r="L157" s="26">
        <f t="shared" si="29"/>
        <v>0</v>
      </c>
      <c r="M157" s="26">
        <f t="shared" si="30"/>
        <v>0</v>
      </c>
      <c r="N157" s="26">
        <f t="shared" si="31"/>
        <v>0</v>
      </c>
      <c r="O157" s="26">
        <f t="shared" si="32"/>
        <v>0</v>
      </c>
      <c r="P157" s="26">
        <f t="shared" si="33"/>
        <v>0</v>
      </c>
      <c r="Q157" s="26">
        <f t="shared" si="34"/>
        <v>0</v>
      </c>
      <c r="R157" s="34">
        <f t="shared" si="35"/>
        <v>0</v>
      </c>
    </row>
    <row r="158" spans="7:18" thickBot="1" x14ac:dyDescent="0.35">
      <c r="G158" s="26">
        <f t="shared" si="24"/>
        <v>0</v>
      </c>
      <c r="H158" s="26">
        <f t="shared" si="25"/>
        <v>0</v>
      </c>
      <c r="I158" s="26">
        <f t="shared" si="26"/>
        <v>0</v>
      </c>
      <c r="J158" s="26">
        <f t="shared" si="27"/>
        <v>0</v>
      </c>
      <c r="K158" s="26">
        <f t="shared" si="28"/>
        <v>0</v>
      </c>
      <c r="L158" s="26">
        <f t="shared" si="29"/>
        <v>0</v>
      </c>
      <c r="M158" s="26">
        <f t="shared" si="30"/>
        <v>0</v>
      </c>
      <c r="N158" s="26">
        <f t="shared" si="31"/>
        <v>0</v>
      </c>
      <c r="O158" s="26">
        <f t="shared" si="32"/>
        <v>0</v>
      </c>
      <c r="P158" s="26">
        <f t="shared" si="33"/>
        <v>0</v>
      </c>
      <c r="Q158" s="26">
        <f t="shared" si="34"/>
        <v>0</v>
      </c>
      <c r="R158" s="34">
        <f t="shared" si="35"/>
        <v>0</v>
      </c>
    </row>
    <row r="159" spans="7:18" thickBot="1" x14ac:dyDescent="0.35">
      <c r="G159" s="26">
        <f t="shared" si="24"/>
        <v>0</v>
      </c>
      <c r="H159" s="26">
        <f t="shared" si="25"/>
        <v>0</v>
      </c>
      <c r="I159" s="26">
        <f t="shared" si="26"/>
        <v>0</v>
      </c>
      <c r="J159" s="26">
        <f t="shared" si="27"/>
        <v>0</v>
      </c>
      <c r="K159" s="26">
        <f t="shared" si="28"/>
        <v>0</v>
      </c>
      <c r="L159" s="26">
        <f t="shared" si="29"/>
        <v>0</v>
      </c>
      <c r="M159" s="26">
        <f t="shared" si="30"/>
        <v>0</v>
      </c>
      <c r="N159" s="26">
        <f t="shared" si="31"/>
        <v>0</v>
      </c>
      <c r="O159" s="26">
        <f t="shared" si="32"/>
        <v>0</v>
      </c>
      <c r="P159" s="26">
        <f t="shared" si="33"/>
        <v>0</v>
      </c>
      <c r="Q159" s="26">
        <f t="shared" si="34"/>
        <v>0</v>
      </c>
      <c r="R159" s="34">
        <f t="shared" si="35"/>
        <v>0</v>
      </c>
    </row>
    <row r="160" spans="7:18" thickBot="1" x14ac:dyDescent="0.35">
      <c r="G160" s="26">
        <f t="shared" si="24"/>
        <v>0</v>
      </c>
      <c r="H160" s="26">
        <f t="shared" si="25"/>
        <v>0</v>
      </c>
      <c r="I160" s="26">
        <f t="shared" si="26"/>
        <v>0</v>
      </c>
      <c r="J160" s="26">
        <f t="shared" si="27"/>
        <v>0</v>
      </c>
      <c r="K160" s="26">
        <f t="shared" si="28"/>
        <v>0</v>
      </c>
      <c r="L160" s="26">
        <f t="shared" si="29"/>
        <v>0</v>
      </c>
      <c r="M160" s="26">
        <f t="shared" si="30"/>
        <v>0</v>
      </c>
      <c r="N160" s="26">
        <f t="shared" si="31"/>
        <v>0</v>
      </c>
      <c r="O160" s="26">
        <f t="shared" si="32"/>
        <v>0</v>
      </c>
      <c r="P160" s="26">
        <f t="shared" si="33"/>
        <v>0</v>
      </c>
      <c r="Q160" s="26">
        <f t="shared" si="34"/>
        <v>0</v>
      </c>
      <c r="R160" s="34">
        <f t="shared" si="35"/>
        <v>0</v>
      </c>
    </row>
    <row r="161" spans="7:18" thickBot="1" x14ac:dyDescent="0.35">
      <c r="G161" s="26">
        <f t="shared" si="24"/>
        <v>0</v>
      </c>
      <c r="H161" s="26">
        <f t="shared" si="25"/>
        <v>0</v>
      </c>
      <c r="I161" s="26">
        <f t="shared" si="26"/>
        <v>0</v>
      </c>
      <c r="J161" s="26">
        <f t="shared" si="27"/>
        <v>0</v>
      </c>
      <c r="K161" s="26">
        <f t="shared" si="28"/>
        <v>0</v>
      </c>
      <c r="L161" s="26">
        <f t="shared" si="29"/>
        <v>0</v>
      </c>
      <c r="M161" s="26">
        <f t="shared" si="30"/>
        <v>0</v>
      </c>
      <c r="N161" s="26">
        <f t="shared" si="31"/>
        <v>0</v>
      </c>
      <c r="O161" s="26">
        <f t="shared" si="32"/>
        <v>0</v>
      </c>
      <c r="P161" s="26">
        <f t="shared" si="33"/>
        <v>0</v>
      </c>
      <c r="Q161" s="26">
        <f t="shared" si="34"/>
        <v>0</v>
      </c>
      <c r="R161" s="34">
        <f t="shared" si="35"/>
        <v>0</v>
      </c>
    </row>
    <row r="162" spans="7:18" thickBot="1" x14ac:dyDescent="0.35">
      <c r="G162" s="26">
        <f t="shared" si="24"/>
        <v>0</v>
      </c>
      <c r="H162" s="26">
        <f t="shared" si="25"/>
        <v>0</v>
      </c>
      <c r="I162" s="26">
        <f t="shared" si="26"/>
        <v>0</v>
      </c>
      <c r="J162" s="26">
        <f t="shared" si="27"/>
        <v>0</v>
      </c>
      <c r="K162" s="26">
        <f t="shared" si="28"/>
        <v>0</v>
      </c>
      <c r="L162" s="26">
        <f t="shared" si="29"/>
        <v>0</v>
      </c>
      <c r="M162" s="26">
        <f t="shared" si="30"/>
        <v>0</v>
      </c>
      <c r="N162" s="26">
        <f t="shared" si="31"/>
        <v>0</v>
      </c>
      <c r="O162" s="26">
        <f t="shared" si="32"/>
        <v>0</v>
      </c>
      <c r="P162" s="26">
        <f t="shared" si="33"/>
        <v>0</v>
      </c>
      <c r="Q162" s="26">
        <f t="shared" si="34"/>
        <v>0</v>
      </c>
      <c r="R162" s="34">
        <f t="shared" si="35"/>
        <v>0</v>
      </c>
    </row>
    <row r="163" spans="7:18" thickBot="1" x14ac:dyDescent="0.35">
      <c r="G163" s="26">
        <f t="shared" si="24"/>
        <v>0</v>
      </c>
      <c r="H163" s="26">
        <f t="shared" si="25"/>
        <v>0</v>
      </c>
      <c r="I163" s="26">
        <f t="shared" si="26"/>
        <v>0</v>
      </c>
      <c r="J163" s="26">
        <f t="shared" si="27"/>
        <v>0</v>
      </c>
      <c r="K163" s="26">
        <f t="shared" si="28"/>
        <v>0</v>
      </c>
      <c r="L163" s="26">
        <f t="shared" si="29"/>
        <v>0</v>
      </c>
      <c r="M163" s="26">
        <f t="shared" si="30"/>
        <v>0</v>
      </c>
      <c r="N163" s="26">
        <f t="shared" si="31"/>
        <v>0</v>
      </c>
      <c r="O163" s="26">
        <f t="shared" si="32"/>
        <v>0</v>
      </c>
      <c r="P163" s="26">
        <f t="shared" si="33"/>
        <v>0</v>
      </c>
      <c r="Q163" s="26">
        <f t="shared" si="34"/>
        <v>0</v>
      </c>
      <c r="R163" s="34">
        <f t="shared" si="35"/>
        <v>0</v>
      </c>
    </row>
    <row r="164" spans="7:18" thickBot="1" x14ac:dyDescent="0.35">
      <c r="G164" s="26">
        <f t="shared" si="24"/>
        <v>0</v>
      </c>
      <c r="H164" s="26">
        <f t="shared" si="25"/>
        <v>0</v>
      </c>
      <c r="I164" s="26">
        <f t="shared" si="26"/>
        <v>0</v>
      </c>
      <c r="J164" s="26">
        <f t="shared" si="27"/>
        <v>0</v>
      </c>
      <c r="K164" s="26">
        <f t="shared" si="28"/>
        <v>0</v>
      </c>
      <c r="L164" s="26">
        <f t="shared" si="29"/>
        <v>0</v>
      </c>
      <c r="M164" s="26">
        <f t="shared" si="30"/>
        <v>0</v>
      </c>
      <c r="N164" s="26">
        <f t="shared" si="31"/>
        <v>0</v>
      </c>
      <c r="O164" s="26">
        <f t="shared" si="32"/>
        <v>0</v>
      </c>
      <c r="P164" s="26">
        <f t="shared" si="33"/>
        <v>0</v>
      </c>
      <c r="Q164" s="26">
        <f t="shared" si="34"/>
        <v>0</v>
      </c>
      <c r="R164" s="34">
        <f t="shared" si="35"/>
        <v>0</v>
      </c>
    </row>
    <row r="165" spans="7:18" thickBot="1" x14ac:dyDescent="0.35">
      <c r="G165" s="26">
        <f t="shared" si="24"/>
        <v>0</v>
      </c>
      <c r="H165" s="26">
        <f t="shared" si="25"/>
        <v>0</v>
      </c>
      <c r="I165" s="26">
        <f t="shared" si="26"/>
        <v>0</v>
      </c>
      <c r="J165" s="26">
        <f t="shared" si="27"/>
        <v>0</v>
      </c>
      <c r="K165" s="26">
        <f t="shared" si="28"/>
        <v>0</v>
      </c>
      <c r="L165" s="26">
        <f t="shared" si="29"/>
        <v>0</v>
      </c>
      <c r="M165" s="26">
        <f t="shared" si="30"/>
        <v>0</v>
      </c>
      <c r="N165" s="26">
        <f t="shared" si="31"/>
        <v>0</v>
      </c>
      <c r="O165" s="26">
        <f t="shared" si="32"/>
        <v>0</v>
      </c>
      <c r="P165" s="26">
        <f t="shared" si="33"/>
        <v>0</v>
      </c>
      <c r="Q165" s="26">
        <f t="shared" si="34"/>
        <v>0</v>
      </c>
      <c r="R165" s="34">
        <f t="shared" si="35"/>
        <v>0</v>
      </c>
    </row>
    <row r="166" spans="7:18" thickBot="1" x14ac:dyDescent="0.35">
      <c r="G166" s="26">
        <f t="shared" si="24"/>
        <v>0</v>
      </c>
      <c r="H166" s="26">
        <f t="shared" si="25"/>
        <v>0</v>
      </c>
      <c r="I166" s="26">
        <f t="shared" si="26"/>
        <v>0</v>
      </c>
      <c r="J166" s="26">
        <f t="shared" si="27"/>
        <v>0</v>
      </c>
      <c r="K166" s="26">
        <f t="shared" si="28"/>
        <v>0</v>
      </c>
      <c r="L166" s="26">
        <f t="shared" si="29"/>
        <v>0</v>
      </c>
      <c r="M166" s="26">
        <f t="shared" si="30"/>
        <v>0</v>
      </c>
      <c r="N166" s="26">
        <f t="shared" si="31"/>
        <v>0</v>
      </c>
      <c r="O166" s="26">
        <f t="shared" si="32"/>
        <v>0</v>
      </c>
      <c r="P166" s="26">
        <f t="shared" si="33"/>
        <v>0</v>
      </c>
      <c r="Q166" s="26">
        <f t="shared" si="34"/>
        <v>0</v>
      </c>
      <c r="R166" s="34">
        <f t="shared" si="35"/>
        <v>0</v>
      </c>
    </row>
    <row r="167" spans="7:18" thickBot="1" x14ac:dyDescent="0.35">
      <c r="G167" s="26">
        <f t="shared" si="24"/>
        <v>0</v>
      </c>
      <c r="H167" s="26">
        <f t="shared" si="25"/>
        <v>0</v>
      </c>
      <c r="I167" s="26">
        <f t="shared" si="26"/>
        <v>0</v>
      </c>
      <c r="J167" s="26">
        <f t="shared" si="27"/>
        <v>0</v>
      </c>
      <c r="K167" s="26">
        <f t="shared" si="28"/>
        <v>0</v>
      </c>
      <c r="L167" s="26">
        <f t="shared" si="29"/>
        <v>0</v>
      </c>
      <c r="M167" s="26">
        <f t="shared" si="30"/>
        <v>0</v>
      </c>
      <c r="N167" s="26">
        <f t="shared" si="31"/>
        <v>0</v>
      </c>
      <c r="O167" s="26">
        <f t="shared" si="32"/>
        <v>0</v>
      </c>
      <c r="P167" s="26">
        <f t="shared" si="33"/>
        <v>0</v>
      </c>
      <c r="Q167" s="26">
        <f t="shared" si="34"/>
        <v>0</v>
      </c>
      <c r="R167" s="34">
        <f t="shared" si="35"/>
        <v>0</v>
      </c>
    </row>
    <row r="168" spans="7:18" thickBot="1" x14ac:dyDescent="0.35">
      <c r="G168" s="26">
        <f t="shared" si="24"/>
        <v>0</v>
      </c>
      <c r="H168" s="26">
        <f t="shared" si="25"/>
        <v>0</v>
      </c>
      <c r="I168" s="26">
        <f t="shared" si="26"/>
        <v>0</v>
      </c>
      <c r="J168" s="26">
        <f t="shared" si="27"/>
        <v>0</v>
      </c>
      <c r="K168" s="26">
        <f t="shared" si="28"/>
        <v>0</v>
      </c>
      <c r="L168" s="26">
        <f t="shared" si="29"/>
        <v>0</v>
      </c>
      <c r="M168" s="26">
        <f t="shared" si="30"/>
        <v>0</v>
      </c>
      <c r="N168" s="26">
        <f t="shared" si="31"/>
        <v>0</v>
      </c>
      <c r="O168" s="26">
        <f t="shared" si="32"/>
        <v>0</v>
      </c>
      <c r="P168" s="26">
        <f t="shared" si="33"/>
        <v>0</v>
      </c>
      <c r="Q168" s="26">
        <f t="shared" si="34"/>
        <v>0</v>
      </c>
      <c r="R168" s="34">
        <f t="shared" si="35"/>
        <v>0</v>
      </c>
    </row>
    <row r="169" spans="7:18" thickBot="1" x14ac:dyDescent="0.35">
      <c r="G169" s="26">
        <f t="shared" si="24"/>
        <v>0</v>
      </c>
      <c r="H169" s="26">
        <f t="shared" si="25"/>
        <v>0</v>
      </c>
      <c r="I169" s="26">
        <f t="shared" si="26"/>
        <v>0</v>
      </c>
      <c r="J169" s="26">
        <f t="shared" si="27"/>
        <v>0</v>
      </c>
      <c r="K169" s="26">
        <f t="shared" si="28"/>
        <v>0</v>
      </c>
      <c r="L169" s="26">
        <f t="shared" si="29"/>
        <v>0</v>
      </c>
      <c r="M169" s="26">
        <f t="shared" si="30"/>
        <v>0</v>
      </c>
      <c r="N169" s="26">
        <f t="shared" si="31"/>
        <v>0</v>
      </c>
      <c r="O169" s="26">
        <f t="shared" si="32"/>
        <v>0</v>
      </c>
      <c r="P169" s="26">
        <f t="shared" si="33"/>
        <v>0</v>
      </c>
      <c r="Q169" s="26">
        <f t="shared" si="34"/>
        <v>0</v>
      </c>
      <c r="R169" s="34">
        <f t="shared" si="35"/>
        <v>0</v>
      </c>
    </row>
    <row r="170" spans="7:18" thickBot="1" x14ac:dyDescent="0.35">
      <c r="G170" s="26">
        <f t="shared" si="24"/>
        <v>0</v>
      </c>
      <c r="H170" s="26">
        <f t="shared" si="25"/>
        <v>0</v>
      </c>
      <c r="I170" s="26">
        <f t="shared" si="26"/>
        <v>0</v>
      </c>
      <c r="J170" s="26">
        <f t="shared" si="27"/>
        <v>0</v>
      </c>
      <c r="K170" s="26">
        <f t="shared" si="28"/>
        <v>0</v>
      </c>
      <c r="L170" s="26">
        <f t="shared" si="29"/>
        <v>0</v>
      </c>
      <c r="M170" s="26">
        <f t="shared" si="30"/>
        <v>0</v>
      </c>
      <c r="N170" s="26">
        <f t="shared" si="31"/>
        <v>0</v>
      </c>
      <c r="O170" s="26">
        <f t="shared" si="32"/>
        <v>0</v>
      </c>
      <c r="P170" s="26">
        <f t="shared" si="33"/>
        <v>0</v>
      </c>
      <c r="Q170" s="26">
        <f t="shared" si="34"/>
        <v>0</v>
      </c>
      <c r="R170" s="34">
        <f t="shared" si="35"/>
        <v>0</v>
      </c>
    </row>
    <row r="171" spans="7:18" thickBot="1" x14ac:dyDescent="0.35">
      <c r="G171" s="26">
        <f t="shared" si="24"/>
        <v>0</v>
      </c>
      <c r="H171" s="26">
        <f t="shared" si="25"/>
        <v>0</v>
      </c>
      <c r="I171" s="26">
        <f t="shared" si="26"/>
        <v>0</v>
      </c>
      <c r="J171" s="26">
        <f t="shared" si="27"/>
        <v>0</v>
      </c>
      <c r="K171" s="26">
        <f t="shared" si="28"/>
        <v>0</v>
      </c>
      <c r="L171" s="26">
        <f t="shared" si="29"/>
        <v>0</v>
      </c>
      <c r="M171" s="26">
        <f t="shared" si="30"/>
        <v>0</v>
      </c>
      <c r="N171" s="26">
        <f t="shared" si="31"/>
        <v>0</v>
      </c>
      <c r="O171" s="26">
        <f t="shared" si="32"/>
        <v>0</v>
      </c>
      <c r="P171" s="26">
        <f t="shared" si="33"/>
        <v>0</v>
      </c>
      <c r="Q171" s="26">
        <f t="shared" si="34"/>
        <v>0</v>
      </c>
      <c r="R171" s="34">
        <f t="shared" si="35"/>
        <v>0</v>
      </c>
    </row>
    <row r="172" spans="7:18" thickBot="1" x14ac:dyDescent="0.35">
      <c r="G172" s="26">
        <f t="shared" si="24"/>
        <v>0</v>
      </c>
      <c r="H172" s="26">
        <f t="shared" si="25"/>
        <v>0</v>
      </c>
      <c r="I172" s="26">
        <f t="shared" si="26"/>
        <v>0</v>
      </c>
      <c r="J172" s="26">
        <f t="shared" si="27"/>
        <v>0</v>
      </c>
      <c r="K172" s="26">
        <f t="shared" si="28"/>
        <v>0</v>
      </c>
      <c r="L172" s="26">
        <f t="shared" si="29"/>
        <v>0</v>
      </c>
      <c r="M172" s="26">
        <f t="shared" si="30"/>
        <v>0</v>
      </c>
      <c r="N172" s="26">
        <f t="shared" si="31"/>
        <v>0</v>
      </c>
      <c r="O172" s="26">
        <f t="shared" si="32"/>
        <v>0</v>
      </c>
      <c r="P172" s="26">
        <f t="shared" si="33"/>
        <v>0</v>
      </c>
      <c r="Q172" s="26">
        <f t="shared" si="34"/>
        <v>0</v>
      </c>
      <c r="R172" s="34">
        <f t="shared" si="35"/>
        <v>0</v>
      </c>
    </row>
    <row r="173" spans="7:18" thickBot="1" x14ac:dyDescent="0.35">
      <c r="G173" s="26">
        <f t="shared" si="24"/>
        <v>0</v>
      </c>
      <c r="H173" s="26">
        <f t="shared" si="25"/>
        <v>0</v>
      </c>
      <c r="I173" s="26">
        <f t="shared" si="26"/>
        <v>0</v>
      </c>
      <c r="J173" s="26">
        <f t="shared" si="27"/>
        <v>0</v>
      </c>
      <c r="K173" s="26">
        <f t="shared" si="28"/>
        <v>0</v>
      </c>
      <c r="L173" s="26">
        <f t="shared" si="29"/>
        <v>0</v>
      </c>
      <c r="M173" s="26">
        <f t="shared" si="30"/>
        <v>0</v>
      </c>
      <c r="N173" s="26">
        <f t="shared" si="31"/>
        <v>0</v>
      </c>
      <c r="O173" s="26">
        <f t="shared" si="32"/>
        <v>0</v>
      </c>
      <c r="P173" s="26">
        <f t="shared" si="33"/>
        <v>0</v>
      </c>
      <c r="Q173" s="26">
        <f t="shared" si="34"/>
        <v>0</v>
      </c>
      <c r="R173" s="34">
        <f t="shared" si="35"/>
        <v>0</v>
      </c>
    </row>
    <row r="174" spans="7:18" thickBot="1" x14ac:dyDescent="0.35">
      <c r="G174" s="26">
        <f t="shared" si="24"/>
        <v>0</v>
      </c>
      <c r="H174" s="26">
        <f t="shared" si="25"/>
        <v>0</v>
      </c>
      <c r="I174" s="26">
        <f t="shared" si="26"/>
        <v>0</v>
      </c>
      <c r="J174" s="26">
        <f t="shared" si="27"/>
        <v>0</v>
      </c>
      <c r="K174" s="26">
        <f t="shared" si="28"/>
        <v>0</v>
      </c>
      <c r="L174" s="26">
        <f t="shared" si="29"/>
        <v>0</v>
      </c>
      <c r="M174" s="26">
        <f t="shared" si="30"/>
        <v>0</v>
      </c>
      <c r="N174" s="26">
        <f t="shared" si="31"/>
        <v>0</v>
      </c>
      <c r="O174" s="26">
        <f t="shared" si="32"/>
        <v>0</v>
      </c>
      <c r="P174" s="26">
        <f t="shared" si="33"/>
        <v>0</v>
      </c>
      <c r="Q174" s="26">
        <f t="shared" si="34"/>
        <v>0</v>
      </c>
      <c r="R174" s="34">
        <f t="shared" si="35"/>
        <v>0</v>
      </c>
    </row>
    <row r="175" spans="7:18" thickBot="1" x14ac:dyDescent="0.35">
      <c r="G175" s="26">
        <f t="shared" si="24"/>
        <v>0</v>
      </c>
      <c r="H175" s="26">
        <f t="shared" si="25"/>
        <v>0</v>
      </c>
      <c r="I175" s="26">
        <f t="shared" si="26"/>
        <v>0</v>
      </c>
      <c r="J175" s="26">
        <f t="shared" si="27"/>
        <v>0</v>
      </c>
      <c r="K175" s="26">
        <f t="shared" si="28"/>
        <v>0</v>
      </c>
      <c r="L175" s="26">
        <f t="shared" si="29"/>
        <v>0</v>
      </c>
      <c r="M175" s="26">
        <f t="shared" si="30"/>
        <v>0</v>
      </c>
      <c r="N175" s="26">
        <f t="shared" si="31"/>
        <v>0</v>
      </c>
      <c r="O175" s="26">
        <f t="shared" si="32"/>
        <v>0</v>
      </c>
      <c r="P175" s="26">
        <f t="shared" si="33"/>
        <v>0</v>
      </c>
      <c r="Q175" s="26">
        <f t="shared" si="34"/>
        <v>0</v>
      </c>
      <c r="R175" s="34">
        <f t="shared" si="35"/>
        <v>0</v>
      </c>
    </row>
    <row r="176" spans="7:18" thickBot="1" x14ac:dyDescent="0.35">
      <c r="G176" s="26">
        <f t="shared" si="24"/>
        <v>0</v>
      </c>
      <c r="H176" s="26">
        <f t="shared" si="25"/>
        <v>0</v>
      </c>
      <c r="I176" s="26">
        <f t="shared" si="26"/>
        <v>0</v>
      </c>
      <c r="J176" s="26">
        <f t="shared" si="27"/>
        <v>0</v>
      </c>
      <c r="K176" s="26">
        <f t="shared" si="28"/>
        <v>0</v>
      </c>
      <c r="L176" s="26">
        <f t="shared" si="29"/>
        <v>0</v>
      </c>
      <c r="M176" s="26">
        <f t="shared" si="30"/>
        <v>0</v>
      </c>
      <c r="N176" s="26">
        <f t="shared" si="31"/>
        <v>0</v>
      </c>
      <c r="O176" s="26">
        <f t="shared" si="32"/>
        <v>0</v>
      </c>
      <c r="P176" s="26">
        <f t="shared" si="33"/>
        <v>0</v>
      </c>
      <c r="Q176" s="26">
        <f t="shared" si="34"/>
        <v>0</v>
      </c>
      <c r="R176" s="34">
        <f t="shared" si="35"/>
        <v>0</v>
      </c>
    </row>
    <row r="177" spans="7:18" thickBot="1" x14ac:dyDescent="0.35">
      <c r="G177" s="26">
        <f t="shared" si="24"/>
        <v>0</v>
      </c>
      <c r="H177" s="26">
        <f t="shared" si="25"/>
        <v>0</v>
      </c>
      <c r="I177" s="26">
        <f t="shared" si="26"/>
        <v>0</v>
      </c>
      <c r="J177" s="26">
        <f t="shared" si="27"/>
        <v>0</v>
      </c>
      <c r="K177" s="26">
        <f t="shared" si="28"/>
        <v>0</v>
      </c>
      <c r="L177" s="26">
        <f t="shared" si="29"/>
        <v>0</v>
      </c>
      <c r="M177" s="26">
        <f t="shared" si="30"/>
        <v>0</v>
      </c>
      <c r="N177" s="26">
        <f t="shared" si="31"/>
        <v>0</v>
      </c>
      <c r="O177" s="26">
        <f t="shared" si="32"/>
        <v>0</v>
      </c>
      <c r="P177" s="26">
        <f t="shared" si="33"/>
        <v>0</v>
      </c>
      <c r="Q177" s="26">
        <f t="shared" si="34"/>
        <v>0</v>
      </c>
      <c r="R177" s="34">
        <f t="shared" si="35"/>
        <v>0</v>
      </c>
    </row>
    <row r="178" spans="7:18" thickBot="1" x14ac:dyDescent="0.35">
      <c r="G178" s="26">
        <f t="shared" si="24"/>
        <v>0</v>
      </c>
      <c r="H178" s="26">
        <f t="shared" si="25"/>
        <v>0</v>
      </c>
      <c r="I178" s="26">
        <f t="shared" si="26"/>
        <v>0</v>
      </c>
      <c r="J178" s="26">
        <f t="shared" si="27"/>
        <v>0</v>
      </c>
      <c r="K178" s="26">
        <f t="shared" si="28"/>
        <v>0</v>
      </c>
      <c r="L178" s="26">
        <f t="shared" si="29"/>
        <v>0</v>
      </c>
      <c r="M178" s="26">
        <f t="shared" si="30"/>
        <v>0</v>
      </c>
      <c r="N178" s="26">
        <f t="shared" si="31"/>
        <v>0</v>
      </c>
      <c r="O178" s="26">
        <f t="shared" si="32"/>
        <v>0</v>
      </c>
      <c r="P178" s="26">
        <f t="shared" si="33"/>
        <v>0</v>
      </c>
      <c r="Q178" s="26">
        <f t="shared" si="34"/>
        <v>0</v>
      </c>
      <c r="R178" s="34">
        <f t="shared" si="35"/>
        <v>0</v>
      </c>
    </row>
    <row r="179" spans="7:18" thickBot="1" x14ac:dyDescent="0.35">
      <c r="G179" s="26">
        <f t="shared" si="24"/>
        <v>0</v>
      </c>
      <c r="H179" s="26">
        <f t="shared" si="25"/>
        <v>0</v>
      </c>
      <c r="I179" s="26">
        <f t="shared" si="26"/>
        <v>0</v>
      </c>
      <c r="J179" s="26">
        <f t="shared" si="27"/>
        <v>0</v>
      </c>
      <c r="K179" s="26">
        <f t="shared" si="28"/>
        <v>0</v>
      </c>
      <c r="L179" s="26">
        <f t="shared" si="29"/>
        <v>0</v>
      </c>
      <c r="M179" s="26">
        <f t="shared" si="30"/>
        <v>0</v>
      </c>
      <c r="N179" s="26">
        <f t="shared" si="31"/>
        <v>0</v>
      </c>
      <c r="O179" s="26">
        <f t="shared" si="32"/>
        <v>0</v>
      </c>
      <c r="P179" s="26">
        <f t="shared" si="33"/>
        <v>0</v>
      </c>
      <c r="Q179" s="26">
        <f t="shared" si="34"/>
        <v>0</v>
      </c>
      <c r="R179" s="34">
        <f t="shared" si="35"/>
        <v>0</v>
      </c>
    </row>
    <row r="180" spans="7:18" thickBot="1" x14ac:dyDescent="0.35">
      <c r="G180" s="26">
        <f t="shared" si="24"/>
        <v>0</v>
      </c>
      <c r="H180" s="26">
        <f t="shared" si="25"/>
        <v>0</v>
      </c>
      <c r="I180" s="26">
        <f t="shared" si="26"/>
        <v>0</v>
      </c>
      <c r="J180" s="26">
        <f t="shared" si="27"/>
        <v>0</v>
      </c>
      <c r="K180" s="26">
        <f t="shared" si="28"/>
        <v>0</v>
      </c>
      <c r="L180" s="26">
        <f t="shared" si="29"/>
        <v>0</v>
      </c>
      <c r="M180" s="26">
        <f t="shared" si="30"/>
        <v>0</v>
      </c>
      <c r="N180" s="26">
        <f t="shared" si="31"/>
        <v>0</v>
      </c>
      <c r="O180" s="26">
        <f t="shared" si="32"/>
        <v>0</v>
      </c>
      <c r="P180" s="26">
        <f t="shared" si="33"/>
        <v>0</v>
      </c>
      <c r="Q180" s="26">
        <f t="shared" si="34"/>
        <v>0</v>
      </c>
      <c r="R180" s="34">
        <f t="shared" si="35"/>
        <v>0</v>
      </c>
    </row>
    <row r="181" spans="7:18" thickBot="1" x14ac:dyDescent="0.35">
      <c r="G181" s="26">
        <f t="shared" si="24"/>
        <v>0</v>
      </c>
      <c r="H181" s="26">
        <f t="shared" si="25"/>
        <v>0</v>
      </c>
      <c r="I181" s="26">
        <f t="shared" si="26"/>
        <v>0</v>
      </c>
      <c r="J181" s="26">
        <f t="shared" si="27"/>
        <v>0</v>
      </c>
      <c r="K181" s="26">
        <f t="shared" si="28"/>
        <v>0</v>
      </c>
      <c r="L181" s="26">
        <f t="shared" si="29"/>
        <v>0</v>
      </c>
      <c r="M181" s="26">
        <f t="shared" si="30"/>
        <v>0</v>
      </c>
      <c r="N181" s="26">
        <f t="shared" si="31"/>
        <v>0</v>
      </c>
      <c r="O181" s="26">
        <f t="shared" si="32"/>
        <v>0</v>
      </c>
      <c r="P181" s="26">
        <f t="shared" si="33"/>
        <v>0</v>
      </c>
      <c r="Q181" s="26">
        <f t="shared" si="34"/>
        <v>0</v>
      </c>
      <c r="R181" s="34">
        <f t="shared" si="35"/>
        <v>0</v>
      </c>
    </row>
    <row r="182" spans="7:18" thickBot="1" x14ac:dyDescent="0.35">
      <c r="G182" s="26">
        <f t="shared" si="24"/>
        <v>0</v>
      </c>
      <c r="H182" s="26">
        <f t="shared" si="25"/>
        <v>0</v>
      </c>
      <c r="I182" s="26">
        <f t="shared" si="26"/>
        <v>0</v>
      </c>
      <c r="J182" s="26">
        <f t="shared" si="27"/>
        <v>0</v>
      </c>
      <c r="K182" s="26">
        <f t="shared" si="28"/>
        <v>0</v>
      </c>
      <c r="L182" s="26">
        <f t="shared" si="29"/>
        <v>0</v>
      </c>
      <c r="M182" s="26">
        <f t="shared" si="30"/>
        <v>0</v>
      </c>
      <c r="N182" s="26">
        <f t="shared" si="31"/>
        <v>0</v>
      </c>
      <c r="O182" s="26">
        <f t="shared" si="32"/>
        <v>0</v>
      </c>
      <c r="P182" s="26">
        <f t="shared" si="33"/>
        <v>0</v>
      </c>
      <c r="Q182" s="26">
        <f t="shared" si="34"/>
        <v>0</v>
      </c>
      <c r="R182" s="34">
        <f t="shared" si="35"/>
        <v>0</v>
      </c>
    </row>
    <row r="183" spans="7:18" thickBot="1" x14ac:dyDescent="0.35">
      <c r="G183" s="26">
        <f t="shared" si="24"/>
        <v>0</v>
      </c>
      <c r="H183" s="26">
        <f t="shared" si="25"/>
        <v>0</v>
      </c>
      <c r="I183" s="26">
        <f t="shared" si="26"/>
        <v>0</v>
      </c>
      <c r="J183" s="26">
        <f t="shared" si="27"/>
        <v>0</v>
      </c>
      <c r="K183" s="26">
        <f t="shared" si="28"/>
        <v>0</v>
      </c>
      <c r="L183" s="26">
        <f t="shared" si="29"/>
        <v>0</v>
      </c>
      <c r="M183" s="26">
        <f t="shared" si="30"/>
        <v>0</v>
      </c>
      <c r="N183" s="26">
        <f t="shared" si="31"/>
        <v>0</v>
      </c>
      <c r="O183" s="26">
        <f t="shared" si="32"/>
        <v>0</v>
      </c>
      <c r="P183" s="26">
        <f t="shared" si="33"/>
        <v>0</v>
      </c>
      <c r="Q183" s="26">
        <f t="shared" si="34"/>
        <v>0</v>
      </c>
      <c r="R183" s="34">
        <f t="shared" si="35"/>
        <v>0</v>
      </c>
    </row>
    <row r="184" spans="7:18" thickBot="1" x14ac:dyDescent="0.35">
      <c r="G184" s="26">
        <f t="shared" si="24"/>
        <v>0</v>
      </c>
      <c r="H184" s="26">
        <f t="shared" si="25"/>
        <v>0</v>
      </c>
      <c r="I184" s="26">
        <f t="shared" si="26"/>
        <v>0</v>
      </c>
      <c r="J184" s="26">
        <f t="shared" si="27"/>
        <v>0</v>
      </c>
      <c r="K184" s="26">
        <f t="shared" si="28"/>
        <v>0</v>
      </c>
      <c r="L184" s="26">
        <f t="shared" si="29"/>
        <v>0</v>
      </c>
      <c r="M184" s="26">
        <f t="shared" si="30"/>
        <v>0</v>
      </c>
      <c r="N184" s="26">
        <f t="shared" si="31"/>
        <v>0</v>
      </c>
      <c r="O184" s="26">
        <f t="shared" si="32"/>
        <v>0</v>
      </c>
      <c r="P184" s="26">
        <f t="shared" si="33"/>
        <v>0</v>
      </c>
      <c r="Q184" s="26">
        <f t="shared" si="34"/>
        <v>0</v>
      </c>
      <c r="R184" s="34">
        <f t="shared" si="35"/>
        <v>0</v>
      </c>
    </row>
    <row r="185" spans="7:18" thickBot="1" x14ac:dyDescent="0.35">
      <c r="G185" s="26">
        <f t="shared" si="24"/>
        <v>0</v>
      </c>
      <c r="H185" s="26">
        <f t="shared" si="25"/>
        <v>0</v>
      </c>
      <c r="I185" s="26">
        <f t="shared" si="26"/>
        <v>0</v>
      </c>
      <c r="J185" s="26">
        <f t="shared" si="27"/>
        <v>0</v>
      </c>
      <c r="K185" s="26">
        <f t="shared" si="28"/>
        <v>0</v>
      </c>
      <c r="L185" s="26">
        <f t="shared" si="29"/>
        <v>0</v>
      </c>
      <c r="M185" s="26">
        <f t="shared" si="30"/>
        <v>0</v>
      </c>
      <c r="N185" s="26">
        <f t="shared" si="31"/>
        <v>0</v>
      </c>
      <c r="O185" s="26">
        <f t="shared" si="32"/>
        <v>0</v>
      </c>
      <c r="P185" s="26">
        <f t="shared" si="33"/>
        <v>0</v>
      </c>
      <c r="Q185" s="26">
        <f t="shared" si="34"/>
        <v>0</v>
      </c>
      <c r="R185" s="34">
        <f t="shared" si="35"/>
        <v>0</v>
      </c>
    </row>
    <row r="186" spans="7:18" thickBot="1" x14ac:dyDescent="0.35">
      <c r="G186" s="26">
        <f t="shared" si="24"/>
        <v>0</v>
      </c>
      <c r="H186" s="26">
        <f t="shared" si="25"/>
        <v>0</v>
      </c>
      <c r="I186" s="26">
        <f t="shared" si="26"/>
        <v>0</v>
      </c>
      <c r="J186" s="26">
        <f t="shared" si="27"/>
        <v>0</v>
      </c>
      <c r="K186" s="26">
        <f t="shared" si="28"/>
        <v>0</v>
      </c>
      <c r="L186" s="26">
        <f t="shared" si="29"/>
        <v>0</v>
      </c>
      <c r="M186" s="26">
        <f t="shared" si="30"/>
        <v>0</v>
      </c>
      <c r="N186" s="26">
        <f t="shared" si="31"/>
        <v>0</v>
      </c>
      <c r="O186" s="26">
        <f t="shared" si="32"/>
        <v>0</v>
      </c>
      <c r="P186" s="26">
        <f t="shared" si="33"/>
        <v>0</v>
      </c>
      <c r="Q186" s="26">
        <f t="shared" si="34"/>
        <v>0</v>
      </c>
      <c r="R186" s="34">
        <f t="shared" si="35"/>
        <v>0</v>
      </c>
    </row>
    <row r="187" spans="7:18" thickBot="1" x14ac:dyDescent="0.35">
      <c r="G187" s="26">
        <f t="shared" si="24"/>
        <v>0</v>
      </c>
      <c r="H187" s="26">
        <f t="shared" si="25"/>
        <v>0</v>
      </c>
      <c r="I187" s="26">
        <f t="shared" si="26"/>
        <v>0</v>
      </c>
      <c r="J187" s="26">
        <f t="shared" si="27"/>
        <v>0</v>
      </c>
      <c r="K187" s="26">
        <f t="shared" si="28"/>
        <v>0</v>
      </c>
      <c r="L187" s="26">
        <f t="shared" si="29"/>
        <v>0</v>
      </c>
      <c r="M187" s="26">
        <f t="shared" si="30"/>
        <v>0</v>
      </c>
      <c r="N187" s="26">
        <f t="shared" si="31"/>
        <v>0</v>
      </c>
      <c r="O187" s="26">
        <f t="shared" si="32"/>
        <v>0</v>
      </c>
      <c r="P187" s="26">
        <f t="shared" si="33"/>
        <v>0</v>
      </c>
      <c r="Q187" s="26">
        <f t="shared" si="34"/>
        <v>0</v>
      </c>
      <c r="R187" s="34">
        <f t="shared" si="35"/>
        <v>0</v>
      </c>
    </row>
    <row r="188" spans="7:18" thickBot="1" x14ac:dyDescent="0.35">
      <c r="G188" s="26">
        <f t="shared" si="24"/>
        <v>0</v>
      </c>
      <c r="H188" s="26">
        <f t="shared" si="25"/>
        <v>0</v>
      </c>
      <c r="I188" s="26">
        <f t="shared" si="26"/>
        <v>0</v>
      </c>
      <c r="J188" s="26">
        <f t="shared" si="27"/>
        <v>0</v>
      </c>
      <c r="K188" s="26">
        <f t="shared" si="28"/>
        <v>0</v>
      </c>
      <c r="L188" s="26">
        <f t="shared" si="29"/>
        <v>0</v>
      </c>
      <c r="M188" s="26">
        <f t="shared" si="30"/>
        <v>0</v>
      </c>
      <c r="N188" s="26">
        <f t="shared" si="31"/>
        <v>0</v>
      </c>
      <c r="O188" s="26">
        <f t="shared" si="32"/>
        <v>0</v>
      </c>
      <c r="P188" s="26">
        <f t="shared" si="33"/>
        <v>0</v>
      </c>
      <c r="Q188" s="26">
        <f t="shared" si="34"/>
        <v>0</v>
      </c>
      <c r="R188" s="34">
        <f t="shared" si="35"/>
        <v>0</v>
      </c>
    </row>
    <row r="189" spans="7:18" thickBot="1" x14ac:dyDescent="0.35">
      <c r="G189" s="26">
        <f t="shared" si="24"/>
        <v>0</v>
      </c>
      <c r="H189" s="26">
        <f t="shared" si="25"/>
        <v>0</v>
      </c>
      <c r="I189" s="26">
        <f t="shared" si="26"/>
        <v>0</v>
      </c>
      <c r="J189" s="26">
        <f t="shared" si="27"/>
        <v>0</v>
      </c>
      <c r="K189" s="26">
        <f t="shared" si="28"/>
        <v>0</v>
      </c>
      <c r="L189" s="26">
        <f t="shared" si="29"/>
        <v>0</v>
      </c>
      <c r="M189" s="26">
        <f t="shared" si="30"/>
        <v>0</v>
      </c>
      <c r="N189" s="26">
        <f t="shared" si="31"/>
        <v>0</v>
      </c>
      <c r="O189" s="26">
        <f t="shared" si="32"/>
        <v>0</v>
      </c>
      <c r="P189" s="26">
        <f t="shared" si="33"/>
        <v>0</v>
      </c>
      <c r="Q189" s="26">
        <f t="shared" si="34"/>
        <v>0</v>
      </c>
      <c r="R189" s="34">
        <f t="shared" si="35"/>
        <v>0</v>
      </c>
    </row>
    <row r="190" spans="7:18" thickBot="1" x14ac:dyDescent="0.35">
      <c r="G190" s="26">
        <f t="shared" si="24"/>
        <v>0</v>
      </c>
      <c r="H190" s="26">
        <f t="shared" si="25"/>
        <v>0</v>
      </c>
      <c r="I190" s="26">
        <f t="shared" si="26"/>
        <v>0</v>
      </c>
      <c r="J190" s="26">
        <f t="shared" si="27"/>
        <v>0</v>
      </c>
      <c r="K190" s="26">
        <f t="shared" si="28"/>
        <v>0</v>
      </c>
      <c r="L190" s="26">
        <f t="shared" si="29"/>
        <v>0</v>
      </c>
      <c r="M190" s="26">
        <f t="shared" si="30"/>
        <v>0</v>
      </c>
      <c r="N190" s="26">
        <f t="shared" si="31"/>
        <v>0</v>
      </c>
      <c r="O190" s="26">
        <f t="shared" si="32"/>
        <v>0</v>
      </c>
      <c r="P190" s="26">
        <f t="shared" si="33"/>
        <v>0</v>
      </c>
      <c r="Q190" s="26">
        <f t="shared" si="34"/>
        <v>0</v>
      </c>
      <c r="R190" s="34">
        <f t="shared" si="35"/>
        <v>0</v>
      </c>
    </row>
    <row r="191" spans="7:18" thickBot="1" x14ac:dyDescent="0.35">
      <c r="G191" s="26">
        <f t="shared" si="24"/>
        <v>0</v>
      </c>
      <c r="H191" s="26">
        <f t="shared" si="25"/>
        <v>0</v>
      </c>
      <c r="I191" s="26">
        <f t="shared" si="26"/>
        <v>0</v>
      </c>
      <c r="J191" s="26">
        <f t="shared" si="27"/>
        <v>0</v>
      </c>
      <c r="K191" s="26">
        <f t="shared" si="28"/>
        <v>0</v>
      </c>
      <c r="L191" s="26">
        <f t="shared" si="29"/>
        <v>0</v>
      </c>
      <c r="M191" s="26">
        <f t="shared" si="30"/>
        <v>0</v>
      </c>
      <c r="N191" s="26">
        <f t="shared" si="31"/>
        <v>0</v>
      </c>
      <c r="O191" s="26">
        <f t="shared" si="32"/>
        <v>0</v>
      </c>
      <c r="P191" s="26">
        <f t="shared" si="33"/>
        <v>0</v>
      </c>
      <c r="Q191" s="26">
        <f t="shared" si="34"/>
        <v>0</v>
      </c>
      <c r="R191" s="34">
        <f t="shared" si="35"/>
        <v>0</v>
      </c>
    </row>
    <row r="192" spans="7:18" thickBot="1" x14ac:dyDescent="0.35">
      <c r="G192" s="26">
        <f t="shared" si="24"/>
        <v>0</v>
      </c>
      <c r="H192" s="26">
        <f t="shared" si="25"/>
        <v>0</v>
      </c>
      <c r="I192" s="26">
        <f t="shared" si="26"/>
        <v>0</v>
      </c>
      <c r="J192" s="26">
        <f t="shared" si="27"/>
        <v>0</v>
      </c>
      <c r="K192" s="26">
        <f t="shared" si="28"/>
        <v>0</v>
      </c>
      <c r="L192" s="26">
        <f t="shared" si="29"/>
        <v>0</v>
      </c>
      <c r="M192" s="26">
        <f t="shared" si="30"/>
        <v>0</v>
      </c>
      <c r="N192" s="26">
        <f t="shared" si="31"/>
        <v>0</v>
      </c>
      <c r="O192" s="26">
        <f t="shared" si="32"/>
        <v>0</v>
      </c>
      <c r="P192" s="26">
        <f t="shared" si="33"/>
        <v>0</v>
      </c>
      <c r="Q192" s="26">
        <f t="shared" si="34"/>
        <v>0</v>
      </c>
      <c r="R192" s="34">
        <f t="shared" si="35"/>
        <v>0</v>
      </c>
    </row>
    <row r="193" spans="7:18" thickBot="1" x14ac:dyDescent="0.35">
      <c r="G193" s="26">
        <f t="shared" si="24"/>
        <v>0</v>
      </c>
      <c r="H193" s="26">
        <f t="shared" si="25"/>
        <v>0</v>
      </c>
      <c r="I193" s="26">
        <f t="shared" si="26"/>
        <v>0</v>
      </c>
      <c r="J193" s="26">
        <f t="shared" si="27"/>
        <v>0</v>
      </c>
      <c r="K193" s="26">
        <f t="shared" si="28"/>
        <v>0</v>
      </c>
      <c r="L193" s="26">
        <f t="shared" si="29"/>
        <v>0</v>
      </c>
      <c r="M193" s="26">
        <f t="shared" si="30"/>
        <v>0</v>
      </c>
      <c r="N193" s="26">
        <f t="shared" si="31"/>
        <v>0</v>
      </c>
      <c r="O193" s="26">
        <f t="shared" si="32"/>
        <v>0</v>
      </c>
      <c r="P193" s="26">
        <f t="shared" si="33"/>
        <v>0</v>
      </c>
      <c r="Q193" s="26">
        <f t="shared" si="34"/>
        <v>0</v>
      </c>
      <c r="R193" s="34">
        <f t="shared" si="35"/>
        <v>0</v>
      </c>
    </row>
    <row r="194" spans="7:18" thickBot="1" x14ac:dyDescent="0.35">
      <c r="G194" s="26">
        <f t="shared" si="24"/>
        <v>0</v>
      </c>
      <c r="H194" s="26">
        <f t="shared" si="25"/>
        <v>0</v>
      </c>
      <c r="I194" s="26">
        <f t="shared" si="26"/>
        <v>0</v>
      </c>
      <c r="J194" s="26">
        <f t="shared" si="27"/>
        <v>0</v>
      </c>
      <c r="K194" s="26">
        <f t="shared" si="28"/>
        <v>0</v>
      </c>
      <c r="L194" s="26">
        <f t="shared" si="29"/>
        <v>0</v>
      </c>
      <c r="M194" s="26">
        <f t="shared" si="30"/>
        <v>0</v>
      </c>
      <c r="N194" s="26">
        <f t="shared" si="31"/>
        <v>0</v>
      </c>
      <c r="O194" s="26">
        <f t="shared" si="32"/>
        <v>0</v>
      </c>
      <c r="P194" s="26">
        <f t="shared" si="33"/>
        <v>0</v>
      </c>
      <c r="Q194" s="26">
        <f t="shared" si="34"/>
        <v>0</v>
      </c>
      <c r="R194" s="34">
        <f t="shared" si="35"/>
        <v>0</v>
      </c>
    </row>
    <row r="195" spans="7:18" thickBot="1" x14ac:dyDescent="0.35">
      <c r="G195" s="26">
        <f t="shared" si="24"/>
        <v>0</v>
      </c>
      <c r="H195" s="26">
        <f t="shared" si="25"/>
        <v>0</v>
      </c>
      <c r="I195" s="26">
        <f t="shared" si="26"/>
        <v>0</v>
      </c>
      <c r="J195" s="26">
        <f t="shared" si="27"/>
        <v>0</v>
      </c>
      <c r="K195" s="26">
        <f t="shared" si="28"/>
        <v>0</v>
      </c>
      <c r="L195" s="26">
        <f t="shared" si="29"/>
        <v>0</v>
      </c>
      <c r="M195" s="26">
        <f t="shared" si="30"/>
        <v>0</v>
      </c>
      <c r="N195" s="26">
        <f t="shared" si="31"/>
        <v>0</v>
      </c>
      <c r="O195" s="26">
        <f t="shared" si="32"/>
        <v>0</v>
      </c>
      <c r="P195" s="26">
        <f t="shared" si="33"/>
        <v>0</v>
      </c>
      <c r="Q195" s="26">
        <f t="shared" si="34"/>
        <v>0</v>
      </c>
      <c r="R195" s="34">
        <f t="shared" si="35"/>
        <v>0</v>
      </c>
    </row>
    <row r="196" spans="7:18" thickBot="1" x14ac:dyDescent="0.35">
      <c r="G196" s="26">
        <f t="shared" ref="G196:G259" si="36">ABS(F196-C196)</f>
        <v>0</v>
      </c>
      <c r="H196" s="26">
        <f t="shared" ref="H196:H259" si="37">ABS(D196-C196)</f>
        <v>0</v>
      </c>
      <c r="I196" s="26">
        <f t="shared" ref="I196:I259" si="38">IF(G196&gt;C196, C196+(0.1*G196), C196-(0.1*G196))</f>
        <v>0</v>
      </c>
      <c r="J196" s="26">
        <f t="shared" ref="J196:J259" si="39">IF(G196&gt;C196, C196+(0.2*G196), C196-(0.2*G196))</f>
        <v>0</v>
      </c>
      <c r="K196" s="26">
        <f t="shared" ref="K196:K259" si="40">IF(G196&gt;C196, C196+(0.3*G196), C196-(0.3*G196))</f>
        <v>0</v>
      </c>
      <c r="L196" s="26">
        <f t="shared" ref="L196:L259" si="41">IF(G196&gt;C196, C196+(0.4*G196), C196-(0.4*G196))</f>
        <v>0</v>
      </c>
      <c r="M196" s="26">
        <f t="shared" ref="M196:M259" si="42">IF(G196&gt;C196, C196+(0.5*G196), C196-(0.5*G196))</f>
        <v>0</v>
      </c>
      <c r="N196" s="26">
        <f t="shared" ref="N196:N259" si="43">IF(G196&gt;C196, C196+(0.6*G196), C196-(0.6*G196))</f>
        <v>0</v>
      </c>
      <c r="O196" s="26">
        <f t="shared" ref="O196:O259" si="44">IF(G196&gt;C196, C196+(0.7*G196), C196-(0.7*G196))</f>
        <v>0</v>
      </c>
      <c r="P196" s="26">
        <f t="shared" ref="P196:P259" si="45">IF(G196&gt;C196, C196+(0.8*G196), C196-(0.8*G196))</f>
        <v>0</v>
      </c>
      <c r="Q196" s="26">
        <f t="shared" ref="Q196:Q259" si="46">IF(G196&gt;C196, C196+(0.9*G196), C196-(0.9*G196))</f>
        <v>0</v>
      </c>
      <c r="R196" s="34">
        <f t="shared" ref="R196:R259" si="47">IF(G196&gt;C196, C196+(1*G196), C196-(1*G196))</f>
        <v>0</v>
      </c>
    </row>
    <row r="197" spans="7:18" thickBot="1" x14ac:dyDescent="0.35">
      <c r="G197" s="26">
        <f t="shared" si="36"/>
        <v>0</v>
      </c>
      <c r="H197" s="26">
        <f t="shared" si="37"/>
        <v>0</v>
      </c>
      <c r="I197" s="26">
        <f t="shared" si="38"/>
        <v>0</v>
      </c>
      <c r="J197" s="26">
        <f t="shared" si="39"/>
        <v>0</v>
      </c>
      <c r="K197" s="26">
        <f t="shared" si="40"/>
        <v>0</v>
      </c>
      <c r="L197" s="26">
        <f t="shared" si="41"/>
        <v>0</v>
      </c>
      <c r="M197" s="26">
        <f t="shared" si="42"/>
        <v>0</v>
      </c>
      <c r="N197" s="26">
        <f t="shared" si="43"/>
        <v>0</v>
      </c>
      <c r="O197" s="26">
        <f t="shared" si="44"/>
        <v>0</v>
      </c>
      <c r="P197" s="26">
        <f t="shared" si="45"/>
        <v>0</v>
      </c>
      <c r="Q197" s="26">
        <f t="shared" si="46"/>
        <v>0</v>
      </c>
      <c r="R197" s="34">
        <f t="shared" si="47"/>
        <v>0</v>
      </c>
    </row>
    <row r="198" spans="7:18" thickBot="1" x14ac:dyDescent="0.35">
      <c r="G198" s="26">
        <f t="shared" si="36"/>
        <v>0</v>
      </c>
      <c r="H198" s="26">
        <f t="shared" si="37"/>
        <v>0</v>
      </c>
      <c r="I198" s="26">
        <f t="shared" si="38"/>
        <v>0</v>
      </c>
      <c r="J198" s="26">
        <f t="shared" si="39"/>
        <v>0</v>
      </c>
      <c r="K198" s="26">
        <f t="shared" si="40"/>
        <v>0</v>
      </c>
      <c r="L198" s="26">
        <f t="shared" si="41"/>
        <v>0</v>
      </c>
      <c r="M198" s="26">
        <f t="shared" si="42"/>
        <v>0</v>
      </c>
      <c r="N198" s="26">
        <f t="shared" si="43"/>
        <v>0</v>
      </c>
      <c r="O198" s="26">
        <f t="shared" si="44"/>
        <v>0</v>
      </c>
      <c r="P198" s="26">
        <f t="shared" si="45"/>
        <v>0</v>
      </c>
      <c r="Q198" s="26">
        <f t="shared" si="46"/>
        <v>0</v>
      </c>
      <c r="R198" s="34">
        <f t="shared" si="47"/>
        <v>0</v>
      </c>
    </row>
    <row r="199" spans="7:18" thickBot="1" x14ac:dyDescent="0.35">
      <c r="G199" s="26">
        <f t="shared" si="36"/>
        <v>0</v>
      </c>
      <c r="H199" s="26">
        <f t="shared" si="37"/>
        <v>0</v>
      </c>
      <c r="I199" s="26">
        <f t="shared" si="38"/>
        <v>0</v>
      </c>
      <c r="J199" s="26">
        <f t="shared" si="39"/>
        <v>0</v>
      </c>
      <c r="K199" s="26">
        <f t="shared" si="40"/>
        <v>0</v>
      </c>
      <c r="L199" s="26">
        <f t="shared" si="41"/>
        <v>0</v>
      </c>
      <c r="M199" s="26">
        <f t="shared" si="42"/>
        <v>0</v>
      </c>
      <c r="N199" s="26">
        <f t="shared" si="43"/>
        <v>0</v>
      </c>
      <c r="O199" s="26">
        <f t="shared" si="44"/>
        <v>0</v>
      </c>
      <c r="P199" s="26">
        <f t="shared" si="45"/>
        <v>0</v>
      </c>
      <c r="Q199" s="26">
        <f t="shared" si="46"/>
        <v>0</v>
      </c>
      <c r="R199" s="34">
        <f t="shared" si="47"/>
        <v>0</v>
      </c>
    </row>
    <row r="200" spans="7:18" thickBot="1" x14ac:dyDescent="0.35">
      <c r="G200" s="26">
        <f t="shared" si="36"/>
        <v>0</v>
      </c>
      <c r="H200" s="26">
        <f t="shared" si="37"/>
        <v>0</v>
      </c>
      <c r="I200" s="26">
        <f t="shared" si="38"/>
        <v>0</v>
      </c>
      <c r="J200" s="26">
        <f t="shared" si="39"/>
        <v>0</v>
      </c>
      <c r="K200" s="26">
        <f t="shared" si="40"/>
        <v>0</v>
      </c>
      <c r="L200" s="26">
        <f t="shared" si="41"/>
        <v>0</v>
      </c>
      <c r="M200" s="26">
        <f t="shared" si="42"/>
        <v>0</v>
      </c>
      <c r="N200" s="26">
        <f t="shared" si="43"/>
        <v>0</v>
      </c>
      <c r="O200" s="26">
        <f t="shared" si="44"/>
        <v>0</v>
      </c>
      <c r="P200" s="26">
        <f t="shared" si="45"/>
        <v>0</v>
      </c>
      <c r="Q200" s="26">
        <f t="shared" si="46"/>
        <v>0</v>
      </c>
      <c r="R200" s="34">
        <f t="shared" si="47"/>
        <v>0</v>
      </c>
    </row>
    <row r="201" spans="7:18" thickBot="1" x14ac:dyDescent="0.35">
      <c r="G201" s="26">
        <f t="shared" si="36"/>
        <v>0</v>
      </c>
      <c r="H201" s="26">
        <f t="shared" si="37"/>
        <v>0</v>
      </c>
      <c r="I201" s="26">
        <f t="shared" si="38"/>
        <v>0</v>
      </c>
      <c r="J201" s="26">
        <f t="shared" si="39"/>
        <v>0</v>
      </c>
      <c r="K201" s="26">
        <f t="shared" si="40"/>
        <v>0</v>
      </c>
      <c r="L201" s="26">
        <f t="shared" si="41"/>
        <v>0</v>
      </c>
      <c r="M201" s="26">
        <f t="shared" si="42"/>
        <v>0</v>
      </c>
      <c r="N201" s="26">
        <f t="shared" si="43"/>
        <v>0</v>
      </c>
      <c r="O201" s="26">
        <f t="shared" si="44"/>
        <v>0</v>
      </c>
      <c r="P201" s="26">
        <f t="shared" si="45"/>
        <v>0</v>
      </c>
      <c r="Q201" s="26">
        <f t="shared" si="46"/>
        <v>0</v>
      </c>
      <c r="R201" s="34">
        <f t="shared" si="47"/>
        <v>0</v>
      </c>
    </row>
    <row r="202" spans="7:18" thickBot="1" x14ac:dyDescent="0.35">
      <c r="G202" s="26">
        <f t="shared" si="36"/>
        <v>0</v>
      </c>
      <c r="H202" s="26">
        <f t="shared" si="37"/>
        <v>0</v>
      </c>
      <c r="I202" s="26">
        <f t="shared" si="38"/>
        <v>0</v>
      </c>
      <c r="J202" s="26">
        <f t="shared" si="39"/>
        <v>0</v>
      </c>
      <c r="K202" s="26">
        <f t="shared" si="40"/>
        <v>0</v>
      </c>
      <c r="L202" s="26">
        <f t="shared" si="41"/>
        <v>0</v>
      </c>
      <c r="M202" s="26">
        <f t="shared" si="42"/>
        <v>0</v>
      </c>
      <c r="N202" s="26">
        <f t="shared" si="43"/>
        <v>0</v>
      </c>
      <c r="O202" s="26">
        <f t="shared" si="44"/>
        <v>0</v>
      </c>
      <c r="P202" s="26">
        <f t="shared" si="45"/>
        <v>0</v>
      </c>
      <c r="Q202" s="26">
        <f t="shared" si="46"/>
        <v>0</v>
      </c>
      <c r="R202" s="34">
        <f t="shared" si="47"/>
        <v>0</v>
      </c>
    </row>
    <row r="203" spans="7:18" thickBot="1" x14ac:dyDescent="0.35">
      <c r="G203" s="26">
        <f t="shared" si="36"/>
        <v>0</v>
      </c>
      <c r="H203" s="26">
        <f t="shared" si="37"/>
        <v>0</v>
      </c>
      <c r="I203" s="26">
        <f t="shared" si="38"/>
        <v>0</v>
      </c>
      <c r="J203" s="26">
        <f t="shared" si="39"/>
        <v>0</v>
      </c>
      <c r="K203" s="26">
        <f t="shared" si="40"/>
        <v>0</v>
      </c>
      <c r="L203" s="26">
        <f t="shared" si="41"/>
        <v>0</v>
      </c>
      <c r="M203" s="26">
        <f t="shared" si="42"/>
        <v>0</v>
      </c>
      <c r="N203" s="26">
        <f t="shared" si="43"/>
        <v>0</v>
      </c>
      <c r="O203" s="26">
        <f t="shared" si="44"/>
        <v>0</v>
      </c>
      <c r="P203" s="26">
        <f t="shared" si="45"/>
        <v>0</v>
      </c>
      <c r="Q203" s="26">
        <f t="shared" si="46"/>
        <v>0</v>
      </c>
      <c r="R203" s="34">
        <f t="shared" si="47"/>
        <v>0</v>
      </c>
    </row>
    <row r="204" spans="7:18" thickBot="1" x14ac:dyDescent="0.35">
      <c r="G204" s="26">
        <f t="shared" si="36"/>
        <v>0</v>
      </c>
      <c r="H204" s="26">
        <f t="shared" si="37"/>
        <v>0</v>
      </c>
      <c r="I204" s="26">
        <f t="shared" si="38"/>
        <v>0</v>
      </c>
      <c r="J204" s="26">
        <f t="shared" si="39"/>
        <v>0</v>
      </c>
      <c r="K204" s="26">
        <f t="shared" si="40"/>
        <v>0</v>
      </c>
      <c r="L204" s="26">
        <f t="shared" si="41"/>
        <v>0</v>
      </c>
      <c r="M204" s="26">
        <f t="shared" si="42"/>
        <v>0</v>
      </c>
      <c r="N204" s="26">
        <f t="shared" si="43"/>
        <v>0</v>
      </c>
      <c r="O204" s="26">
        <f t="shared" si="44"/>
        <v>0</v>
      </c>
      <c r="P204" s="26">
        <f t="shared" si="45"/>
        <v>0</v>
      </c>
      <c r="Q204" s="26">
        <f t="shared" si="46"/>
        <v>0</v>
      </c>
      <c r="R204" s="34">
        <f t="shared" si="47"/>
        <v>0</v>
      </c>
    </row>
    <row r="205" spans="7:18" thickBot="1" x14ac:dyDescent="0.35">
      <c r="G205" s="26">
        <f t="shared" si="36"/>
        <v>0</v>
      </c>
      <c r="H205" s="26">
        <f t="shared" si="37"/>
        <v>0</v>
      </c>
      <c r="I205" s="26">
        <f t="shared" si="38"/>
        <v>0</v>
      </c>
      <c r="J205" s="26">
        <f t="shared" si="39"/>
        <v>0</v>
      </c>
      <c r="K205" s="26">
        <f t="shared" si="40"/>
        <v>0</v>
      </c>
      <c r="L205" s="26">
        <f t="shared" si="41"/>
        <v>0</v>
      </c>
      <c r="M205" s="26">
        <f t="shared" si="42"/>
        <v>0</v>
      </c>
      <c r="N205" s="26">
        <f t="shared" si="43"/>
        <v>0</v>
      </c>
      <c r="O205" s="26">
        <f t="shared" si="44"/>
        <v>0</v>
      </c>
      <c r="P205" s="26">
        <f t="shared" si="45"/>
        <v>0</v>
      </c>
      <c r="Q205" s="26">
        <f t="shared" si="46"/>
        <v>0</v>
      </c>
      <c r="R205" s="34">
        <f t="shared" si="47"/>
        <v>0</v>
      </c>
    </row>
    <row r="206" spans="7:18" thickBot="1" x14ac:dyDescent="0.35">
      <c r="G206" s="26">
        <f t="shared" si="36"/>
        <v>0</v>
      </c>
      <c r="H206" s="26">
        <f t="shared" si="37"/>
        <v>0</v>
      </c>
      <c r="I206" s="26">
        <f t="shared" si="38"/>
        <v>0</v>
      </c>
      <c r="J206" s="26">
        <f t="shared" si="39"/>
        <v>0</v>
      </c>
      <c r="K206" s="26">
        <f t="shared" si="40"/>
        <v>0</v>
      </c>
      <c r="L206" s="26">
        <f t="shared" si="41"/>
        <v>0</v>
      </c>
      <c r="M206" s="26">
        <f t="shared" si="42"/>
        <v>0</v>
      </c>
      <c r="N206" s="26">
        <f t="shared" si="43"/>
        <v>0</v>
      </c>
      <c r="O206" s="26">
        <f t="shared" si="44"/>
        <v>0</v>
      </c>
      <c r="P206" s="26">
        <f t="shared" si="45"/>
        <v>0</v>
      </c>
      <c r="Q206" s="26">
        <f t="shared" si="46"/>
        <v>0</v>
      </c>
      <c r="R206" s="34">
        <f t="shared" si="47"/>
        <v>0</v>
      </c>
    </row>
    <row r="207" spans="7:18" thickBot="1" x14ac:dyDescent="0.35">
      <c r="G207" s="26">
        <f t="shared" si="36"/>
        <v>0</v>
      </c>
      <c r="H207" s="26">
        <f t="shared" si="37"/>
        <v>0</v>
      </c>
      <c r="I207" s="26">
        <f t="shared" si="38"/>
        <v>0</v>
      </c>
      <c r="J207" s="26">
        <f t="shared" si="39"/>
        <v>0</v>
      </c>
      <c r="K207" s="26">
        <f t="shared" si="40"/>
        <v>0</v>
      </c>
      <c r="L207" s="26">
        <f t="shared" si="41"/>
        <v>0</v>
      </c>
      <c r="M207" s="26">
        <f t="shared" si="42"/>
        <v>0</v>
      </c>
      <c r="N207" s="26">
        <f t="shared" si="43"/>
        <v>0</v>
      </c>
      <c r="O207" s="26">
        <f t="shared" si="44"/>
        <v>0</v>
      </c>
      <c r="P207" s="26">
        <f t="shared" si="45"/>
        <v>0</v>
      </c>
      <c r="Q207" s="26">
        <f t="shared" si="46"/>
        <v>0</v>
      </c>
      <c r="R207" s="34">
        <f t="shared" si="47"/>
        <v>0</v>
      </c>
    </row>
    <row r="208" spans="7:18" thickBot="1" x14ac:dyDescent="0.35">
      <c r="G208" s="26">
        <f t="shared" si="36"/>
        <v>0</v>
      </c>
      <c r="H208" s="26">
        <f t="shared" si="37"/>
        <v>0</v>
      </c>
      <c r="I208" s="26">
        <f t="shared" si="38"/>
        <v>0</v>
      </c>
      <c r="J208" s="26">
        <f t="shared" si="39"/>
        <v>0</v>
      </c>
      <c r="K208" s="26">
        <f t="shared" si="40"/>
        <v>0</v>
      </c>
      <c r="L208" s="26">
        <f t="shared" si="41"/>
        <v>0</v>
      </c>
      <c r="M208" s="26">
        <f t="shared" si="42"/>
        <v>0</v>
      </c>
      <c r="N208" s="26">
        <f t="shared" si="43"/>
        <v>0</v>
      </c>
      <c r="O208" s="26">
        <f t="shared" si="44"/>
        <v>0</v>
      </c>
      <c r="P208" s="26">
        <f t="shared" si="45"/>
        <v>0</v>
      </c>
      <c r="Q208" s="26">
        <f t="shared" si="46"/>
        <v>0</v>
      </c>
      <c r="R208" s="34">
        <f t="shared" si="47"/>
        <v>0</v>
      </c>
    </row>
    <row r="209" spans="7:18" thickBot="1" x14ac:dyDescent="0.35">
      <c r="G209" s="26">
        <f t="shared" si="36"/>
        <v>0</v>
      </c>
      <c r="H209" s="26">
        <f t="shared" si="37"/>
        <v>0</v>
      </c>
      <c r="I209" s="26">
        <f t="shared" si="38"/>
        <v>0</v>
      </c>
      <c r="J209" s="26">
        <f t="shared" si="39"/>
        <v>0</v>
      </c>
      <c r="K209" s="26">
        <f t="shared" si="40"/>
        <v>0</v>
      </c>
      <c r="L209" s="26">
        <f t="shared" si="41"/>
        <v>0</v>
      </c>
      <c r="M209" s="26">
        <f t="shared" si="42"/>
        <v>0</v>
      </c>
      <c r="N209" s="26">
        <f t="shared" si="43"/>
        <v>0</v>
      </c>
      <c r="O209" s="26">
        <f t="shared" si="44"/>
        <v>0</v>
      </c>
      <c r="P209" s="26">
        <f t="shared" si="45"/>
        <v>0</v>
      </c>
      <c r="Q209" s="26">
        <f t="shared" si="46"/>
        <v>0</v>
      </c>
      <c r="R209" s="34">
        <f t="shared" si="47"/>
        <v>0</v>
      </c>
    </row>
    <row r="210" spans="7:18" thickBot="1" x14ac:dyDescent="0.35">
      <c r="G210" s="26">
        <f t="shared" si="36"/>
        <v>0</v>
      </c>
      <c r="H210" s="26">
        <f t="shared" si="37"/>
        <v>0</v>
      </c>
      <c r="I210" s="26">
        <f t="shared" si="38"/>
        <v>0</v>
      </c>
      <c r="J210" s="26">
        <f t="shared" si="39"/>
        <v>0</v>
      </c>
      <c r="K210" s="26">
        <f t="shared" si="40"/>
        <v>0</v>
      </c>
      <c r="L210" s="26">
        <f t="shared" si="41"/>
        <v>0</v>
      </c>
      <c r="M210" s="26">
        <f t="shared" si="42"/>
        <v>0</v>
      </c>
      <c r="N210" s="26">
        <f t="shared" si="43"/>
        <v>0</v>
      </c>
      <c r="O210" s="26">
        <f t="shared" si="44"/>
        <v>0</v>
      </c>
      <c r="P210" s="26">
        <f t="shared" si="45"/>
        <v>0</v>
      </c>
      <c r="Q210" s="26">
        <f t="shared" si="46"/>
        <v>0</v>
      </c>
      <c r="R210" s="34">
        <f t="shared" si="47"/>
        <v>0</v>
      </c>
    </row>
    <row r="211" spans="7:18" thickBot="1" x14ac:dyDescent="0.35">
      <c r="G211" s="26">
        <f t="shared" si="36"/>
        <v>0</v>
      </c>
      <c r="H211" s="26">
        <f t="shared" si="37"/>
        <v>0</v>
      </c>
      <c r="I211" s="26">
        <f t="shared" si="38"/>
        <v>0</v>
      </c>
      <c r="J211" s="26">
        <f t="shared" si="39"/>
        <v>0</v>
      </c>
      <c r="K211" s="26">
        <f t="shared" si="40"/>
        <v>0</v>
      </c>
      <c r="L211" s="26">
        <f t="shared" si="41"/>
        <v>0</v>
      </c>
      <c r="M211" s="26">
        <f t="shared" si="42"/>
        <v>0</v>
      </c>
      <c r="N211" s="26">
        <f t="shared" si="43"/>
        <v>0</v>
      </c>
      <c r="O211" s="26">
        <f t="shared" si="44"/>
        <v>0</v>
      </c>
      <c r="P211" s="26">
        <f t="shared" si="45"/>
        <v>0</v>
      </c>
      <c r="Q211" s="26">
        <f t="shared" si="46"/>
        <v>0</v>
      </c>
      <c r="R211" s="34">
        <f t="shared" si="47"/>
        <v>0</v>
      </c>
    </row>
    <row r="212" spans="7:18" thickBot="1" x14ac:dyDescent="0.35">
      <c r="G212" s="26">
        <f t="shared" si="36"/>
        <v>0</v>
      </c>
      <c r="H212" s="26">
        <f t="shared" si="37"/>
        <v>0</v>
      </c>
      <c r="I212" s="26">
        <f t="shared" si="38"/>
        <v>0</v>
      </c>
      <c r="J212" s="26">
        <f t="shared" si="39"/>
        <v>0</v>
      </c>
      <c r="K212" s="26">
        <f t="shared" si="40"/>
        <v>0</v>
      </c>
      <c r="L212" s="26">
        <f t="shared" si="41"/>
        <v>0</v>
      </c>
      <c r="M212" s="26">
        <f t="shared" si="42"/>
        <v>0</v>
      </c>
      <c r="N212" s="26">
        <f t="shared" si="43"/>
        <v>0</v>
      </c>
      <c r="O212" s="26">
        <f t="shared" si="44"/>
        <v>0</v>
      </c>
      <c r="P212" s="26">
        <f t="shared" si="45"/>
        <v>0</v>
      </c>
      <c r="Q212" s="26">
        <f t="shared" si="46"/>
        <v>0</v>
      </c>
      <c r="R212" s="34">
        <f t="shared" si="47"/>
        <v>0</v>
      </c>
    </row>
    <row r="213" spans="7:18" thickBot="1" x14ac:dyDescent="0.35">
      <c r="G213" s="26">
        <f t="shared" si="36"/>
        <v>0</v>
      </c>
      <c r="H213" s="26">
        <f t="shared" si="37"/>
        <v>0</v>
      </c>
      <c r="I213" s="26">
        <f t="shared" si="38"/>
        <v>0</v>
      </c>
      <c r="J213" s="26">
        <f t="shared" si="39"/>
        <v>0</v>
      </c>
      <c r="K213" s="26">
        <f t="shared" si="40"/>
        <v>0</v>
      </c>
      <c r="L213" s="26">
        <f t="shared" si="41"/>
        <v>0</v>
      </c>
      <c r="M213" s="26">
        <f t="shared" si="42"/>
        <v>0</v>
      </c>
      <c r="N213" s="26">
        <f t="shared" si="43"/>
        <v>0</v>
      </c>
      <c r="O213" s="26">
        <f t="shared" si="44"/>
        <v>0</v>
      </c>
      <c r="P213" s="26">
        <f t="shared" si="45"/>
        <v>0</v>
      </c>
      <c r="Q213" s="26">
        <f t="shared" si="46"/>
        <v>0</v>
      </c>
      <c r="R213" s="34">
        <f t="shared" si="47"/>
        <v>0</v>
      </c>
    </row>
    <row r="214" spans="7:18" thickBot="1" x14ac:dyDescent="0.35">
      <c r="G214" s="26">
        <f t="shared" si="36"/>
        <v>0</v>
      </c>
      <c r="H214" s="26">
        <f t="shared" si="37"/>
        <v>0</v>
      </c>
      <c r="I214" s="26">
        <f t="shared" si="38"/>
        <v>0</v>
      </c>
      <c r="J214" s="26">
        <f t="shared" si="39"/>
        <v>0</v>
      </c>
      <c r="K214" s="26">
        <f t="shared" si="40"/>
        <v>0</v>
      </c>
      <c r="L214" s="26">
        <f t="shared" si="41"/>
        <v>0</v>
      </c>
      <c r="M214" s="26">
        <f t="shared" si="42"/>
        <v>0</v>
      </c>
      <c r="N214" s="26">
        <f t="shared" si="43"/>
        <v>0</v>
      </c>
      <c r="O214" s="26">
        <f t="shared" si="44"/>
        <v>0</v>
      </c>
      <c r="P214" s="26">
        <f t="shared" si="45"/>
        <v>0</v>
      </c>
      <c r="Q214" s="26">
        <f t="shared" si="46"/>
        <v>0</v>
      </c>
      <c r="R214" s="34">
        <f t="shared" si="47"/>
        <v>0</v>
      </c>
    </row>
    <row r="215" spans="7:18" thickBot="1" x14ac:dyDescent="0.35">
      <c r="G215" s="26">
        <f t="shared" si="36"/>
        <v>0</v>
      </c>
      <c r="H215" s="26">
        <f t="shared" si="37"/>
        <v>0</v>
      </c>
      <c r="I215" s="26">
        <f t="shared" si="38"/>
        <v>0</v>
      </c>
      <c r="J215" s="26">
        <f t="shared" si="39"/>
        <v>0</v>
      </c>
      <c r="K215" s="26">
        <f t="shared" si="40"/>
        <v>0</v>
      </c>
      <c r="L215" s="26">
        <f t="shared" si="41"/>
        <v>0</v>
      </c>
      <c r="M215" s="26">
        <f t="shared" si="42"/>
        <v>0</v>
      </c>
      <c r="N215" s="26">
        <f t="shared" si="43"/>
        <v>0</v>
      </c>
      <c r="O215" s="26">
        <f t="shared" si="44"/>
        <v>0</v>
      </c>
      <c r="P215" s="26">
        <f t="shared" si="45"/>
        <v>0</v>
      </c>
      <c r="Q215" s="26">
        <f t="shared" si="46"/>
        <v>0</v>
      </c>
      <c r="R215" s="34">
        <f t="shared" si="47"/>
        <v>0</v>
      </c>
    </row>
    <row r="216" spans="7:18" thickBot="1" x14ac:dyDescent="0.35">
      <c r="G216" s="26">
        <f t="shared" si="36"/>
        <v>0</v>
      </c>
      <c r="H216" s="26">
        <f t="shared" si="37"/>
        <v>0</v>
      </c>
      <c r="I216" s="26">
        <f t="shared" si="38"/>
        <v>0</v>
      </c>
      <c r="J216" s="26">
        <f t="shared" si="39"/>
        <v>0</v>
      </c>
      <c r="K216" s="26">
        <f t="shared" si="40"/>
        <v>0</v>
      </c>
      <c r="L216" s="26">
        <f t="shared" si="41"/>
        <v>0</v>
      </c>
      <c r="M216" s="26">
        <f t="shared" si="42"/>
        <v>0</v>
      </c>
      <c r="N216" s="26">
        <f t="shared" si="43"/>
        <v>0</v>
      </c>
      <c r="O216" s="26">
        <f t="shared" si="44"/>
        <v>0</v>
      </c>
      <c r="P216" s="26">
        <f t="shared" si="45"/>
        <v>0</v>
      </c>
      <c r="Q216" s="26">
        <f t="shared" si="46"/>
        <v>0</v>
      </c>
      <c r="R216" s="34">
        <f t="shared" si="47"/>
        <v>0</v>
      </c>
    </row>
    <row r="217" spans="7:18" thickBot="1" x14ac:dyDescent="0.35">
      <c r="G217" s="26">
        <f t="shared" si="36"/>
        <v>0</v>
      </c>
      <c r="H217" s="26">
        <f t="shared" si="37"/>
        <v>0</v>
      </c>
      <c r="I217" s="26">
        <f t="shared" si="38"/>
        <v>0</v>
      </c>
      <c r="J217" s="26">
        <f t="shared" si="39"/>
        <v>0</v>
      </c>
      <c r="K217" s="26">
        <f t="shared" si="40"/>
        <v>0</v>
      </c>
      <c r="L217" s="26">
        <f t="shared" si="41"/>
        <v>0</v>
      </c>
      <c r="M217" s="26">
        <f t="shared" si="42"/>
        <v>0</v>
      </c>
      <c r="N217" s="26">
        <f t="shared" si="43"/>
        <v>0</v>
      </c>
      <c r="O217" s="26">
        <f t="shared" si="44"/>
        <v>0</v>
      </c>
      <c r="P217" s="26">
        <f t="shared" si="45"/>
        <v>0</v>
      </c>
      <c r="Q217" s="26">
        <f t="shared" si="46"/>
        <v>0</v>
      </c>
      <c r="R217" s="34">
        <f t="shared" si="47"/>
        <v>0</v>
      </c>
    </row>
    <row r="218" spans="7:18" thickBot="1" x14ac:dyDescent="0.35">
      <c r="G218" s="26">
        <f t="shared" si="36"/>
        <v>0</v>
      </c>
      <c r="H218" s="26">
        <f t="shared" si="37"/>
        <v>0</v>
      </c>
      <c r="I218" s="26">
        <f t="shared" si="38"/>
        <v>0</v>
      </c>
      <c r="J218" s="26">
        <f t="shared" si="39"/>
        <v>0</v>
      </c>
      <c r="K218" s="26">
        <f t="shared" si="40"/>
        <v>0</v>
      </c>
      <c r="L218" s="26">
        <f t="shared" si="41"/>
        <v>0</v>
      </c>
      <c r="M218" s="26">
        <f t="shared" si="42"/>
        <v>0</v>
      </c>
      <c r="N218" s="26">
        <f t="shared" si="43"/>
        <v>0</v>
      </c>
      <c r="O218" s="26">
        <f t="shared" si="44"/>
        <v>0</v>
      </c>
      <c r="P218" s="26">
        <f t="shared" si="45"/>
        <v>0</v>
      </c>
      <c r="Q218" s="26">
        <f t="shared" si="46"/>
        <v>0</v>
      </c>
      <c r="R218" s="34">
        <f t="shared" si="47"/>
        <v>0</v>
      </c>
    </row>
    <row r="219" spans="7:18" thickBot="1" x14ac:dyDescent="0.35">
      <c r="G219" s="26">
        <f t="shared" si="36"/>
        <v>0</v>
      </c>
      <c r="H219" s="26">
        <f t="shared" si="37"/>
        <v>0</v>
      </c>
      <c r="I219" s="26">
        <f t="shared" si="38"/>
        <v>0</v>
      </c>
      <c r="J219" s="26">
        <f t="shared" si="39"/>
        <v>0</v>
      </c>
      <c r="K219" s="26">
        <f t="shared" si="40"/>
        <v>0</v>
      </c>
      <c r="L219" s="26">
        <f t="shared" si="41"/>
        <v>0</v>
      </c>
      <c r="M219" s="26">
        <f t="shared" si="42"/>
        <v>0</v>
      </c>
      <c r="N219" s="26">
        <f t="shared" si="43"/>
        <v>0</v>
      </c>
      <c r="O219" s="26">
        <f t="shared" si="44"/>
        <v>0</v>
      </c>
      <c r="P219" s="26">
        <f t="shared" si="45"/>
        <v>0</v>
      </c>
      <c r="Q219" s="26">
        <f t="shared" si="46"/>
        <v>0</v>
      </c>
      <c r="R219" s="34">
        <f t="shared" si="47"/>
        <v>0</v>
      </c>
    </row>
    <row r="220" spans="7:18" thickBot="1" x14ac:dyDescent="0.35">
      <c r="G220" s="26">
        <f t="shared" si="36"/>
        <v>0</v>
      </c>
      <c r="H220" s="26">
        <f t="shared" si="37"/>
        <v>0</v>
      </c>
      <c r="I220" s="26">
        <f t="shared" si="38"/>
        <v>0</v>
      </c>
      <c r="J220" s="26">
        <f t="shared" si="39"/>
        <v>0</v>
      </c>
      <c r="K220" s="26">
        <f t="shared" si="40"/>
        <v>0</v>
      </c>
      <c r="L220" s="26">
        <f t="shared" si="41"/>
        <v>0</v>
      </c>
      <c r="M220" s="26">
        <f t="shared" si="42"/>
        <v>0</v>
      </c>
      <c r="N220" s="26">
        <f t="shared" si="43"/>
        <v>0</v>
      </c>
      <c r="O220" s="26">
        <f t="shared" si="44"/>
        <v>0</v>
      </c>
      <c r="P220" s="26">
        <f t="shared" si="45"/>
        <v>0</v>
      </c>
      <c r="Q220" s="26">
        <f t="shared" si="46"/>
        <v>0</v>
      </c>
      <c r="R220" s="34">
        <f t="shared" si="47"/>
        <v>0</v>
      </c>
    </row>
    <row r="221" spans="7:18" thickBot="1" x14ac:dyDescent="0.35">
      <c r="G221" s="26">
        <f t="shared" si="36"/>
        <v>0</v>
      </c>
      <c r="H221" s="26">
        <f t="shared" si="37"/>
        <v>0</v>
      </c>
      <c r="I221" s="26">
        <f t="shared" si="38"/>
        <v>0</v>
      </c>
      <c r="J221" s="26">
        <f t="shared" si="39"/>
        <v>0</v>
      </c>
      <c r="K221" s="26">
        <f t="shared" si="40"/>
        <v>0</v>
      </c>
      <c r="L221" s="26">
        <f t="shared" si="41"/>
        <v>0</v>
      </c>
      <c r="M221" s="26">
        <f t="shared" si="42"/>
        <v>0</v>
      </c>
      <c r="N221" s="26">
        <f t="shared" si="43"/>
        <v>0</v>
      </c>
      <c r="O221" s="26">
        <f t="shared" si="44"/>
        <v>0</v>
      </c>
      <c r="P221" s="26">
        <f t="shared" si="45"/>
        <v>0</v>
      </c>
      <c r="Q221" s="26">
        <f t="shared" si="46"/>
        <v>0</v>
      </c>
      <c r="R221" s="34">
        <f t="shared" si="47"/>
        <v>0</v>
      </c>
    </row>
    <row r="222" spans="7:18" thickBot="1" x14ac:dyDescent="0.35">
      <c r="G222" s="26">
        <f t="shared" si="36"/>
        <v>0</v>
      </c>
      <c r="H222" s="26">
        <f t="shared" si="37"/>
        <v>0</v>
      </c>
      <c r="I222" s="26">
        <f t="shared" si="38"/>
        <v>0</v>
      </c>
      <c r="J222" s="26">
        <f t="shared" si="39"/>
        <v>0</v>
      </c>
      <c r="K222" s="26">
        <f t="shared" si="40"/>
        <v>0</v>
      </c>
      <c r="L222" s="26">
        <f t="shared" si="41"/>
        <v>0</v>
      </c>
      <c r="M222" s="26">
        <f t="shared" si="42"/>
        <v>0</v>
      </c>
      <c r="N222" s="26">
        <f t="shared" si="43"/>
        <v>0</v>
      </c>
      <c r="O222" s="26">
        <f t="shared" si="44"/>
        <v>0</v>
      </c>
      <c r="P222" s="26">
        <f t="shared" si="45"/>
        <v>0</v>
      </c>
      <c r="Q222" s="26">
        <f t="shared" si="46"/>
        <v>0</v>
      </c>
      <c r="R222" s="34">
        <f t="shared" si="47"/>
        <v>0</v>
      </c>
    </row>
    <row r="223" spans="7:18" thickBot="1" x14ac:dyDescent="0.35">
      <c r="G223" s="26">
        <f t="shared" si="36"/>
        <v>0</v>
      </c>
      <c r="H223" s="26">
        <f t="shared" si="37"/>
        <v>0</v>
      </c>
      <c r="I223" s="26">
        <f t="shared" si="38"/>
        <v>0</v>
      </c>
      <c r="J223" s="26">
        <f t="shared" si="39"/>
        <v>0</v>
      </c>
      <c r="K223" s="26">
        <f t="shared" si="40"/>
        <v>0</v>
      </c>
      <c r="L223" s="26">
        <f t="shared" si="41"/>
        <v>0</v>
      </c>
      <c r="M223" s="26">
        <f t="shared" si="42"/>
        <v>0</v>
      </c>
      <c r="N223" s="26">
        <f t="shared" si="43"/>
        <v>0</v>
      </c>
      <c r="O223" s="26">
        <f t="shared" si="44"/>
        <v>0</v>
      </c>
      <c r="P223" s="26">
        <f t="shared" si="45"/>
        <v>0</v>
      </c>
      <c r="Q223" s="26">
        <f t="shared" si="46"/>
        <v>0</v>
      </c>
      <c r="R223" s="34">
        <f t="shared" si="47"/>
        <v>0</v>
      </c>
    </row>
    <row r="224" spans="7:18" thickBot="1" x14ac:dyDescent="0.35">
      <c r="G224" s="26">
        <f t="shared" si="36"/>
        <v>0</v>
      </c>
      <c r="H224" s="26">
        <f t="shared" si="37"/>
        <v>0</v>
      </c>
      <c r="I224" s="26">
        <f t="shared" si="38"/>
        <v>0</v>
      </c>
      <c r="J224" s="26">
        <f t="shared" si="39"/>
        <v>0</v>
      </c>
      <c r="K224" s="26">
        <f t="shared" si="40"/>
        <v>0</v>
      </c>
      <c r="L224" s="26">
        <f t="shared" si="41"/>
        <v>0</v>
      </c>
      <c r="M224" s="26">
        <f t="shared" si="42"/>
        <v>0</v>
      </c>
      <c r="N224" s="26">
        <f t="shared" si="43"/>
        <v>0</v>
      </c>
      <c r="O224" s="26">
        <f t="shared" si="44"/>
        <v>0</v>
      </c>
      <c r="P224" s="26">
        <f t="shared" si="45"/>
        <v>0</v>
      </c>
      <c r="Q224" s="26">
        <f t="shared" si="46"/>
        <v>0</v>
      </c>
      <c r="R224" s="34">
        <f t="shared" si="47"/>
        <v>0</v>
      </c>
    </row>
    <row r="225" spans="7:18" thickBot="1" x14ac:dyDescent="0.35">
      <c r="G225" s="26">
        <f t="shared" si="36"/>
        <v>0</v>
      </c>
      <c r="H225" s="26">
        <f t="shared" si="37"/>
        <v>0</v>
      </c>
      <c r="I225" s="26">
        <f t="shared" si="38"/>
        <v>0</v>
      </c>
      <c r="J225" s="26">
        <f t="shared" si="39"/>
        <v>0</v>
      </c>
      <c r="K225" s="26">
        <f t="shared" si="40"/>
        <v>0</v>
      </c>
      <c r="L225" s="26">
        <f t="shared" si="41"/>
        <v>0</v>
      </c>
      <c r="M225" s="26">
        <f t="shared" si="42"/>
        <v>0</v>
      </c>
      <c r="N225" s="26">
        <f t="shared" si="43"/>
        <v>0</v>
      </c>
      <c r="O225" s="26">
        <f t="shared" si="44"/>
        <v>0</v>
      </c>
      <c r="P225" s="26">
        <f t="shared" si="45"/>
        <v>0</v>
      </c>
      <c r="Q225" s="26">
        <f t="shared" si="46"/>
        <v>0</v>
      </c>
      <c r="R225" s="34">
        <f t="shared" si="47"/>
        <v>0</v>
      </c>
    </row>
    <row r="226" spans="7:18" thickBot="1" x14ac:dyDescent="0.35">
      <c r="G226" s="26">
        <f t="shared" si="36"/>
        <v>0</v>
      </c>
      <c r="H226" s="26">
        <f t="shared" si="37"/>
        <v>0</v>
      </c>
      <c r="I226" s="26">
        <f t="shared" si="38"/>
        <v>0</v>
      </c>
      <c r="J226" s="26">
        <f t="shared" si="39"/>
        <v>0</v>
      </c>
      <c r="K226" s="26">
        <f t="shared" si="40"/>
        <v>0</v>
      </c>
      <c r="L226" s="26">
        <f t="shared" si="41"/>
        <v>0</v>
      </c>
      <c r="M226" s="26">
        <f t="shared" si="42"/>
        <v>0</v>
      </c>
      <c r="N226" s="26">
        <f t="shared" si="43"/>
        <v>0</v>
      </c>
      <c r="O226" s="26">
        <f t="shared" si="44"/>
        <v>0</v>
      </c>
      <c r="P226" s="26">
        <f t="shared" si="45"/>
        <v>0</v>
      </c>
      <c r="Q226" s="26">
        <f t="shared" si="46"/>
        <v>0</v>
      </c>
      <c r="R226" s="34">
        <f t="shared" si="47"/>
        <v>0</v>
      </c>
    </row>
    <row r="227" spans="7:18" thickBot="1" x14ac:dyDescent="0.35">
      <c r="G227" s="26">
        <f t="shared" si="36"/>
        <v>0</v>
      </c>
      <c r="H227" s="26">
        <f t="shared" si="37"/>
        <v>0</v>
      </c>
      <c r="I227" s="26">
        <f t="shared" si="38"/>
        <v>0</v>
      </c>
      <c r="J227" s="26">
        <f t="shared" si="39"/>
        <v>0</v>
      </c>
      <c r="K227" s="26">
        <f t="shared" si="40"/>
        <v>0</v>
      </c>
      <c r="L227" s="26">
        <f t="shared" si="41"/>
        <v>0</v>
      </c>
      <c r="M227" s="26">
        <f t="shared" si="42"/>
        <v>0</v>
      </c>
      <c r="N227" s="26">
        <f t="shared" si="43"/>
        <v>0</v>
      </c>
      <c r="O227" s="26">
        <f t="shared" si="44"/>
        <v>0</v>
      </c>
      <c r="P227" s="26">
        <f t="shared" si="45"/>
        <v>0</v>
      </c>
      <c r="Q227" s="26">
        <f t="shared" si="46"/>
        <v>0</v>
      </c>
      <c r="R227" s="34">
        <f t="shared" si="47"/>
        <v>0</v>
      </c>
    </row>
    <row r="228" spans="7:18" thickBot="1" x14ac:dyDescent="0.35">
      <c r="G228" s="26">
        <f t="shared" si="36"/>
        <v>0</v>
      </c>
      <c r="H228" s="26">
        <f t="shared" si="37"/>
        <v>0</v>
      </c>
      <c r="I228" s="26">
        <f t="shared" si="38"/>
        <v>0</v>
      </c>
      <c r="J228" s="26">
        <f t="shared" si="39"/>
        <v>0</v>
      </c>
      <c r="K228" s="26">
        <f t="shared" si="40"/>
        <v>0</v>
      </c>
      <c r="L228" s="26">
        <f t="shared" si="41"/>
        <v>0</v>
      </c>
      <c r="M228" s="26">
        <f t="shared" si="42"/>
        <v>0</v>
      </c>
      <c r="N228" s="26">
        <f t="shared" si="43"/>
        <v>0</v>
      </c>
      <c r="O228" s="26">
        <f t="shared" si="44"/>
        <v>0</v>
      </c>
      <c r="P228" s="26">
        <f t="shared" si="45"/>
        <v>0</v>
      </c>
      <c r="Q228" s="26">
        <f t="shared" si="46"/>
        <v>0</v>
      </c>
      <c r="R228" s="34">
        <f t="shared" si="47"/>
        <v>0</v>
      </c>
    </row>
    <row r="229" spans="7:18" thickBot="1" x14ac:dyDescent="0.35">
      <c r="G229" s="26">
        <f t="shared" si="36"/>
        <v>0</v>
      </c>
      <c r="H229" s="26">
        <f t="shared" si="37"/>
        <v>0</v>
      </c>
      <c r="I229" s="26">
        <f t="shared" si="38"/>
        <v>0</v>
      </c>
      <c r="J229" s="26">
        <f t="shared" si="39"/>
        <v>0</v>
      </c>
      <c r="K229" s="26">
        <f t="shared" si="40"/>
        <v>0</v>
      </c>
      <c r="L229" s="26">
        <f t="shared" si="41"/>
        <v>0</v>
      </c>
      <c r="M229" s="26">
        <f t="shared" si="42"/>
        <v>0</v>
      </c>
      <c r="N229" s="26">
        <f t="shared" si="43"/>
        <v>0</v>
      </c>
      <c r="O229" s="26">
        <f t="shared" si="44"/>
        <v>0</v>
      </c>
      <c r="P229" s="26">
        <f t="shared" si="45"/>
        <v>0</v>
      </c>
      <c r="Q229" s="26">
        <f t="shared" si="46"/>
        <v>0</v>
      </c>
      <c r="R229" s="34">
        <f t="shared" si="47"/>
        <v>0</v>
      </c>
    </row>
    <row r="230" spans="7:18" thickBot="1" x14ac:dyDescent="0.35">
      <c r="G230" s="26">
        <f t="shared" si="36"/>
        <v>0</v>
      </c>
      <c r="H230" s="26">
        <f t="shared" si="37"/>
        <v>0</v>
      </c>
      <c r="I230" s="26">
        <f t="shared" si="38"/>
        <v>0</v>
      </c>
      <c r="J230" s="26">
        <f t="shared" si="39"/>
        <v>0</v>
      </c>
      <c r="K230" s="26">
        <f t="shared" si="40"/>
        <v>0</v>
      </c>
      <c r="L230" s="26">
        <f t="shared" si="41"/>
        <v>0</v>
      </c>
      <c r="M230" s="26">
        <f t="shared" si="42"/>
        <v>0</v>
      </c>
      <c r="N230" s="26">
        <f t="shared" si="43"/>
        <v>0</v>
      </c>
      <c r="O230" s="26">
        <f t="shared" si="44"/>
        <v>0</v>
      </c>
      <c r="P230" s="26">
        <f t="shared" si="45"/>
        <v>0</v>
      </c>
      <c r="Q230" s="26">
        <f t="shared" si="46"/>
        <v>0</v>
      </c>
      <c r="R230" s="34">
        <f t="shared" si="47"/>
        <v>0</v>
      </c>
    </row>
    <row r="231" spans="7:18" thickBot="1" x14ac:dyDescent="0.35">
      <c r="G231" s="26">
        <f t="shared" si="36"/>
        <v>0</v>
      </c>
      <c r="H231" s="26">
        <f t="shared" si="37"/>
        <v>0</v>
      </c>
      <c r="I231" s="26">
        <f t="shared" si="38"/>
        <v>0</v>
      </c>
      <c r="J231" s="26">
        <f t="shared" si="39"/>
        <v>0</v>
      </c>
      <c r="K231" s="26">
        <f t="shared" si="40"/>
        <v>0</v>
      </c>
      <c r="L231" s="26">
        <f t="shared" si="41"/>
        <v>0</v>
      </c>
      <c r="M231" s="26">
        <f t="shared" si="42"/>
        <v>0</v>
      </c>
      <c r="N231" s="26">
        <f t="shared" si="43"/>
        <v>0</v>
      </c>
      <c r="O231" s="26">
        <f t="shared" si="44"/>
        <v>0</v>
      </c>
      <c r="P231" s="26">
        <f t="shared" si="45"/>
        <v>0</v>
      </c>
      <c r="Q231" s="26">
        <f t="shared" si="46"/>
        <v>0</v>
      </c>
      <c r="R231" s="34">
        <f t="shared" si="47"/>
        <v>0</v>
      </c>
    </row>
    <row r="232" spans="7:18" thickBot="1" x14ac:dyDescent="0.35">
      <c r="G232" s="26">
        <f t="shared" si="36"/>
        <v>0</v>
      </c>
      <c r="H232" s="26">
        <f t="shared" si="37"/>
        <v>0</v>
      </c>
      <c r="I232" s="26">
        <f t="shared" si="38"/>
        <v>0</v>
      </c>
      <c r="J232" s="26">
        <f t="shared" si="39"/>
        <v>0</v>
      </c>
      <c r="K232" s="26">
        <f t="shared" si="40"/>
        <v>0</v>
      </c>
      <c r="L232" s="26">
        <f t="shared" si="41"/>
        <v>0</v>
      </c>
      <c r="M232" s="26">
        <f t="shared" si="42"/>
        <v>0</v>
      </c>
      <c r="N232" s="26">
        <f t="shared" si="43"/>
        <v>0</v>
      </c>
      <c r="O232" s="26">
        <f t="shared" si="44"/>
        <v>0</v>
      </c>
      <c r="P232" s="26">
        <f t="shared" si="45"/>
        <v>0</v>
      </c>
      <c r="Q232" s="26">
        <f t="shared" si="46"/>
        <v>0</v>
      </c>
      <c r="R232" s="34">
        <f t="shared" si="47"/>
        <v>0</v>
      </c>
    </row>
    <row r="233" spans="7:18" thickBot="1" x14ac:dyDescent="0.35">
      <c r="G233" s="26">
        <f t="shared" si="36"/>
        <v>0</v>
      </c>
      <c r="H233" s="26">
        <f t="shared" si="37"/>
        <v>0</v>
      </c>
      <c r="I233" s="26">
        <f t="shared" si="38"/>
        <v>0</v>
      </c>
      <c r="J233" s="26">
        <f t="shared" si="39"/>
        <v>0</v>
      </c>
      <c r="K233" s="26">
        <f t="shared" si="40"/>
        <v>0</v>
      </c>
      <c r="L233" s="26">
        <f t="shared" si="41"/>
        <v>0</v>
      </c>
      <c r="M233" s="26">
        <f t="shared" si="42"/>
        <v>0</v>
      </c>
      <c r="N233" s="26">
        <f t="shared" si="43"/>
        <v>0</v>
      </c>
      <c r="O233" s="26">
        <f t="shared" si="44"/>
        <v>0</v>
      </c>
      <c r="P233" s="26">
        <f t="shared" si="45"/>
        <v>0</v>
      </c>
      <c r="Q233" s="26">
        <f t="shared" si="46"/>
        <v>0</v>
      </c>
      <c r="R233" s="34">
        <f t="shared" si="47"/>
        <v>0</v>
      </c>
    </row>
    <row r="234" spans="7:18" thickBot="1" x14ac:dyDescent="0.35">
      <c r="G234" s="26">
        <f t="shared" si="36"/>
        <v>0</v>
      </c>
      <c r="H234" s="26">
        <f t="shared" si="37"/>
        <v>0</v>
      </c>
      <c r="I234" s="26">
        <f t="shared" si="38"/>
        <v>0</v>
      </c>
      <c r="J234" s="26">
        <f t="shared" si="39"/>
        <v>0</v>
      </c>
      <c r="K234" s="26">
        <f t="shared" si="40"/>
        <v>0</v>
      </c>
      <c r="L234" s="26">
        <f t="shared" si="41"/>
        <v>0</v>
      </c>
      <c r="M234" s="26">
        <f t="shared" si="42"/>
        <v>0</v>
      </c>
      <c r="N234" s="26">
        <f t="shared" si="43"/>
        <v>0</v>
      </c>
      <c r="O234" s="26">
        <f t="shared" si="44"/>
        <v>0</v>
      </c>
      <c r="P234" s="26">
        <f t="shared" si="45"/>
        <v>0</v>
      </c>
      <c r="Q234" s="26">
        <f t="shared" si="46"/>
        <v>0</v>
      </c>
      <c r="R234" s="34">
        <f t="shared" si="47"/>
        <v>0</v>
      </c>
    </row>
    <row r="235" spans="7:18" thickBot="1" x14ac:dyDescent="0.35">
      <c r="G235" s="26">
        <f t="shared" si="36"/>
        <v>0</v>
      </c>
      <c r="H235" s="26">
        <f t="shared" si="37"/>
        <v>0</v>
      </c>
      <c r="I235" s="26">
        <f t="shared" si="38"/>
        <v>0</v>
      </c>
      <c r="J235" s="26">
        <f t="shared" si="39"/>
        <v>0</v>
      </c>
      <c r="K235" s="26">
        <f t="shared" si="40"/>
        <v>0</v>
      </c>
      <c r="L235" s="26">
        <f t="shared" si="41"/>
        <v>0</v>
      </c>
      <c r="M235" s="26">
        <f t="shared" si="42"/>
        <v>0</v>
      </c>
      <c r="N235" s="26">
        <f t="shared" si="43"/>
        <v>0</v>
      </c>
      <c r="O235" s="26">
        <f t="shared" si="44"/>
        <v>0</v>
      </c>
      <c r="P235" s="26">
        <f t="shared" si="45"/>
        <v>0</v>
      </c>
      <c r="Q235" s="26">
        <f t="shared" si="46"/>
        <v>0</v>
      </c>
      <c r="R235" s="34">
        <f t="shared" si="47"/>
        <v>0</v>
      </c>
    </row>
    <row r="236" spans="7:18" thickBot="1" x14ac:dyDescent="0.35">
      <c r="G236" s="26">
        <f t="shared" si="36"/>
        <v>0</v>
      </c>
      <c r="H236" s="26">
        <f t="shared" si="37"/>
        <v>0</v>
      </c>
      <c r="I236" s="26">
        <f t="shared" si="38"/>
        <v>0</v>
      </c>
      <c r="J236" s="26">
        <f t="shared" si="39"/>
        <v>0</v>
      </c>
      <c r="K236" s="26">
        <f t="shared" si="40"/>
        <v>0</v>
      </c>
      <c r="L236" s="26">
        <f t="shared" si="41"/>
        <v>0</v>
      </c>
      <c r="M236" s="26">
        <f t="shared" si="42"/>
        <v>0</v>
      </c>
      <c r="N236" s="26">
        <f t="shared" si="43"/>
        <v>0</v>
      </c>
      <c r="O236" s="26">
        <f t="shared" si="44"/>
        <v>0</v>
      </c>
      <c r="P236" s="26">
        <f t="shared" si="45"/>
        <v>0</v>
      </c>
      <c r="Q236" s="26">
        <f t="shared" si="46"/>
        <v>0</v>
      </c>
      <c r="R236" s="34">
        <f t="shared" si="47"/>
        <v>0</v>
      </c>
    </row>
    <row r="237" spans="7:18" thickBot="1" x14ac:dyDescent="0.35">
      <c r="G237" s="26">
        <f t="shared" si="36"/>
        <v>0</v>
      </c>
      <c r="H237" s="26">
        <f t="shared" si="37"/>
        <v>0</v>
      </c>
      <c r="I237" s="26">
        <f t="shared" si="38"/>
        <v>0</v>
      </c>
      <c r="J237" s="26">
        <f t="shared" si="39"/>
        <v>0</v>
      </c>
      <c r="K237" s="26">
        <f t="shared" si="40"/>
        <v>0</v>
      </c>
      <c r="L237" s="26">
        <f t="shared" si="41"/>
        <v>0</v>
      </c>
      <c r="M237" s="26">
        <f t="shared" si="42"/>
        <v>0</v>
      </c>
      <c r="N237" s="26">
        <f t="shared" si="43"/>
        <v>0</v>
      </c>
      <c r="O237" s="26">
        <f t="shared" si="44"/>
        <v>0</v>
      </c>
      <c r="P237" s="26">
        <f t="shared" si="45"/>
        <v>0</v>
      </c>
      <c r="Q237" s="26">
        <f t="shared" si="46"/>
        <v>0</v>
      </c>
      <c r="R237" s="34">
        <f t="shared" si="47"/>
        <v>0</v>
      </c>
    </row>
    <row r="238" spans="7:18" thickBot="1" x14ac:dyDescent="0.35">
      <c r="G238" s="26">
        <f t="shared" si="36"/>
        <v>0</v>
      </c>
      <c r="H238" s="26">
        <f t="shared" si="37"/>
        <v>0</v>
      </c>
      <c r="I238" s="26">
        <f t="shared" si="38"/>
        <v>0</v>
      </c>
      <c r="J238" s="26">
        <f t="shared" si="39"/>
        <v>0</v>
      </c>
      <c r="K238" s="26">
        <f t="shared" si="40"/>
        <v>0</v>
      </c>
      <c r="L238" s="26">
        <f t="shared" si="41"/>
        <v>0</v>
      </c>
      <c r="M238" s="26">
        <f t="shared" si="42"/>
        <v>0</v>
      </c>
      <c r="N238" s="26">
        <f t="shared" si="43"/>
        <v>0</v>
      </c>
      <c r="O238" s="26">
        <f t="shared" si="44"/>
        <v>0</v>
      </c>
      <c r="P238" s="26">
        <f t="shared" si="45"/>
        <v>0</v>
      </c>
      <c r="Q238" s="26">
        <f t="shared" si="46"/>
        <v>0</v>
      </c>
      <c r="R238" s="34">
        <f t="shared" si="47"/>
        <v>0</v>
      </c>
    </row>
    <row r="239" spans="7:18" thickBot="1" x14ac:dyDescent="0.35">
      <c r="G239" s="26">
        <f t="shared" si="36"/>
        <v>0</v>
      </c>
      <c r="H239" s="26">
        <f t="shared" si="37"/>
        <v>0</v>
      </c>
      <c r="I239" s="26">
        <f t="shared" si="38"/>
        <v>0</v>
      </c>
      <c r="J239" s="26">
        <f t="shared" si="39"/>
        <v>0</v>
      </c>
      <c r="K239" s="26">
        <f t="shared" si="40"/>
        <v>0</v>
      </c>
      <c r="L239" s="26">
        <f t="shared" si="41"/>
        <v>0</v>
      </c>
      <c r="M239" s="26">
        <f t="shared" si="42"/>
        <v>0</v>
      </c>
      <c r="N239" s="26">
        <f t="shared" si="43"/>
        <v>0</v>
      </c>
      <c r="O239" s="26">
        <f t="shared" si="44"/>
        <v>0</v>
      </c>
      <c r="P239" s="26">
        <f t="shared" si="45"/>
        <v>0</v>
      </c>
      <c r="Q239" s="26">
        <f t="shared" si="46"/>
        <v>0</v>
      </c>
      <c r="R239" s="34">
        <f t="shared" si="47"/>
        <v>0</v>
      </c>
    </row>
    <row r="240" spans="7:18" thickBot="1" x14ac:dyDescent="0.35">
      <c r="G240" s="26">
        <f t="shared" si="36"/>
        <v>0</v>
      </c>
      <c r="H240" s="26">
        <f t="shared" si="37"/>
        <v>0</v>
      </c>
      <c r="I240" s="26">
        <f t="shared" si="38"/>
        <v>0</v>
      </c>
      <c r="J240" s="26">
        <f t="shared" si="39"/>
        <v>0</v>
      </c>
      <c r="K240" s="26">
        <f t="shared" si="40"/>
        <v>0</v>
      </c>
      <c r="L240" s="26">
        <f t="shared" si="41"/>
        <v>0</v>
      </c>
      <c r="M240" s="26">
        <f t="shared" si="42"/>
        <v>0</v>
      </c>
      <c r="N240" s="26">
        <f t="shared" si="43"/>
        <v>0</v>
      </c>
      <c r="O240" s="26">
        <f t="shared" si="44"/>
        <v>0</v>
      </c>
      <c r="P240" s="26">
        <f t="shared" si="45"/>
        <v>0</v>
      </c>
      <c r="Q240" s="26">
        <f t="shared" si="46"/>
        <v>0</v>
      </c>
      <c r="R240" s="34">
        <f t="shared" si="47"/>
        <v>0</v>
      </c>
    </row>
    <row r="241" spans="7:18" thickBot="1" x14ac:dyDescent="0.35">
      <c r="G241" s="26">
        <f t="shared" si="36"/>
        <v>0</v>
      </c>
      <c r="H241" s="26">
        <f t="shared" si="37"/>
        <v>0</v>
      </c>
      <c r="I241" s="26">
        <f t="shared" si="38"/>
        <v>0</v>
      </c>
      <c r="J241" s="26">
        <f t="shared" si="39"/>
        <v>0</v>
      </c>
      <c r="K241" s="26">
        <f t="shared" si="40"/>
        <v>0</v>
      </c>
      <c r="L241" s="26">
        <f t="shared" si="41"/>
        <v>0</v>
      </c>
      <c r="M241" s="26">
        <f t="shared" si="42"/>
        <v>0</v>
      </c>
      <c r="N241" s="26">
        <f t="shared" si="43"/>
        <v>0</v>
      </c>
      <c r="O241" s="26">
        <f t="shared" si="44"/>
        <v>0</v>
      </c>
      <c r="P241" s="26">
        <f t="shared" si="45"/>
        <v>0</v>
      </c>
      <c r="Q241" s="26">
        <f t="shared" si="46"/>
        <v>0</v>
      </c>
      <c r="R241" s="34">
        <f t="shared" si="47"/>
        <v>0</v>
      </c>
    </row>
    <row r="242" spans="7:18" thickBot="1" x14ac:dyDescent="0.35">
      <c r="G242" s="26">
        <f t="shared" si="36"/>
        <v>0</v>
      </c>
      <c r="H242" s="26">
        <f t="shared" si="37"/>
        <v>0</v>
      </c>
      <c r="I242" s="26">
        <f t="shared" si="38"/>
        <v>0</v>
      </c>
      <c r="J242" s="26">
        <f t="shared" si="39"/>
        <v>0</v>
      </c>
      <c r="K242" s="26">
        <f t="shared" si="40"/>
        <v>0</v>
      </c>
      <c r="L242" s="26">
        <f t="shared" si="41"/>
        <v>0</v>
      </c>
      <c r="M242" s="26">
        <f t="shared" si="42"/>
        <v>0</v>
      </c>
      <c r="N242" s="26">
        <f t="shared" si="43"/>
        <v>0</v>
      </c>
      <c r="O242" s="26">
        <f t="shared" si="44"/>
        <v>0</v>
      </c>
      <c r="P242" s="26">
        <f t="shared" si="45"/>
        <v>0</v>
      </c>
      <c r="Q242" s="26">
        <f t="shared" si="46"/>
        <v>0</v>
      </c>
      <c r="R242" s="34">
        <f t="shared" si="47"/>
        <v>0</v>
      </c>
    </row>
    <row r="243" spans="7:18" thickBot="1" x14ac:dyDescent="0.35">
      <c r="G243" s="26">
        <f t="shared" si="36"/>
        <v>0</v>
      </c>
      <c r="H243" s="26">
        <f t="shared" si="37"/>
        <v>0</v>
      </c>
      <c r="I243" s="26">
        <f t="shared" si="38"/>
        <v>0</v>
      </c>
      <c r="J243" s="26">
        <f t="shared" si="39"/>
        <v>0</v>
      </c>
      <c r="K243" s="26">
        <f t="shared" si="40"/>
        <v>0</v>
      </c>
      <c r="L243" s="26">
        <f t="shared" si="41"/>
        <v>0</v>
      </c>
      <c r="M243" s="26">
        <f t="shared" si="42"/>
        <v>0</v>
      </c>
      <c r="N243" s="26">
        <f t="shared" si="43"/>
        <v>0</v>
      </c>
      <c r="O243" s="26">
        <f t="shared" si="44"/>
        <v>0</v>
      </c>
      <c r="P243" s="26">
        <f t="shared" si="45"/>
        <v>0</v>
      </c>
      <c r="Q243" s="26">
        <f t="shared" si="46"/>
        <v>0</v>
      </c>
      <c r="R243" s="34">
        <f t="shared" si="47"/>
        <v>0</v>
      </c>
    </row>
    <row r="244" spans="7:18" thickBot="1" x14ac:dyDescent="0.35">
      <c r="G244" s="26">
        <f t="shared" si="36"/>
        <v>0</v>
      </c>
      <c r="H244" s="26">
        <f t="shared" si="37"/>
        <v>0</v>
      </c>
      <c r="I244" s="26">
        <f t="shared" si="38"/>
        <v>0</v>
      </c>
      <c r="J244" s="26">
        <f t="shared" si="39"/>
        <v>0</v>
      </c>
      <c r="K244" s="26">
        <f t="shared" si="40"/>
        <v>0</v>
      </c>
      <c r="L244" s="26">
        <f t="shared" si="41"/>
        <v>0</v>
      </c>
      <c r="M244" s="26">
        <f t="shared" si="42"/>
        <v>0</v>
      </c>
      <c r="N244" s="26">
        <f t="shared" si="43"/>
        <v>0</v>
      </c>
      <c r="O244" s="26">
        <f t="shared" si="44"/>
        <v>0</v>
      </c>
      <c r="P244" s="26">
        <f t="shared" si="45"/>
        <v>0</v>
      </c>
      <c r="Q244" s="26">
        <f t="shared" si="46"/>
        <v>0</v>
      </c>
      <c r="R244" s="34">
        <f t="shared" si="47"/>
        <v>0</v>
      </c>
    </row>
    <row r="245" spans="7:18" thickBot="1" x14ac:dyDescent="0.35">
      <c r="G245" s="26">
        <f t="shared" si="36"/>
        <v>0</v>
      </c>
      <c r="H245" s="26">
        <f t="shared" si="37"/>
        <v>0</v>
      </c>
      <c r="I245" s="26">
        <f t="shared" si="38"/>
        <v>0</v>
      </c>
      <c r="J245" s="26">
        <f t="shared" si="39"/>
        <v>0</v>
      </c>
      <c r="K245" s="26">
        <f t="shared" si="40"/>
        <v>0</v>
      </c>
      <c r="L245" s="26">
        <f t="shared" si="41"/>
        <v>0</v>
      </c>
      <c r="M245" s="26">
        <f t="shared" si="42"/>
        <v>0</v>
      </c>
      <c r="N245" s="26">
        <f t="shared" si="43"/>
        <v>0</v>
      </c>
      <c r="O245" s="26">
        <f t="shared" si="44"/>
        <v>0</v>
      </c>
      <c r="P245" s="26">
        <f t="shared" si="45"/>
        <v>0</v>
      </c>
      <c r="Q245" s="26">
        <f t="shared" si="46"/>
        <v>0</v>
      </c>
      <c r="R245" s="34">
        <f t="shared" si="47"/>
        <v>0</v>
      </c>
    </row>
    <row r="246" spans="7:18" thickBot="1" x14ac:dyDescent="0.35">
      <c r="G246" s="26">
        <f t="shared" si="36"/>
        <v>0</v>
      </c>
      <c r="H246" s="26">
        <f t="shared" si="37"/>
        <v>0</v>
      </c>
      <c r="I246" s="26">
        <f t="shared" si="38"/>
        <v>0</v>
      </c>
      <c r="J246" s="26">
        <f t="shared" si="39"/>
        <v>0</v>
      </c>
      <c r="K246" s="26">
        <f t="shared" si="40"/>
        <v>0</v>
      </c>
      <c r="L246" s="26">
        <f t="shared" si="41"/>
        <v>0</v>
      </c>
      <c r="M246" s="26">
        <f t="shared" si="42"/>
        <v>0</v>
      </c>
      <c r="N246" s="26">
        <f t="shared" si="43"/>
        <v>0</v>
      </c>
      <c r="O246" s="26">
        <f t="shared" si="44"/>
        <v>0</v>
      </c>
      <c r="P246" s="26">
        <f t="shared" si="45"/>
        <v>0</v>
      </c>
      <c r="Q246" s="26">
        <f t="shared" si="46"/>
        <v>0</v>
      </c>
      <c r="R246" s="34">
        <f t="shared" si="47"/>
        <v>0</v>
      </c>
    </row>
    <row r="247" spans="7:18" thickBot="1" x14ac:dyDescent="0.35">
      <c r="G247" s="26">
        <f t="shared" si="36"/>
        <v>0</v>
      </c>
      <c r="H247" s="26">
        <f t="shared" si="37"/>
        <v>0</v>
      </c>
      <c r="I247" s="26">
        <f t="shared" si="38"/>
        <v>0</v>
      </c>
      <c r="J247" s="26">
        <f t="shared" si="39"/>
        <v>0</v>
      </c>
      <c r="K247" s="26">
        <f t="shared" si="40"/>
        <v>0</v>
      </c>
      <c r="L247" s="26">
        <f t="shared" si="41"/>
        <v>0</v>
      </c>
      <c r="M247" s="26">
        <f t="shared" si="42"/>
        <v>0</v>
      </c>
      <c r="N247" s="26">
        <f t="shared" si="43"/>
        <v>0</v>
      </c>
      <c r="O247" s="26">
        <f t="shared" si="44"/>
        <v>0</v>
      </c>
      <c r="P247" s="26">
        <f t="shared" si="45"/>
        <v>0</v>
      </c>
      <c r="Q247" s="26">
        <f t="shared" si="46"/>
        <v>0</v>
      </c>
      <c r="R247" s="34">
        <f t="shared" si="47"/>
        <v>0</v>
      </c>
    </row>
    <row r="248" spans="7:18" thickBot="1" x14ac:dyDescent="0.35">
      <c r="G248" s="26">
        <f t="shared" si="36"/>
        <v>0</v>
      </c>
      <c r="H248" s="26">
        <f t="shared" si="37"/>
        <v>0</v>
      </c>
      <c r="I248" s="26">
        <f t="shared" si="38"/>
        <v>0</v>
      </c>
      <c r="J248" s="26">
        <f t="shared" si="39"/>
        <v>0</v>
      </c>
      <c r="K248" s="26">
        <f t="shared" si="40"/>
        <v>0</v>
      </c>
      <c r="L248" s="26">
        <f t="shared" si="41"/>
        <v>0</v>
      </c>
      <c r="M248" s="26">
        <f t="shared" si="42"/>
        <v>0</v>
      </c>
      <c r="N248" s="26">
        <f t="shared" si="43"/>
        <v>0</v>
      </c>
      <c r="O248" s="26">
        <f t="shared" si="44"/>
        <v>0</v>
      </c>
      <c r="P248" s="26">
        <f t="shared" si="45"/>
        <v>0</v>
      </c>
      <c r="Q248" s="26">
        <f t="shared" si="46"/>
        <v>0</v>
      </c>
      <c r="R248" s="34">
        <f t="shared" si="47"/>
        <v>0</v>
      </c>
    </row>
    <row r="249" spans="7:18" thickBot="1" x14ac:dyDescent="0.35">
      <c r="G249" s="26">
        <f t="shared" si="36"/>
        <v>0</v>
      </c>
      <c r="H249" s="26">
        <f t="shared" si="37"/>
        <v>0</v>
      </c>
      <c r="I249" s="26">
        <f t="shared" si="38"/>
        <v>0</v>
      </c>
      <c r="J249" s="26">
        <f t="shared" si="39"/>
        <v>0</v>
      </c>
      <c r="K249" s="26">
        <f t="shared" si="40"/>
        <v>0</v>
      </c>
      <c r="L249" s="26">
        <f t="shared" si="41"/>
        <v>0</v>
      </c>
      <c r="M249" s="26">
        <f t="shared" si="42"/>
        <v>0</v>
      </c>
      <c r="N249" s="26">
        <f t="shared" si="43"/>
        <v>0</v>
      </c>
      <c r="O249" s="26">
        <f t="shared" si="44"/>
        <v>0</v>
      </c>
      <c r="P249" s="26">
        <f t="shared" si="45"/>
        <v>0</v>
      </c>
      <c r="Q249" s="26">
        <f t="shared" si="46"/>
        <v>0</v>
      </c>
      <c r="R249" s="34">
        <f t="shared" si="47"/>
        <v>0</v>
      </c>
    </row>
    <row r="250" spans="7:18" thickBot="1" x14ac:dyDescent="0.35">
      <c r="G250" s="26">
        <f t="shared" si="36"/>
        <v>0</v>
      </c>
      <c r="H250" s="26">
        <f t="shared" si="37"/>
        <v>0</v>
      </c>
      <c r="I250" s="26">
        <f t="shared" si="38"/>
        <v>0</v>
      </c>
      <c r="J250" s="26">
        <f t="shared" si="39"/>
        <v>0</v>
      </c>
      <c r="K250" s="26">
        <f t="shared" si="40"/>
        <v>0</v>
      </c>
      <c r="L250" s="26">
        <f t="shared" si="41"/>
        <v>0</v>
      </c>
      <c r="M250" s="26">
        <f t="shared" si="42"/>
        <v>0</v>
      </c>
      <c r="N250" s="26">
        <f t="shared" si="43"/>
        <v>0</v>
      </c>
      <c r="O250" s="26">
        <f t="shared" si="44"/>
        <v>0</v>
      </c>
      <c r="P250" s="26">
        <f t="shared" si="45"/>
        <v>0</v>
      </c>
      <c r="Q250" s="26">
        <f t="shared" si="46"/>
        <v>0</v>
      </c>
      <c r="R250" s="34">
        <f t="shared" si="47"/>
        <v>0</v>
      </c>
    </row>
    <row r="251" spans="7:18" thickBot="1" x14ac:dyDescent="0.35">
      <c r="G251" s="26">
        <f t="shared" si="36"/>
        <v>0</v>
      </c>
      <c r="H251" s="26">
        <f t="shared" si="37"/>
        <v>0</v>
      </c>
      <c r="I251" s="26">
        <f t="shared" si="38"/>
        <v>0</v>
      </c>
      <c r="J251" s="26">
        <f t="shared" si="39"/>
        <v>0</v>
      </c>
      <c r="K251" s="26">
        <f t="shared" si="40"/>
        <v>0</v>
      </c>
      <c r="L251" s="26">
        <f t="shared" si="41"/>
        <v>0</v>
      </c>
      <c r="M251" s="26">
        <f t="shared" si="42"/>
        <v>0</v>
      </c>
      <c r="N251" s="26">
        <f t="shared" si="43"/>
        <v>0</v>
      </c>
      <c r="O251" s="26">
        <f t="shared" si="44"/>
        <v>0</v>
      </c>
      <c r="P251" s="26">
        <f t="shared" si="45"/>
        <v>0</v>
      </c>
      <c r="Q251" s="26">
        <f t="shared" si="46"/>
        <v>0</v>
      </c>
      <c r="R251" s="34">
        <f t="shared" si="47"/>
        <v>0</v>
      </c>
    </row>
    <row r="252" spans="7:18" thickBot="1" x14ac:dyDescent="0.35">
      <c r="G252" s="26">
        <f t="shared" si="36"/>
        <v>0</v>
      </c>
      <c r="H252" s="26">
        <f t="shared" si="37"/>
        <v>0</v>
      </c>
      <c r="I252" s="26">
        <f t="shared" si="38"/>
        <v>0</v>
      </c>
      <c r="J252" s="26">
        <f t="shared" si="39"/>
        <v>0</v>
      </c>
      <c r="K252" s="26">
        <f t="shared" si="40"/>
        <v>0</v>
      </c>
      <c r="L252" s="26">
        <f t="shared" si="41"/>
        <v>0</v>
      </c>
      <c r="M252" s="26">
        <f t="shared" si="42"/>
        <v>0</v>
      </c>
      <c r="N252" s="26">
        <f t="shared" si="43"/>
        <v>0</v>
      </c>
      <c r="O252" s="26">
        <f t="shared" si="44"/>
        <v>0</v>
      </c>
      <c r="P252" s="26">
        <f t="shared" si="45"/>
        <v>0</v>
      </c>
      <c r="Q252" s="26">
        <f t="shared" si="46"/>
        <v>0</v>
      </c>
      <c r="R252" s="34">
        <f t="shared" si="47"/>
        <v>0</v>
      </c>
    </row>
    <row r="253" spans="7:18" thickBot="1" x14ac:dyDescent="0.35">
      <c r="G253" s="26">
        <f t="shared" si="36"/>
        <v>0</v>
      </c>
      <c r="H253" s="26">
        <f t="shared" si="37"/>
        <v>0</v>
      </c>
      <c r="I253" s="26">
        <f t="shared" si="38"/>
        <v>0</v>
      </c>
      <c r="J253" s="26">
        <f t="shared" si="39"/>
        <v>0</v>
      </c>
      <c r="K253" s="26">
        <f t="shared" si="40"/>
        <v>0</v>
      </c>
      <c r="L253" s="26">
        <f t="shared" si="41"/>
        <v>0</v>
      </c>
      <c r="M253" s="26">
        <f t="shared" si="42"/>
        <v>0</v>
      </c>
      <c r="N253" s="26">
        <f t="shared" si="43"/>
        <v>0</v>
      </c>
      <c r="O253" s="26">
        <f t="shared" si="44"/>
        <v>0</v>
      </c>
      <c r="P253" s="26">
        <f t="shared" si="45"/>
        <v>0</v>
      </c>
      <c r="Q253" s="26">
        <f t="shared" si="46"/>
        <v>0</v>
      </c>
      <c r="R253" s="34">
        <f t="shared" si="47"/>
        <v>0</v>
      </c>
    </row>
    <row r="254" spans="7:18" thickBot="1" x14ac:dyDescent="0.35">
      <c r="G254" s="26">
        <f t="shared" si="36"/>
        <v>0</v>
      </c>
      <c r="H254" s="26">
        <f t="shared" si="37"/>
        <v>0</v>
      </c>
      <c r="I254" s="26">
        <f t="shared" si="38"/>
        <v>0</v>
      </c>
      <c r="J254" s="26">
        <f t="shared" si="39"/>
        <v>0</v>
      </c>
      <c r="K254" s="26">
        <f t="shared" si="40"/>
        <v>0</v>
      </c>
      <c r="L254" s="26">
        <f t="shared" si="41"/>
        <v>0</v>
      </c>
      <c r="M254" s="26">
        <f t="shared" si="42"/>
        <v>0</v>
      </c>
      <c r="N254" s="26">
        <f t="shared" si="43"/>
        <v>0</v>
      </c>
      <c r="O254" s="26">
        <f t="shared" si="44"/>
        <v>0</v>
      </c>
      <c r="P254" s="26">
        <f t="shared" si="45"/>
        <v>0</v>
      </c>
      <c r="Q254" s="26">
        <f t="shared" si="46"/>
        <v>0</v>
      </c>
      <c r="R254" s="34">
        <f t="shared" si="47"/>
        <v>0</v>
      </c>
    </row>
    <row r="255" spans="7:18" thickBot="1" x14ac:dyDescent="0.35">
      <c r="G255" s="26">
        <f t="shared" si="36"/>
        <v>0</v>
      </c>
      <c r="H255" s="26">
        <f t="shared" si="37"/>
        <v>0</v>
      </c>
      <c r="I255" s="26">
        <f t="shared" si="38"/>
        <v>0</v>
      </c>
      <c r="J255" s="26">
        <f t="shared" si="39"/>
        <v>0</v>
      </c>
      <c r="K255" s="26">
        <f t="shared" si="40"/>
        <v>0</v>
      </c>
      <c r="L255" s="26">
        <f t="shared" si="41"/>
        <v>0</v>
      </c>
      <c r="M255" s="26">
        <f t="shared" si="42"/>
        <v>0</v>
      </c>
      <c r="N255" s="26">
        <f t="shared" si="43"/>
        <v>0</v>
      </c>
      <c r="O255" s="26">
        <f t="shared" si="44"/>
        <v>0</v>
      </c>
      <c r="P255" s="26">
        <f t="shared" si="45"/>
        <v>0</v>
      </c>
      <c r="Q255" s="26">
        <f t="shared" si="46"/>
        <v>0</v>
      </c>
      <c r="R255" s="34">
        <f t="shared" si="47"/>
        <v>0</v>
      </c>
    </row>
    <row r="256" spans="7:18" thickBot="1" x14ac:dyDescent="0.35">
      <c r="G256" s="26">
        <f t="shared" si="36"/>
        <v>0</v>
      </c>
      <c r="H256" s="26">
        <f t="shared" si="37"/>
        <v>0</v>
      </c>
      <c r="I256" s="26">
        <f t="shared" si="38"/>
        <v>0</v>
      </c>
      <c r="J256" s="26">
        <f t="shared" si="39"/>
        <v>0</v>
      </c>
      <c r="K256" s="26">
        <f t="shared" si="40"/>
        <v>0</v>
      </c>
      <c r="L256" s="26">
        <f t="shared" si="41"/>
        <v>0</v>
      </c>
      <c r="M256" s="26">
        <f t="shared" si="42"/>
        <v>0</v>
      </c>
      <c r="N256" s="26">
        <f t="shared" si="43"/>
        <v>0</v>
      </c>
      <c r="O256" s="26">
        <f t="shared" si="44"/>
        <v>0</v>
      </c>
      <c r="P256" s="26">
        <f t="shared" si="45"/>
        <v>0</v>
      </c>
      <c r="Q256" s="26">
        <f t="shared" si="46"/>
        <v>0</v>
      </c>
      <c r="R256" s="34">
        <f t="shared" si="47"/>
        <v>0</v>
      </c>
    </row>
    <row r="257" spans="7:18" thickBot="1" x14ac:dyDescent="0.35">
      <c r="G257" s="26">
        <f t="shared" si="36"/>
        <v>0</v>
      </c>
      <c r="H257" s="26">
        <f t="shared" si="37"/>
        <v>0</v>
      </c>
      <c r="I257" s="26">
        <f t="shared" si="38"/>
        <v>0</v>
      </c>
      <c r="J257" s="26">
        <f t="shared" si="39"/>
        <v>0</v>
      </c>
      <c r="K257" s="26">
        <f t="shared" si="40"/>
        <v>0</v>
      </c>
      <c r="L257" s="26">
        <f t="shared" si="41"/>
        <v>0</v>
      </c>
      <c r="M257" s="26">
        <f t="shared" si="42"/>
        <v>0</v>
      </c>
      <c r="N257" s="26">
        <f t="shared" si="43"/>
        <v>0</v>
      </c>
      <c r="O257" s="26">
        <f t="shared" si="44"/>
        <v>0</v>
      </c>
      <c r="P257" s="26">
        <f t="shared" si="45"/>
        <v>0</v>
      </c>
      <c r="Q257" s="26">
        <f t="shared" si="46"/>
        <v>0</v>
      </c>
      <c r="R257" s="34">
        <f t="shared" si="47"/>
        <v>0</v>
      </c>
    </row>
    <row r="258" spans="7:18" thickBot="1" x14ac:dyDescent="0.35">
      <c r="G258" s="26">
        <f t="shared" si="36"/>
        <v>0</v>
      </c>
      <c r="H258" s="26">
        <f t="shared" si="37"/>
        <v>0</v>
      </c>
      <c r="I258" s="26">
        <f t="shared" si="38"/>
        <v>0</v>
      </c>
      <c r="J258" s="26">
        <f t="shared" si="39"/>
        <v>0</v>
      </c>
      <c r="K258" s="26">
        <f t="shared" si="40"/>
        <v>0</v>
      </c>
      <c r="L258" s="26">
        <f t="shared" si="41"/>
        <v>0</v>
      </c>
      <c r="M258" s="26">
        <f t="shared" si="42"/>
        <v>0</v>
      </c>
      <c r="N258" s="26">
        <f t="shared" si="43"/>
        <v>0</v>
      </c>
      <c r="O258" s="26">
        <f t="shared" si="44"/>
        <v>0</v>
      </c>
      <c r="P258" s="26">
        <f t="shared" si="45"/>
        <v>0</v>
      </c>
      <c r="Q258" s="26">
        <f t="shared" si="46"/>
        <v>0</v>
      </c>
      <c r="R258" s="34">
        <f t="shared" si="47"/>
        <v>0</v>
      </c>
    </row>
    <row r="259" spans="7:18" thickBot="1" x14ac:dyDescent="0.35">
      <c r="G259" s="26">
        <f t="shared" si="36"/>
        <v>0</v>
      </c>
      <c r="H259" s="26">
        <f t="shared" si="37"/>
        <v>0</v>
      </c>
      <c r="I259" s="26">
        <f t="shared" si="38"/>
        <v>0</v>
      </c>
      <c r="J259" s="26">
        <f t="shared" si="39"/>
        <v>0</v>
      </c>
      <c r="K259" s="26">
        <f t="shared" si="40"/>
        <v>0</v>
      </c>
      <c r="L259" s="26">
        <f t="shared" si="41"/>
        <v>0</v>
      </c>
      <c r="M259" s="26">
        <f t="shared" si="42"/>
        <v>0</v>
      </c>
      <c r="N259" s="26">
        <f t="shared" si="43"/>
        <v>0</v>
      </c>
      <c r="O259" s="26">
        <f t="shared" si="44"/>
        <v>0</v>
      </c>
      <c r="P259" s="26">
        <f t="shared" si="45"/>
        <v>0</v>
      </c>
      <c r="Q259" s="26">
        <f t="shared" si="46"/>
        <v>0</v>
      </c>
      <c r="R259" s="34">
        <f t="shared" si="47"/>
        <v>0</v>
      </c>
    </row>
    <row r="260" spans="7:18" thickBot="1" x14ac:dyDescent="0.35">
      <c r="G260" s="26">
        <f t="shared" ref="G260:G323" si="48">ABS(F260-C260)</f>
        <v>0</v>
      </c>
      <c r="H260" s="26">
        <f t="shared" ref="H260:H323" si="49">ABS(D260-C260)</f>
        <v>0</v>
      </c>
      <c r="I260" s="26">
        <f t="shared" ref="I260:I323" si="50">IF(G260&gt;C260, C260+(0.1*G260), C260-(0.1*G260))</f>
        <v>0</v>
      </c>
      <c r="J260" s="26">
        <f t="shared" ref="J260:J323" si="51">IF(G260&gt;C260, C260+(0.2*G260), C260-(0.2*G260))</f>
        <v>0</v>
      </c>
      <c r="K260" s="26">
        <f t="shared" ref="K260:K323" si="52">IF(G260&gt;C260, C260+(0.3*G260), C260-(0.3*G260))</f>
        <v>0</v>
      </c>
      <c r="L260" s="26">
        <f t="shared" ref="L260:L323" si="53">IF(G260&gt;C260, C260+(0.4*G260), C260-(0.4*G260))</f>
        <v>0</v>
      </c>
      <c r="M260" s="26">
        <f t="shared" ref="M260:M323" si="54">IF(G260&gt;C260, C260+(0.5*G260), C260-(0.5*G260))</f>
        <v>0</v>
      </c>
      <c r="N260" s="26">
        <f t="shared" ref="N260:N323" si="55">IF(G260&gt;C260, C260+(0.6*G260), C260-(0.6*G260))</f>
        <v>0</v>
      </c>
      <c r="O260" s="26">
        <f t="shared" ref="O260:O323" si="56">IF(G260&gt;C260, C260+(0.7*G260), C260-(0.7*G260))</f>
        <v>0</v>
      </c>
      <c r="P260" s="26">
        <f t="shared" ref="P260:P323" si="57">IF(G260&gt;C260, C260+(0.8*G260), C260-(0.8*G260))</f>
        <v>0</v>
      </c>
      <c r="Q260" s="26">
        <f t="shared" ref="Q260:Q323" si="58">IF(G260&gt;C260, C260+(0.9*G260), C260-(0.9*G260))</f>
        <v>0</v>
      </c>
      <c r="R260" s="34">
        <f t="shared" ref="R260:R323" si="59">IF(G260&gt;C260, C260+(1*G260), C260-(1*G260))</f>
        <v>0</v>
      </c>
    </row>
    <row r="261" spans="7:18" thickBot="1" x14ac:dyDescent="0.35">
      <c r="G261" s="26">
        <f t="shared" si="48"/>
        <v>0</v>
      </c>
      <c r="H261" s="26">
        <f t="shared" si="49"/>
        <v>0</v>
      </c>
      <c r="I261" s="26">
        <f t="shared" si="50"/>
        <v>0</v>
      </c>
      <c r="J261" s="26">
        <f t="shared" si="51"/>
        <v>0</v>
      </c>
      <c r="K261" s="26">
        <f t="shared" si="52"/>
        <v>0</v>
      </c>
      <c r="L261" s="26">
        <f t="shared" si="53"/>
        <v>0</v>
      </c>
      <c r="M261" s="26">
        <f t="shared" si="54"/>
        <v>0</v>
      </c>
      <c r="N261" s="26">
        <f t="shared" si="55"/>
        <v>0</v>
      </c>
      <c r="O261" s="26">
        <f t="shared" si="56"/>
        <v>0</v>
      </c>
      <c r="P261" s="26">
        <f t="shared" si="57"/>
        <v>0</v>
      </c>
      <c r="Q261" s="26">
        <f t="shared" si="58"/>
        <v>0</v>
      </c>
      <c r="R261" s="34">
        <f t="shared" si="59"/>
        <v>0</v>
      </c>
    </row>
    <row r="262" spans="7:18" thickBot="1" x14ac:dyDescent="0.35">
      <c r="G262" s="26">
        <f t="shared" si="48"/>
        <v>0</v>
      </c>
      <c r="H262" s="26">
        <f t="shared" si="49"/>
        <v>0</v>
      </c>
      <c r="I262" s="26">
        <f t="shared" si="50"/>
        <v>0</v>
      </c>
      <c r="J262" s="26">
        <f t="shared" si="51"/>
        <v>0</v>
      </c>
      <c r="K262" s="26">
        <f t="shared" si="52"/>
        <v>0</v>
      </c>
      <c r="L262" s="26">
        <f t="shared" si="53"/>
        <v>0</v>
      </c>
      <c r="M262" s="26">
        <f t="shared" si="54"/>
        <v>0</v>
      </c>
      <c r="N262" s="26">
        <f t="shared" si="55"/>
        <v>0</v>
      </c>
      <c r="O262" s="26">
        <f t="shared" si="56"/>
        <v>0</v>
      </c>
      <c r="P262" s="26">
        <f t="shared" si="57"/>
        <v>0</v>
      </c>
      <c r="Q262" s="26">
        <f t="shared" si="58"/>
        <v>0</v>
      </c>
      <c r="R262" s="34">
        <f t="shared" si="59"/>
        <v>0</v>
      </c>
    </row>
    <row r="263" spans="7:18" thickBot="1" x14ac:dyDescent="0.35">
      <c r="G263" s="26">
        <f t="shared" si="48"/>
        <v>0</v>
      </c>
      <c r="H263" s="26">
        <f t="shared" si="49"/>
        <v>0</v>
      </c>
      <c r="I263" s="26">
        <f t="shared" si="50"/>
        <v>0</v>
      </c>
      <c r="J263" s="26">
        <f t="shared" si="51"/>
        <v>0</v>
      </c>
      <c r="K263" s="26">
        <f t="shared" si="52"/>
        <v>0</v>
      </c>
      <c r="L263" s="26">
        <f t="shared" si="53"/>
        <v>0</v>
      </c>
      <c r="M263" s="26">
        <f t="shared" si="54"/>
        <v>0</v>
      </c>
      <c r="N263" s="26">
        <f t="shared" si="55"/>
        <v>0</v>
      </c>
      <c r="O263" s="26">
        <f t="shared" si="56"/>
        <v>0</v>
      </c>
      <c r="P263" s="26">
        <f t="shared" si="57"/>
        <v>0</v>
      </c>
      <c r="Q263" s="26">
        <f t="shared" si="58"/>
        <v>0</v>
      </c>
      <c r="R263" s="34">
        <f t="shared" si="59"/>
        <v>0</v>
      </c>
    </row>
    <row r="264" spans="7:18" thickBot="1" x14ac:dyDescent="0.35">
      <c r="G264" s="26">
        <f t="shared" si="48"/>
        <v>0</v>
      </c>
      <c r="H264" s="26">
        <f t="shared" si="49"/>
        <v>0</v>
      </c>
      <c r="I264" s="26">
        <f t="shared" si="50"/>
        <v>0</v>
      </c>
      <c r="J264" s="26">
        <f t="shared" si="51"/>
        <v>0</v>
      </c>
      <c r="K264" s="26">
        <f t="shared" si="52"/>
        <v>0</v>
      </c>
      <c r="L264" s="26">
        <f t="shared" si="53"/>
        <v>0</v>
      </c>
      <c r="M264" s="26">
        <f t="shared" si="54"/>
        <v>0</v>
      </c>
      <c r="N264" s="26">
        <f t="shared" si="55"/>
        <v>0</v>
      </c>
      <c r="O264" s="26">
        <f t="shared" si="56"/>
        <v>0</v>
      </c>
      <c r="P264" s="26">
        <f t="shared" si="57"/>
        <v>0</v>
      </c>
      <c r="Q264" s="26">
        <f t="shared" si="58"/>
        <v>0</v>
      </c>
      <c r="R264" s="34">
        <f t="shared" si="59"/>
        <v>0</v>
      </c>
    </row>
    <row r="265" spans="7:18" thickBot="1" x14ac:dyDescent="0.35">
      <c r="G265" s="26">
        <f t="shared" si="48"/>
        <v>0</v>
      </c>
      <c r="H265" s="26">
        <f t="shared" si="49"/>
        <v>0</v>
      </c>
      <c r="I265" s="26">
        <f t="shared" si="50"/>
        <v>0</v>
      </c>
      <c r="J265" s="26">
        <f t="shared" si="51"/>
        <v>0</v>
      </c>
      <c r="K265" s="26">
        <f t="shared" si="52"/>
        <v>0</v>
      </c>
      <c r="L265" s="26">
        <f t="shared" si="53"/>
        <v>0</v>
      </c>
      <c r="M265" s="26">
        <f t="shared" si="54"/>
        <v>0</v>
      </c>
      <c r="N265" s="26">
        <f t="shared" si="55"/>
        <v>0</v>
      </c>
      <c r="O265" s="26">
        <f t="shared" si="56"/>
        <v>0</v>
      </c>
      <c r="P265" s="26">
        <f t="shared" si="57"/>
        <v>0</v>
      </c>
      <c r="Q265" s="26">
        <f t="shared" si="58"/>
        <v>0</v>
      </c>
      <c r="R265" s="34">
        <f t="shared" si="59"/>
        <v>0</v>
      </c>
    </row>
    <row r="266" spans="7:18" thickBot="1" x14ac:dyDescent="0.35">
      <c r="G266" s="26">
        <f t="shared" si="48"/>
        <v>0</v>
      </c>
      <c r="H266" s="26">
        <f t="shared" si="49"/>
        <v>0</v>
      </c>
      <c r="I266" s="26">
        <f t="shared" si="50"/>
        <v>0</v>
      </c>
      <c r="J266" s="26">
        <f t="shared" si="51"/>
        <v>0</v>
      </c>
      <c r="K266" s="26">
        <f t="shared" si="52"/>
        <v>0</v>
      </c>
      <c r="L266" s="26">
        <f t="shared" si="53"/>
        <v>0</v>
      </c>
      <c r="M266" s="26">
        <f t="shared" si="54"/>
        <v>0</v>
      </c>
      <c r="N266" s="26">
        <f t="shared" si="55"/>
        <v>0</v>
      </c>
      <c r="O266" s="26">
        <f t="shared" si="56"/>
        <v>0</v>
      </c>
      <c r="P266" s="26">
        <f t="shared" si="57"/>
        <v>0</v>
      </c>
      <c r="Q266" s="26">
        <f t="shared" si="58"/>
        <v>0</v>
      </c>
      <c r="R266" s="34">
        <f t="shared" si="59"/>
        <v>0</v>
      </c>
    </row>
    <row r="267" spans="7:18" thickBot="1" x14ac:dyDescent="0.35">
      <c r="G267" s="26">
        <f t="shared" si="48"/>
        <v>0</v>
      </c>
      <c r="H267" s="26">
        <f t="shared" si="49"/>
        <v>0</v>
      </c>
      <c r="I267" s="26">
        <f t="shared" si="50"/>
        <v>0</v>
      </c>
      <c r="J267" s="26">
        <f t="shared" si="51"/>
        <v>0</v>
      </c>
      <c r="K267" s="26">
        <f t="shared" si="52"/>
        <v>0</v>
      </c>
      <c r="L267" s="26">
        <f t="shared" si="53"/>
        <v>0</v>
      </c>
      <c r="M267" s="26">
        <f t="shared" si="54"/>
        <v>0</v>
      </c>
      <c r="N267" s="26">
        <f t="shared" si="55"/>
        <v>0</v>
      </c>
      <c r="O267" s="26">
        <f t="shared" si="56"/>
        <v>0</v>
      </c>
      <c r="P267" s="26">
        <f t="shared" si="57"/>
        <v>0</v>
      </c>
      <c r="Q267" s="26">
        <f t="shared" si="58"/>
        <v>0</v>
      </c>
      <c r="R267" s="34">
        <f t="shared" si="59"/>
        <v>0</v>
      </c>
    </row>
    <row r="268" spans="7:18" thickBot="1" x14ac:dyDescent="0.35">
      <c r="G268" s="26">
        <f t="shared" si="48"/>
        <v>0</v>
      </c>
      <c r="H268" s="26">
        <f t="shared" si="49"/>
        <v>0</v>
      </c>
      <c r="I268" s="26">
        <f t="shared" si="50"/>
        <v>0</v>
      </c>
      <c r="J268" s="26">
        <f t="shared" si="51"/>
        <v>0</v>
      </c>
      <c r="K268" s="26">
        <f t="shared" si="52"/>
        <v>0</v>
      </c>
      <c r="L268" s="26">
        <f t="shared" si="53"/>
        <v>0</v>
      </c>
      <c r="M268" s="26">
        <f t="shared" si="54"/>
        <v>0</v>
      </c>
      <c r="N268" s="26">
        <f t="shared" si="55"/>
        <v>0</v>
      </c>
      <c r="O268" s="26">
        <f t="shared" si="56"/>
        <v>0</v>
      </c>
      <c r="P268" s="26">
        <f t="shared" si="57"/>
        <v>0</v>
      </c>
      <c r="Q268" s="26">
        <f t="shared" si="58"/>
        <v>0</v>
      </c>
      <c r="R268" s="34">
        <f t="shared" si="59"/>
        <v>0</v>
      </c>
    </row>
    <row r="269" spans="7:18" thickBot="1" x14ac:dyDescent="0.35">
      <c r="G269" s="26">
        <f t="shared" si="48"/>
        <v>0</v>
      </c>
      <c r="H269" s="26">
        <f t="shared" si="49"/>
        <v>0</v>
      </c>
      <c r="I269" s="26">
        <f t="shared" si="50"/>
        <v>0</v>
      </c>
      <c r="J269" s="26">
        <f t="shared" si="51"/>
        <v>0</v>
      </c>
      <c r="K269" s="26">
        <f t="shared" si="52"/>
        <v>0</v>
      </c>
      <c r="L269" s="26">
        <f t="shared" si="53"/>
        <v>0</v>
      </c>
      <c r="M269" s="26">
        <f t="shared" si="54"/>
        <v>0</v>
      </c>
      <c r="N269" s="26">
        <f t="shared" si="55"/>
        <v>0</v>
      </c>
      <c r="O269" s="26">
        <f t="shared" si="56"/>
        <v>0</v>
      </c>
      <c r="P269" s="26">
        <f t="shared" si="57"/>
        <v>0</v>
      </c>
      <c r="Q269" s="26">
        <f t="shared" si="58"/>
        <v>0</v>
      </c>
      <c r="R269" s="34">
        <f t="shared" si="59"/>
        <v>0</v>
      </c>
    </row>
    <row r="270" spans="7:18" thickBot="1" x14ac:dyDescent="0.35">
      <c r="G270" s="26">
        <f t="shared" si="48"/>
        <v>0</v>
      </c>
      <c r="H270" s="26">
        <f t="shared" si="49"/>
        <v>0</v>
      </c>
      <c r="I270" s="26">
        <f t="shared" si="50"/>
        <v>0</v>
      </c>
      <c r="J270" s="26">
        <f t="shared" si="51"/>
        <v>0</v>
      </c>
      <c r="K270" s="26">
        <f t="shared" si="52"/>
        <v>0</v>
      </c>
      <c r="L270" s="26">
        <f t="shared" si="53"/>
        <v>0</v>
      </c>
      <c r="M270" s="26">
        <f t="shared" si="54"/>
        <v>0</v>
      </c>
      <c r="N270" s="26">
        <f t="shared" si="55"/>
        <v>0</v>
      </c>
      <c r="O270" s="26">
        <f t="shared" si="56"/>
        <v>0</v>
      </c>
      <c r="P270" s="26">
        <f t="shared" si="57"/>
        <v>0</v>
      </c>
      <c r="Q270" s="26">
        <f t="shared" si="58"/>
        <v>0</v>
      </c>
      <c r="R270" s="34">
        <f t="shared" si="59"/>
        <v>0</v>
      </c>
    </row>
    <row r="271" spans="7:18" thickBot="1" x14ac:dyDescent="0.35">
      <c r="G271" s="26">
        <f t="shared" si="48"/>
        <v>0</v>
      </c>
      <c r="H271" s="26">
        <f t="shared" si="49"/>
        <v>0</v>
      </c>
      <c r="I271" s="26">
        <f t="shared" si="50"/>
        <v>0</v>
      </c>
      <c r="J271" s="26">
        <f t="shared" si="51"/>
        <v>0</v>
      </c>
      <c r="K271" s="26">
        <f t="shared" si="52"/>
        <v>0</v>
      </c>
      <c r="L271" s="26">
        <f t="shared" si="53"/>
        <v>0</v>
      </c>
      <c r="M271" s="26">
        <f t="shared" si="54"/>
        <v>0</v>
      </c>
      <c r="N271" s="26">
        <f t="shared" si="55"/>
        <v>0</v>
      </c>
      <c r="O271" s="26">
        <f t="shared" si="56"/>
        <v>0</v>
      </c>
      <c r="P271" s="26">
        <f t="shared" si="57"/>
        <v>0</v>
      </c>
      <c r="Q271" s="26">
        <f t="shared" si="58"/>
        <v>0</v>
      </c>
      <c r="R271" s="34">
        <f t="shared" si="59"/>
        <v>0</v>
      </c>
    </row>
    <row r="272" spans="7:18" thickBot="1" x14ac:dyDescent="0.35">
      <c r="G272" s="26">
        <f t="shared" si="48"/>
        <v>0</v>
      </c>
      <c r="H272" s="26">
        <f t="shared" si="49"/>
        <v>0</v>
      </c>
      <c r="I272" s="26">
        <f t="shared" si="50"/>
        <v>0</v>
      </c>
      <c r="J272" s="26">
        <f t="shared" si="51"/>
        <v>0</v>
      </c>
      <c r="K272" s="26">
        <f t="shared" si="52"/>
        <v>0</v>
      </c>
      <c r="L272" s="26">
        <f t="shared" si="53"/>
        <v>0</v>
      </c>
      <c r="M272" s="26">
        <f t="shared" si="54"/>
        <v>0</v>
      </c>
      <c r="N272" s="26">
        <f t="shared" si="55"/>
        <v>0</v>
      </c>
      <c r="O272" s="26">
        <f t="shared" si="56"/>
        <v>0</v>
      </c>
      <c r="P272" s="26">
        <f t="shared" si="57"/>
        <v>0</v>
      </c>
      <c r="Q272" s="26">
        <f t="shared" si="58"/>
        <v>0</v>
      </c>
      <c r="R272" s="34">
        <f t="shared" si="59"/>
        <v>0</v>
      </c>
    </row>
    <row r="273" spans="7:18" thickBot="1" x14ac:dyDescent="0.35">
      <c r="G273" s="26">
        <f t="shared" si="48"/>
        <v>0</v>
      </c>
      <c r="H273" s="26">
        <f t="shared" si="49"/>
        <v>0</v>
      </c>
      <c r="I273" s="26">
        <f t="shared" si="50"/>
        <v>0</v>
      </c>
      <c r="J273" s="26">
        <f t="shared" si="51"/>
        <v>0</v>
      </c>
      <c r="K273" s="26">
        <f t="shared" si="52"/>
        <v>0</v>
      </c>
      <c r="L273" s="26">
        <f t="shared" si="53"/>
        <v>0</v>
      </c>
      <c r="M273" s="26">
        <f t="shared" si="54"/>
        <v>0</v>
      </c>
      <c r="N273" s="26">
        <f t="shared" si="55"/>
        <v>0</v>
      </c>
      <c r="O273" s="26">
        <f t="shared" si="56"/>
        <v>0</v>
      </c>
      <c r="P273" s="26">
        <f t="shared" si="57"/>
        <v>0</v>
      </c>
      <c r="Q273" s="26">
        <f t="shared" si="58"/>
        <v>0</v>
      </c>
      <c r="R273" s="34">
        <f t="shared" si="59"/>
        <v>0</v>
      </c>
    </row>
    <row r="274" spans="7:18" thickBot="1" x14ac:dyDescent="0.35">
      <c r="G274" s="26">
        <f t="shared" si="48"/>
        <v>0</v>
      </c>
      <c r="H274" s="26">
        <f t="shared" si="49"/>
        <v>0</v>
      </c>
      <c r="I274" s="26">
        <f t="shared" si="50"/>
        <v>0</v>
      </c>
      <c r="J274" s="26">
        <f t="shared" si="51"/>
        <v>0</v>
      </c>
      <c r="K274" s="26">
        <f t="shared" si="52"/>
        <v>0</v>
      </c>
      <c r="L274" s="26">
        <f t="shared" si="53"/>
        <v>0</v>
      </c>
      <c r="M274" s="26">
        <f t="shared" si="54"/>
        <v>0</v>
      </c>
      <c r="N274" s="26">
        <f t="shared" si="55"/>
        <v>0</v>
      </c>
      <c r="O274" s="26">
        <f t="shared" si="56"/>
        <v>0</v>
      </c>
      <c r="P274" s="26">
        <f t="shared" si="57"/>
        <v>0</v>
      </c>
      <c r="Q274" s="26">
        <f t="shared" si="58"/>
        <v>0</v>
      </c>
      <c r="R274" s="34">
        <f t="shared" si="59"/>
        <v>0</v>
      </c>
    </row>
    <row r="275" spans="7:18" thickBot="1" x14ac:dyDescent="0.35">
      <c r="G275" s="26">
        <f t="shared" si="48"/>
        <v>0</v>
      </c>
      <c r="H275" s="26">
        <f t="shared" si="49"/>
        <v>0</v>
      </c>
      <c r="I275" s="26">
        <f t="shared" si="50"/>
        <v>0</v>
      </c>
      <c r="J275" s="26">
        <f t="shared" si="51"/>
        <v>0</v>
      </c>
      <c r="K275" s="26">
        <f t="shared" si="52"/>
        <v>0</v>
      </c>
      <c r="L275" s="26">
        <f t="shared" si="53"/>
        <v>0</v>
      </c>
      <c r="M275" s="26">
        <f t="shared" si="54"/>
        <v>0</v>
      </c>
      <c r="N275" s="26">
        <f t="shared" si="55"/>
        <v>0</v>
      </c>
      <c r="O275" s="26">
        <f t="shared" si="56"/>
        <v>0</v>
      </c>
      <c r="P275" s="26">
        <f t="shared" si="57"/>
        <v>0</v>
      </c>
      <c r="Q275" s="26">
        <f t="shared" si="58"/>
        <v>0</v>
      </c>
      <c r="R275" s="34">
        <f t="shared" si="59"/>
        <v>0</v>
      </c>
    </row>
    <row r="276" spans="7:18" thickBot="1" x14ac:dyDescent="0.35">
      <c r="G276" s="26">
        <f t="shared" si="48"/>
        <v>0</v>
      </c>
      <c r="H276" s="26">
        <f t="shared" si="49"/>
        <v>0</v>
      </c>
      <c r="I276" s="26">
        <f t="shared" si="50"/>
        <v>0</v>
      </c>
      <c r="J276" s="26">
        <f t="shared" si="51"/>
        <v>0</v>
      </c>
      <c r="K276" s="26">
        <f t="shared" si="52"/>
        <v>0</v>
      </c>
      <c r="L276" s="26">
        <f t="shared" si="53"/>
        <v>0</v>
      </c>
      <c r="M276" s="26">
        <f t="shared" si="54"/>
        <v>0</v>
      </c>
      <c r="N276" s="26">
        <f t="shared" si="55"/>
        <v>0</v>
      </c>
      <c r="O276" s="26">
        <f t="shared" si="56"/>
        <v>0</v>
      </c>
      <c r="P276" s="26">
        <f t="shared" si="57"/>
        <v>0</v>
      </c>
      <c r="Q276" s="26">
        <f t="shared" si="58"/>
        <v>0</v>
      </c>
      <c r="R276" s="34">
        <f t="shared" si="59"/>
        <v>0</v>
      </c>
    </row>
    <row r="277" spans="7:18" thickBot="1" x14ac:dyDescent="0.35">
      <c r="G277" s="26">
        <f t="shared" si="48"/>
        <v>0</v>
      </c>
      <c r="H277" s="26">
        <f t="shared" si="49"/>
        <v>0</v>
      </c>
      <c r="I277" s="26">
        <f t="shared" si="50"/>
        <v>0</v>
      </c>
      <c r="J277" s="26">
        <f t="shared" si="51"/>
        <v>0</v>
      </c>
      <c r="K277" s="26">
        <f t="shared" si="52"/>
        <v>0</v>
      </c>
      <c r="L277" s="26">
        <f t="shared" si="53"/>
        <v>0</v>
      </c>
      <c r="M277" s="26">
        <f t="shared" si="54"/>
        <v>0</v>
      </c>
      <c r="N277" s="26">
        <f t="shared" si="55"/>
        <v>0</v>
      </c>
      <c r="O277" s="26">
        <f t="shared" si="56"/>
        <v>0</v>
      </c>
      <c r="P277" s="26">
        <f t="shared" si="57"/>
        <v>0</v>
      </c>
      <c r="Q277" s="26">
        <f t="shared" si="58"/>
        <v>0</v>
      </c>
      <c r="R277" s="34">
        <f t="shared" si="59"/>
        <v>0</v>
      </c>
    </row>
    <row r="278" spans="7:18" thickBot="1" x14ac:dyDescent="0.35">
      <c r="G278" s="26">
        <f t="shared" si="48"/>
        <v>0</v>
      </c>
      <c r="H278" s="26">
        <f t="shared" si="49"/>
        <v>0</v>
      </c>
      <c r="I278" s="26">
        <f t="shared" si="50"/>
        <v>0</v>
      </c>
      <c r="J278" s="26">
        <f t="shared" si="51"/>
        <v>0</v>
      </c>
      <c r="K278" s="26">
        <f t="shared" si="52"/>
        <v>0</v>
      </c>
      <c r="L278" s="26">
        <f t="shared" si="53"/>
        <v>0</v>
      </c>
      <c r="M278" s="26">
        <f t="shared" si="54"/>
        <v>0</v>
      </c>
      <c r="N278" s="26">
        <f t="shared" si="55"/>
        <v>0</v>
      </c>
      <c r="O278" s="26">
        <f t="shared" si="56"/>
        <v>0</v>
      </c>
      <c r="P278" s="26">
        <f t="shared" si="57"/>
        <v>0</v>
      </c>
      <c r="Q278" s="26">
        <f t="shared" si="58"/>
        <v>0</v>
      </c>
      <c r="R278" s="34">
        <f t="shared" si="59"/>
        <v>0</v>
      </c>
    </row>
    <row r="279" spans="7:18" thickBot="1" x14ac:dyDescent="0.35">
      <c r="G279" s="26">
        <f t="shared" si="48"/>
        <v>0</v>
      </c>
      <c r="H279" s="26">
        <f t="shared" si="49"/>
        <v>0</v>
      </c>
      <c r="I279" s="26">
        <f t="shared" si="50"/>
        <v>0</v>
      </c>
      <c r="J279" s="26">
        <f t="shared" si="51"/>
        <v>0</v>
      </c>
      <c r="K279" s="26">
        <f t="shared" si="52"/>
        <v>0</v>
      </c>
      <c r="L279" s="26">
        <f t="shared" si="53"/>
        <v>0</v>
      </c>
      <c r="M279" s="26">
        <f t="shared" si="54"/>
        <v>0</v>
      </c>
      <c r="N279" s="26">
        <f t="shared" si="55"/>
        <v>0</v>
      </c>
      <c r="O279" s="26">
        <f t="shared" si="56"/>
        <v>0</v>
      </c>
      <c r="P279" s="26">
        <f t="shared" si="57"/>
        <v>0</v>
      </c>
      <c r="Q279" s="26">
        <f t="shared" si="58"/>
        <v>0</v>
      </c>
      <c r="R279" s="34">
        <f t="shared" si="59"/>
        <v>0</v>
      </c>
    </row>
    <row r="280" spans="7:18" thickBot="1" x14ac:dyDescent="0.35">
      <c r="G280" s="26">
        <f t="shared" si="48"/>
        <v>0</v>
      </c>
      <c r="H280" s="26">
        <f t="shared" si="49"/>
        <v>0</v>
      </c>
      <c r="I280" s="26">
        <f t="shared" si="50"/>
        <v>0</v>
      </c>
      <c r="J280" s="26">
        <f t="shared" si="51"/>
        <v>0</v>
      </c>
      <c r="K280" s="26">
        <f t="shared" si="52"/>
        <v>0</v>
      </c>
      <c r="L280" s="26">
        <f t="shared" si="53"/>
        <v>0</v>
      </c>
      <c r="M280" s="26">
        <f t="shared" si="54"/>
        <v>0</v>
      </c>
      <c r="N280" s="26">
        <f t="shared" si="55"/>
        <v>0</v>
      </c>
      <c r="O280" s="26">
        <f t="shared" si="56"/>
        <v>0</v>
      </c>
      <c r="P280" s="26">
        <f t="shared" si="57"/>
        <v>0</v>
      </c>
      <c r="Q280" s="26">
        <f t="shared" si="58"/>
        <v>0</v>
      </c>
      <c r="R280" s="34">
        <f t="shared" si="59"/>
        <v>0</v>
      </c>
    </row>
    <row r="281" spans="7:18" thickBot="1" x14ac:dyDescent="0.35">
      <c r="G281" s="26">
        <f t="shared" si="48"/>
        <v>0</v>
      </c>
      <c r="H281" s="26">
        <f t="shared" si="49"/>
        <v>0</v>
      </c>
      <c r="I281" s="26">
        <f t="shared" si="50"/>
        <v>0</v>
      </c>
      <c r="J281" s="26">
        <f t="shared" si="51"/>
        <v>0</v>
      </c>
      <c r="K281" s="26">
        <f t="shared" si="52"/>
        <v>0</v>
      </c>
      <c r="L281" s="26">
        <f t="shared" si="53"/>
        <v>0</v>
      </c>
      <c r="M281" s="26">
        <f t="shared" si="54"/>
        <v>0</v>
      </c>
      <c r="N281" s="26">
        <f t="shared" si="55"/>
        <v>0</v>
      </c>
      <c r="O281" s="26">
        <f t="shared" si="56"/>
        <v>0</v>
      </c>
      <c r="P281" s="26">
        <f t="shared" si="57"/>
        <v>0</v>
      </c>
      <c r="Q281" s="26">
        <f t="shared" si="58"/>
        <v>0</v>
      </c>
      <c r="R281" s="34">
        <f t="shared" si="59"/>
        <v>0</v>
      </c>
    </row>
    <row r="282" spans="7:18" thickBot="1" x14ac:dyDescent="0.35">
      <c r="G282" s="26">
        <f t="shared" si="48"/>
        <v>0</v>
      </c>
      <c r="H282" s="26">
        <f t="shared" si="49"/>
        <v>0</v>
      </c>
      <c r="I282" s="26">
        <f t="shared" si="50"/>
        <v>0</v>
      </c>
      <c r="J282" s="26">
        <f t="shared" si="51"/>
        <v>0</v>
      </c>
      <c r="K282" s="26">
        <f t="shared" si="52"/>
        <v>0</v>
      </c>
      <c r="L282" s="26">
        <f t="shared" si="53"/>
        <v>0</v>
      </c>
      <c r="M282" s="26">
        <f t="shared" si="54"/>
        <v>0</v>
      </c>
      <c r="N282" s="26">
        <f t="shared" si="55"/>
        <v>0</v>
      </c>
      <c r="O282" s="26">
        <f t="shared" si="56"/>
        <v>0</v>
      </c>
      <c r="P282" s="26">
        <f t="shared" si="57"/>
        <v>0</v>
      </c>
      <c r="Q282" s="26">
        <f t="shared" si="58"/>
        <v>0</v>
      </c>
      <c r="R282" s="34">
        <f t="shared" si="59"/>
        <v>0</v>
      </c>
    </row>
    <row r="283" spans="7:18" thickBot="1" x14ac:dyDescent="0.35">
      <c r="G283" s="26">
        <f t="shared" si="48"/>
        <v>0</v>
      </c>
      <c r="H283" s="26">
        <f t="shared" si="49"/>
        <v>0</v>
      </c>
      <c r="I283" s="26">
        <f t="shared" si="50"/>
        <v>0</v>
      </c>
      <c r="J283" s="26">
        <f t="shared" si="51"/>
        <v>0</v>
      </c>
      <c r="K283" s="26">
        <f t="shared" si="52"/>
        <v>0</v>
      </c>
      <c r="L283" s="26">
        <f t="shared" si="53"/>
        <v>0</v>
      </c>
      <c r="M283" s="26">
        <f t="shared" si="54"/>
        <v>0</v>
      </c>
      <c r="N283" s="26">
        <f t="shared" si="55"/>
        <v>0</v>
      </c>
      <c r="O283" s="26">
        <f t="shared" si="56"/>
        <v>0</v>
      </c>
      <c r="P283" s="26">
        <f t="shared" si="57"/>
        <v>0</v>
      </c>
      <c r="Q283" s="26">
        <f t="shared" si="58"/>
        <v>0</v>
      </c>
      <c r="R283" s="34">
        <f t="shared" si="59"/>
        <v>0</v>
      </c>
    </row>
    <row r="284" spans="7:18" thickBot="1" x14ac:dyDescent="0.35">
      <c r="G284" s="26">
        <f t="shared" si="48"/>
        <v>0</v>
      </c>
      <c r="H284" s="26">
        <f t="shared" si="49"/>
        <v>0</v>
      </c>
      <c r="I284" s="26">
        <f t="shared" si="50"/>
        <v>0</v>
      </c>
      <c r="J284" s="26">
        <f t="shared" si="51"/>
        <v>0</v>
      </c>
      <c r="K284" s="26">
        <f t="shared" si="52"/>
        <v>0</v>
      </c>
      <c r="L284" s="26">
        <f t="shared" si="53"/>
        <v>0</v>
      </c>
      <c r="M284" s="26">
        <f t="shared" si="54"/>
        <v>0</v>
      </c>
      <c r="N284" s="26">
        <f t="shared" si="55"/>
        <v>0</v>
      </c>
      <c r="O284" s="26">
        <f t="shared" si="56"/>
        <v>0</v>
      </c>
      <c r="P284" s="26">
        <f t="shared" si="57"/>
        <v>0</v>
      </c>
      <c r="Q284" s="26">
        <f t="shared" si="58"/>
        <v>0</v>
      </c>
      <c r="R284" s="34">
        <f t="shared" si="59"/>
        <v>0</v>
      </c>
    </row>
    <row r="285" spans="7:18" thickBot="1" x14ac:dyDescent="0.35">
      <c r="G285" s="26">
        <f t="shared" si="48"/>
        <v>0</v>
      </c>
      <c r="H285" s="26">
        <f t="shared" si="49"/>
        <v>0</v>
      </c>
      <c r="I285" s="26">
        <f t="shared" si="50"/>
        <v>0</v>
      </c>
      <c r="J285" s="26">
        <f t="shared" si="51"/>
        <v>0</v>
      </c>
      <c r="K285" s="26">
        <f t="shared" si="52"/>
        <v>0</v>
      </c>
      <c r="L285" s="26">
        <f t="shared" si="53"/>
        <v>0</v>
      </c>
      <c r="M285" s="26">
        <f t="shared" si="54"/>
        <v>0</v>
      </c>
      <c r="N285" s="26">
        <f t="shared" si="55"/>
        <v>0</v>
      </c>
      <c r="O285" s="26">
        <f t="shared" si="56"/>
        <v>0</v>
      </c>
      <c r="P285" s="26">
        <f t="shared" si="57"/>
        <v>0</v>
      </c>
      <c r="Q285" s="26">
        <f t="shared" si="58"/>
        <v>0</v>
      </c>
      <c r="R285" s="34">
        <f t="shared" si="59"/>
        <v>0</v>
      </c>
    </row>
    <row r="286" spans="7:18" thickBot="1" x14ac:dyDescent="0.35">
      <c r="G286" s="26">
        <f t="shared" si="48"/>
        <v>0</v>
      </c>
      <c r="H286" s="26">
        <f t="shared" si="49"/>
        <v>0</v>
      </c>
      <c r="I286" s="26">
        <f t="shared" si="50"/>
        <v>0</v>
      </c>
      <c r="J286" s="26">
        <f t="shared" si="51"/>
        <v>0</v>
      </c>
      <c r="K286" s="26">
        <f t="shared" si="52"/>
        <v>0</v>
      </c>
      <c r="L286" s="26">
        <f t="shared" si="53"/>
        <v>0</v>
      </c>
      <c r="M286" s="26">
        <f t="shared" si="54"/>
        <v>0</v>
      </c>
      <c r="N286" s="26">
        <f t="shared" si="55"/>
        <v>0</v>
      </c>
      <c r="O286" s="26">
        <f t="shared" si="56"/>
        <v>0</v>
      </c>
      <c r="P286" s="26">
        <f t="shared" si="57"/>
        <v>0</v>
      </c>
      <c r="Q286" s="26">
        <f t="shared" si="58"/>
        <v>0</v>
      </c>
      <c r="R286" s="34">
        <f t="shared" si="59"/>
        <v>0</v>
      </c>
    </row>
    <row r="287" spans="7:18" thickBot="1" x14ac:dyDescent="0.35">
      <c r="G287" s="26">
        <f t="shared" si="48"/>
        <v>0</v>
      </c>
      <c r="H287" s="26">
        <f t="shared" si="49"/>
        <v>0</v>
      </c>
      <c r="I287" s="26">
        <f t="shared" si="50"/>
        <v>0</v>
      </c>
      <c r="J287" s="26">
        <f t="shared" si="51"/>
        <v>0</v>
      </c>
      <c r="K287" s="26">
        <f t="shared" si="52"/>
        <v>0</v>
      </c>
      <c r="L287" s="26">
        <f t="shared" si="53"/>
        <v>0</v>
      </c>
      <c r="M287" s="26">
        <f t="shared" si="54"/>
        <v>0</v>
      </c>
      <c r="N287" s="26">
        <f t="shared" si="55"/>
        <v>0</v>
      </c>
      <c r="O287" s="26">
        <f t="shared" si="56"/>
        <v>0</v>
      </c>
      <c r="P287" s="26">
        <f t="shared" si="57"/>
        <v>0</v>
      </c>
      <c r="Q287" s="26">
        <f t="shared" si="58"/>
        <v>0</v>
      </c>
      <c r="R287" s="34">
        <f t="shared" si="59"/>
        <v>0</v>
      </c>
    </row>
    <row r="288" spans="7:18" thickBot="1" x14ac:dyDescent="0.35">
      <c r="G288" s="26">
        <f t="shared" si="48"/>
        <v>0</v>
      </c>
      <c r="H288" s="26">
        <f t="shared" si="49"/>
        <v>0</v>
      </c>
      <c r="I288" s="26">
        <f t="shared" si="50"/>
        <v>0</v>
      </c>
      <c r="J288" s="26">
        <f t="shared" si="51"/>
        <v>0</v>
      </c>
      <c r="K288" s="26">
        <f t="shared" si="52"/>
        <v>0</v>
      </c>
      <c r="L288" s="26">
        <f t="shared" si="53"/>
        <v>0</v>
      </c>
      <c r="M288" s="26">
        <f t="shared" si="54"/>
        <v>0</v>
      </c>
      <c r="N288" s="26">
        <f t="shared" si="55"/>
        <v>0</v>
      </c>
      <c r="O288" s="26">
        <f t="shared" si="56"/>
        <v>0</v>
      </c>
      <c r="P288" s="26">
        <f t="shared" si="57"/>
        <v>0</v>
      </c>
      <c r="Q288" s="26">
        <f t="shared" si="58"/>
        <v>0</v>
      </c>
      <c r="R288" s="34">
        <f t="shared" si="59"/>
        <v>0</v>
      </c>
    </row>
    <row r="289" spans="7:18" thickBot="1" x14ac:dyDescent="0.35">
      <c r="G289" s="26">
        <f t="shared" si="48"/>
        <v>0</v>
      </c>
      <c r="H289" s="26">
        <f t="shared" si="49"/>
        <v>0</v>
      </c>
      <c r="I289" s="26">
        <f t="shared" si="50"/>
        <v>0</v>
      </c>
      <c r="J289" s="26">
        <f t="shared" si="51"/>
        <v>0</v>
      </c>
      <c r="K289" s="26">
        <f t="shared" si="52"/>
        <v>0</v>
      </c>
      <c r="L289" s="26">
        <f t="shared" si="53"/>
        <v>0</v>
      </c>
      <c r="M289" s="26">
        <f t="shared" si="54"/>
        <v>0</v>
      </c>
      <c r="N289" s="26">
        <f t="shared" si="55"/>
        <v>0</v>
      </c>
      <c r="O289" s="26">
        <f t="shared" si="56"/>
        <v>0</v>
      </c>
      <c r="P289" s="26">
        <f t="shared" si="57"/>
        <v>0</v>
      </c>
      <c r="Q289" s="26">
        <f t="shared" si="58"/>
        <v>0</v>
      </c>
      <c r="R289" s="34">
        <f t="shared" si="59"/>
        <v>0</v>
      </c>
    </row>
    <row r="290" spans="7:18" thickBot="1" x14ac:dyDescent="0.35">
      <c r="G290" s="26">
        <f t="shared" si="48"/>
        <v>0</v>
      </c>
      <c r="H290" s="26">
        <f t="shared" si="49"/>
        <v>0</v>
      </c>
      <c r="I290" s="26">
        <f t="shared" si="50"/>
        <v>0</v>
      </c>
      <c r="J290" s="26">
        <f t="shared" si="51"/>
        <v>0</v>
      </c>
      <c r="K290" s="26">
        <f t="shared" si="52"/>
        <v>0</v>
      </c>
      <c r="L290" s="26">
        <f t="shared" si="53"/>
        <v>0</v>
      </c>
      <c r="M290" s="26">
        <f t="shared" si="54"/>
        <v>0</v>
      </c>
      <c r="N290" s="26">
        <f t="shared" si="55"/>
        <v>0</v>
      </c>
      <c r="O290" s="26">
        <f t="shared" si="56"/>
        <v>0</v>
      </c>
      <c r="P290" s="26">
        <f t="shared" si="57"/>
        <v>0</v>
      </c>
      <c r="Q290" s="26">
        <f t="shared" si="58"/>
        <v>0</v>
      </c>
      <c r="R290" s="34">
        <f t="shared" si="59"/>
        <v>0</v>
      </c>
    </row>
    <row r="291" spans="7:18" thickBot="1" x14ac:dyDescent="0.35">
      <c r="G291" s="26">
        <f t="shared" si="48"/>
        <v>0</v>
      </c>
      <c r="H291" s="26">
        <f t="shared" si="49"/>
        <v>0</v>
      </c>
      <c r="I291" s="26">
        <f t="shared" si="50"/>
        <v>0</v>
      </c>
      <c r="J291" s="26">
        <f t="shared" si="51"/>
        <v>0</v>
      </c>
      <c r="K291" s="26">
        <f t="shared" si="52"/>
        <v>0</v>
      </c>
      <c r="L291" s="26">
        <f t="shared" si="53"/>
        <v>0</v>
      </c>
      <c r="M291" s="26">
        <f t="shared" si="54"/>
        <v>0</v>
      </c>
      <c r="N291" s="26">
        <f t="shared" si="55"/>
        <v>0</v>
      </c>
      <c r="O291" s="26">
        <f t="shared" si="56"/>
        <v>0</v>
      </c>
      <c r="P291" s="26">
        <f t="shared" si="57"/>
        <v>0</v>
      </c>
      <c r="Q291" s="26">
        <f t="shared" si="58"/>
        <v>0</v>
      </c>
      <c r="R291" s="34">
        <f t="shared" si="59"/>
        <v>0</v>
      </c>
    </row>
    <row r="292" spans="7:18" thickBot="1" x14ac:dyDescent="0.35">
      <c r="G292" s="26">
        <f t="shared" si="48"/>
        <v>0</v>
      </c>
      <c r="H292" s="26">
        <f t="shared" si="49"/>
        <v>0</v>
      </c>
      <c r="I292" s="26">
        <f t="shared" si="50"/>
        <v>0</v>
      </c>
      <c r="J292" s="26">
        <f t="shared" si="51"/>
        <v>0</v>
      </c>
      <c r="K292" s="26">
        <f t="shared" si="52"/>
        <v>0</v>
      </c>
      <c r="L292" s="26">
        <f t="shared" si="53"/>
        <v>0</v>
      </c>
      <c r="M292" s="26">
        <f t="shared" si="54"/>
        <v>0</v>
      </c>
      <c r="N292" s="26">
        <f t="shared" si="55"/>
        <v>0</v>
      </c>
      <c r="O292" s="26">
        <f t="shared" si="56"/>
        <v>0</v>
      </c>
      <c r="P292" s="26">
        <f t="shared" si="57"/>
        <v>0</v>
      </c>
      <c r="Q292" s="26">
        <f t="shared" si="58"/>
        <v>0</v>
      </c>
      <c r="R292" s="34">
        <f t="shared" si="59"/>
        <v>0</v>
      </c>
    </row>
    <row r="293" spans="7:18" thickBot="1" x14ac:dyDescent="0.35">
      <c r="G293" s="26">
        <f t="shared" si="48"/>
        <v>0</v>
      </c>
      <c r="H293" s="26">
        <f t="shared" si="49"/>
        <v>0</v>
      </c>
      <c r="I293" s="26">
        <f t="shared" si="50"/>
        <v>0</v>
      </c>
      <c r="J293" s="26">
        <f t="shared" si="51"/>
        <v>0</v>
      </c>
      <c r="K293" s="26">
        <f t="shared" si="52"/>
        <v>0</v>
      </c>
      <c r="L293" s="26">
        <f t="shared" si="53"/>
        <v>0</v>
      </c>
      <c r="M293" s="26">
        <f t="shared" si="54"/>
        <v>0</v>
      </c>
      <c r="N293" s="26">
        <f t="shared" si="55"/>
        <v>0</v>
      </c>
      <c r="O293" s="26">
        <f t="shared" si="56"/>
        <v>0</v>
      </c>
      <c r="P293" s="26">
        <f t="shared" si="57"/>
        <v>0</v>
      </c>
      <c r="Q293" s="26">
        <f t="shared" si="58"/>
        <v>0</v>
      </c>
      <c r="R293" s="34">
        <f t="shared" si="59"/>
        <v>0</v>
      </c>
    </row>
    <row r="294" spans="7:18" thickBot="1" x14ac:dyDescent="0.35">
      <c r="G294" s="26">
        <f t="shared" si="48"/>
        <v>0</v>
      </c>
      <c r="H294" s="26">
        <f t="shared" si="49"/>
        <v>0</v>
      </c>
      <c r="I294" s="26">
        <f t="shared" si="50"/>
        <v>0</v>
      </c>
      <c r="J294" s="26">
        <f t="shared" si="51"/>
        <v>0</v>
      </c>
      <c r="K294" s="26">
        <f t="shared" si="52"/>
        <v>0</v>
      </c>
      <c r="L294" s="26">
        <f t="shared" si="53"/>
        <v>0</v>
      </c>
      <c r="M294" s="26">
        <f t="shared" si="54"/>
        <v>0</v>
      </c>
      <c r="N294" s="26">
        <f t="shared" si="55"/>
        <v>0</v>
      </c>
      <c r="O294" s="26">
        <f t="shared" si="56"/>
        <v>0</v>
      </c>
      <c r="P294" s="26">
        <f t="shared" si="57"/>
        <v>0</v>
      </c>
      <c r="Q294" s="26">
        <f t="shared" si="58"/>
        <v>0</v>
      </c>
      <c r="R294" s="34">
        <f t="shared" si="59"/>
        <v>0</v>
      </c>
    </row>
    <row r="295" spans="7:18" thickBot="1" x14ac:dyDescent="0.35">
      <c r="G295" s="26">
        <f t="shared" si="48"/>
        <v>0</v>
      </c>
      <c r="H295" s="26">
        <f t="shared" si="49"/>
        <v>0</v>
      </c>
      <c r="I295" s="26">
        <f t="shared" si="50"/>
        <v>0</v>
      </c>
      <c r="J295" s="26">
        <f t="shared" si="51"/>
        <v>0</v>
      </c>
      <c r="K295" s="26">
        <f t="shared" si="52"/>
        <v>0</v>
      </c>
      <c r="L295" s="26">
        <f t="shared" si="53"/>
        <v>0</v>
      </c>
      <c r="M295" s="26">
        <f t="shared" si="54"/>
        <v>0</v>
      </c>
      <c r="N295" s="26">
        <f t="shared" si="55"/>
        <v>0</v>
      </c>
      <c r="O295" s="26">
        <f t="shared" si="56"/>
        <v>0</v>
      </c>
      <c r="P295" s="26">
        <f t="shared" si="57"/>
        <v>0</v>
      </c>
      <c r="Q295" s="26">
        <f t="shared" si="58"/>
        <v>0</v>
      </c>
      <c r="R295" s="34">
        <f t="shared" si="59"/>
        <v>0</v>
      </c>
    </row>
    <row r="296" spans="7:18" thickBot="1" x14ac:dyDescent="0.35">
      <c r="G296" s="26">
        <f t="shared" si="48"/>
        <v>0</v>
      </c>
      <c r="H296" s="26">
        <f t="shared" si="49"/>
        <v>0</v>
      </c>
      <c r="I296" s="26">
        <f t="shared" si="50"/>
        <v>0</v>
      </c>
      <c r="J296" s="26">
        <f t="shared" si="51"/>
        <v>0</v>
      </c>
      <c r="K296" s="26">
        <f t="shared" si="52"/>
        <v>0</v>
      </c>
      <c r="L296" s="26">
        <f t="shared" si="53"/>
        <v>0</v>
      </c>
      <c r="M296" s="26">
        <f t="shared" si="54"/>
        <v>0</v>
      </c>
      <c r="N296" s="26">
        <f t="shared" si="55"/>
        <v>0</v>
      </c>
      <c r="O296" s="26">
        <f t="shared" si="56"/>
        <v>0</v>
      </c>
      <c r="P296" s="26">
        <f t="shared" si="57"/>
        <v>0</v>
      </c>
      <c r="Q296" s="26">
        <f t="shared" si="58"/>
        <v>0</v>
      </c>
      <c r="R296" s="34">
        <f t="shared" si="59"/>
        <v>0</v>
      </c>
    </row>
    <row r="297" spans="7:18" thickBot="1" x14ac:dyDescent="0.35">
      <c r="G297" s="26">
        <f t="shared" si="48"/>
        <v>0</v>
      </c>
      <c r="H297" s="26">
        <f t="shared" si="49"/>
        <v>0</v>
      </c>
      <c r="I297" s="26">
        <f t="shared" si="50"/>
        <v>0</v>
      </c>
      <c r="J297" s="26">
        <f t="shared" si="51"/>
        <v>0</v>
      </c>
      <c r="K297" s="26">
        <f t="shared" si="52"/>
        <v>0</v>
      </c>
      <c r="L297" s="26">
        <f t="shared" si="53"/>
        <v>0</v>
      </c>
      <c r="M297" s="26">
        <f t="shared" si="54"/>
        <v>0</v>
      </c>
      <c r="N297" s="26">
        <f t="shared" si="55"/>
        <v>0</v>
      </c>
      <c r="O297" s="26">
        <f t="shared" si="56"/>
        <v>0</v>
      </c>
      <c r="P297" s="26">
        <f t="shared" si="57"/>
        <v>0</v>
      </c>
      <c r="Q297" s="26">
        <f t="shared" si="58"/>
        <v>0</v>
      </c>
      <c r="R297" s="34">
        <f t="shared" si="59"/>
        <v>0</v>
      </c>
    </row>
    <row r="298" spans="7:18" thickBot="1" x14ac:dyDescent="0.35">
      <c r="G298" s="26">
        <f t="shared" si="48"/>
        <v>0</v>
      </c>
      <c r="H298" s="26">
        <f t="shared" si="49"/>
        <v>0</v>
      </c>
      <c r="I298" s="26">
        <f t="shared" si="50"/>
        <v>0</v>
      </c>
      <c r="J298" s="26">
        <f t="shared" si="51"/>
        <v>0</v>
      </c>
      <c r="K298" s="26">
        <f t="shared" si="52"/>
        <v>0</v>
      </c>
      <c r="L298" s="26">
        <f t="shared" si="53"/>
        <v>0</v>
      </c>
      <c r="M298" s="26">
        <f t="shared" si="54"/>
        <v>0</v>
      </c>
      <c r="N298" s="26">
        <f t="shared" si="55"/>
        <v>0</v>
      </c>
      <c r="O298" s="26">
        <f t="shared" si="56"/>
        <v>0</v>
      </c>
      <c r="P298" s="26">
        <f t="shared" si="57"/>
        <v>0</v>
      </c>
      <c r="Q298" s="26">
        <f t="shared" si="58"/>
        <v>0</v>
      </c>
      <c r="R298" s="34">
        <f t="shared" si="59"/>
        <v>0</v>
      </c>
    </row>
    <row r="299" spans="7:18" thickBot="1" x14ac:dyDescent="0.35">
      <c r="G299" s="26">
        <f t="shared" si="48"/>
        <v>0</v>
      </c>
      <c r="H299" s="26">
        <f t="shared" si="49"/>
        <v>0</v>
      </c>
      <c r="I299" s="26">
        <f t="shared" si="50"/>
        <v>0</v>
      </c>
      <c r="J299" s="26">
        <f t="shared" si="51"/>
        <v>0</v>
      </c>
      <c r="K299" s="26">
        <f t="shared" si="52"/>
        <v>0</v>
      </c>
      <c r="L299" s="26">
        <f t="shared" si="53"/>
        <v>0</v>
      </c>
      <c r="M299" s="26">
        <f t="shared" si="54"/>
        <v>0</v>
      </c>
      <c r="N299" s="26">
        <f t="shared" si="55"/>
        <v>0</v>
      </c>
      <c r="O299" s="26">
        <f t="shared" si="56"/>
        <v>0</v>
      </c>
      <c r="P299" s="26">
        <f t="shared" si="57"/>
        <v>0</v>
      </c>
      <c r="Q299" s="26">
        <f t="shared" si="58"/>
        <v>0</v>
      </c>
      <c r="R299" s="34">
        <f t="shared" si="59"/>
        <v>0</v>
      </c>
    </row>
    <row r="300" spans="7:18" thickBot="1" x14ac:dyDescent="0.35">
      <c r="G300" s="26">
        <f t="shared" si="48"/>
        <v>0</v>
      </c>
      <c r="H300" s="26">
        <f t="shared" si="49"/>
        <v>0</v>
      </c>
      <c r="I300" s="26">
        <f t="shared" si="50"/>
        <v>0</v>
      </c>
      <c r="J300" s="26">
        <f t="shared" si="51"/>
        <v>0</v>
      </c>
      <c r="K300" s="26">
        <f t="shared" si="52"/>
        <v>0</v>
      </c>
      <c r="L300" s="26">
        <f t="shared" si="53"/>
        <v>0</v>
      </c>
      <c r="M300" s="26">
        <f t="shared" si="54"/>
        <v>0</v>
      </c>
      <c r="N300" s="26">
        <f t="shared" si="55"/>
        <v>0</v>
      </c>
      <c r="O300" s="26">
        <f t="shared" si="56"/>
        <v>0</v>
      </c>
      <c r="P300" s="26">
        <f t="shared" si="57"/>
        <v>0</v>
      </c>
      <c r="Q300" s="26">
        <f t="shared" si="58"/>
        <v>0</v>
      </c>
      <c r="R300" s="34">
        <f t="shared" si="59"/>
        <v>0</v>
      </c>
    </row>
    <row r="301" spans="7:18" thickBot="1" x14ac:dyDescent="0.35">
      <c r="G301" s="26">
        <f t="shared" si="48"/>
        <v>0</v>
      </c>
      <c r="H301" s="26">
        <f t="shared" si="49"/>
        <v>0</v>
      </c>
      <c r="I301" s="26">
        <f t="shared" si="50"/>
        <v>0</v>
      </c>
      <c r="J301" s="26">
        <f t="shared" si="51"/>
        <v>0</v>
      </c>
      <c r="K301" s="26">
        <f t="shared" si="52"/>
        <v>0</v>
      </c>
      <c r="L301" s="26">
        <f t="shared" si="53"/>
        <v>0</v>
      </c>
      <c r="M301" s="26">
        <f t="shared" si="54"/>
        <v>0</v>
      </c>
      <c r="N301" s="26">
        <f t="shared" si="55"/>
        <v>0</v>
      </c>
      <c r="O301" s="26">
        <f t="shared" si="56"/>
        <v>0</v>
      </c>
      <c r="P301" s="26">
        <f t="shared" si="57"/>
        <v>0</v>
      </c>
      <c r="Q301" s="26">
        <f t="shared" si="58"/>
        <v>0</v>
      </c>
      <c r="R301" s="34">
        <f t="shared" si="59"/>
        <v>0</v>
      </c>
    </row>
    <row r="302" spans="7:18" thickBot="1" x14ac:dyDescent="0.35">
      <c r="G302" s="26">
        <f t="shared" si="48"/>
        <v>0</v>
      </c>
      <c r="H302" s="26">
        <f t="shared" si="49"/>
        <v>0</v>
      </c>
      <c r="I302" s="26">
        <f t="shared" si="50"/>
        <v>0</v>
      </c>
      <c r="J302" s="26">
        <f t="shared" si="51"/>
        <v>0</v>
      </c>
      <c r="K302" s="26">
        <f t="shared" si="52"/>
        <v>0</v>
      </c>
      <c r="L302" s="26">
        <f t="shared" si="53"/>
        <v>0</v>
      </c>
      <c r="M302" s="26">
        <f t="shared" si="54"/>
        <v>0</v>
      </c>
      <c r="N302" s="26">
        <f t="shared" si="55"/>
        <v>0</v>
      </c>
      <c r="O302" s="26">
        <f t="shared" si="56"/>
        <v>0</v>
      </c>
      <c r="P302" s="26">
        <f t="shared" si="57"/>
        <v>0</v>
      </c>
      <c r="Q302" s="26">
        <f t="shared" si="58"/>
        <v>0</v>
      </c>
      <c r="R302" s="34">
        <f t="shared" si="59"/>
        <v>0</v>
      </c>
    </row>
    <row r="303" spans="7:18" thickBot="1" x14ac:dyDescent="0.35">
      <c r="G303" s="26">
        <f t="shared" si="48"/>
        <v>0</v>
      </c>
      <c r="H303" s="26">
        <f t="shared" si="49"/>
        <v>0</v>
      </c>
      <c r="I303" s="26">
        <f t="shared" si="50"/>
        <v>0</v>
      </c>
      <c r="J303" s="26">
        <f t="shared" si="51"/>
        <v>0</v>
      </c>
      <c r="K303" s="26">
        <f t="shared" si="52"/>
        <v>0</v>
      </c>
      <c r="L303" s="26">
        <f t="shared" si="53"/>
        <v>0</v>
      </c>
      <c r="M303" s="26">
        <f t="shared" si="54"/>
        <v>0</v>
      </c>
      <c r="N303" s="26">
        <f t="shared" si="55"/>
        <v>0</v>
      </c>
      <c r="O303" s="26">
        <f t="shared" si="56"/>
        <v>0</v>
      </c>
      <c r="P303" s="26">
        <f t="shared" si="57"/>
        <v>0</v>
      </c>
      <c r="Q303" s="26">
        <f t="shared" si="58"/>
        <v>0</v>
      </c>
      <c r="R303" s="34">
        <f t="shared" si="59"/>
        <v>0</v>
      </c>
    </row>
    <row r="304" spans="7:18" thickBot="1" x14ac:dyDescent="0.35">
      <c r="G304" s="26">
        <f t="shared" si="48"/>
        <v>0</v>
      </c>
      <c r="H304" s="26">
        <f t="shared" si="49"/>
        <v>0</v>
      </c>
      <c r="I304" s="26">
        <f t="shared" si="50"/>
        <v>0</v>
      </c>
      <c r="J304" s="26">
        <f t="shared" si="51"/>
        <v>0</v>
      </c>
      <c r="K304" s="26">
        <f t="shared" si="52"/>
        <v>0</v>
      </c>
      <c r="L304" s="26">
        <f t="shared" si="53"/>
        <v>0</v>
      </c>
      <c r="M304" s="26">
        <f t="shared" si="54"/>
        <v>0</v>
      </c>
      <c r="N304" s="26">
        <f t="shared" si="55"/>
        <v>0</v>
      </c>
      <c r="O304" s="26">
        <f t="shared" si="56"/>
        <v>0</v>
      </c>
      <c r="P304" s="26">
        <f t="shared" si="57"/>
        <v>0</v>
      </c>
      <c r="Q304" s="26">
        <f t="shared" si="58"/>
        <v>0</v>
      </c>
      <c r="R304" s="34">
        <f t="shared" si="59"/>
        <v>0</v>
      </c>
    </row>
    <row r="305" spans="7:18" thickBot="1" x14ac:dyDescent="0.35">
      <c r="G305" s="26">
        <f t="shared" si="48"/>
        <v>0</v>
      </c>
      <c r="H305" s="26">
        <f t="shared" si="49"/>
        <v>0</v>
      </c>
      <c r="I305" s="26">
        <f t="shared" si="50"/>
        <v>0</v>
      </c>
      <c r="J305" s="26">
        <f t="shared" si="51"/>
        <v>0</v>
      </c>
      <c r="K305" s="26">
        <f t="shared" si="52"/>
        <v>0</v>
      </c>
      <c r="L305" s="26">
        <f t="shared" si="53"/>
        <v>0</v>
      </c>
      <c r="M305" s="26">
        <f t="shared" si="54"/>
        <v>0</v>
      </c>
      <c r="N305" s="26">
        <f t="shared" si="55"/>
        <v>0</v>
      </c>
      <c r="O305" s="26">
        <f t="shared" si="56"/>
        <v>0</v>
      </c>
      <c r="P305" s="26">
        <f t="shared" si="57"/>
        <v>0</v>
      </c>
      <c r="Q305" s="26">
        <f t="shared" si="58"/>
        <v>0</v>
      </c>
      <c r="R305" s="34">
        <f t="shared" si="59"/>
        <v>0</v>
      </c>
    </row>
    <row r="306" spans="7:18" thickBot="1" x14ac:dyDescent="0.35">
      <c r="G306" s="26">
        <f t="shared" si="48"/>
        <v>0</v>
      </c>
      <c r="H306" s="26">
        <f t="shared" si="49"/>
        <v>0</v>
      </c>
      <c r="I306" s="26">
        <f t="shared" si="50"/>
        <v>0</v>
      </c>
      <c r="J306" s="26">
        <f t="shared" si="51"/>
        <v>0</v>
      </c>
      <c r="K306" s="26">
        <f t="shared" si="52"/>
        <v>0</v>
      </c>
      <c r="L306" s="26">
        <f t="shared" si="53"/>
        <v>0</v>
      </c>
      <c r="M306" s="26">
        <f t="shared" si="54"/>
        <v>0</v>
      </c>
      <c r="N306" s="26">
        <f t="shared" si="55"/>
        <v>0</v>
      </c>
      <c r="O306" s="26">
        <f t="shared" si="56"/>
        <v>0</v>
      </c>
      <c r="P306" s="26">
        <f t="shared" si="57"/>
        <v>0</v>
      </c>
      <c r="Q306" s="26">
        <f t="shared" si="58"/>
        <v>0</v>
      </c>
      <c r="R306" s="34">
        <f t="shared" si="59"/>
        <v>0</v>
      </c>
    </row>
    <row r="307" spans="7:18" thickBot="1" x14ac:dyDescent="0.35">
      <c r="G307" s="26">
        <f t="shared" si="48"/>
        <v>0</v>
      </c>
      <c r="H307" s="26">
        <f t="shared" si="49"/>
        <v>0</v>
      </c>
      <c r="I307" s="26">
        <f t="shared" si="50"/>
        <v>0</v>
      </c>
      <c r="J307" s="26">
        <f t="shared" si="51"/>
        <v>0</v>
      </c>
      <c r="K307" s="26">
        <f t="shared" si="52"/>
        <v>0</v>
      </c>
      <c r="L307" s="26">
        <f t="shared" si="53"/>
        <v>0</v>
      </c>
      <c r="M307" s="26">
        <f t="shared" si="54"/>
        <v>0</v>
      </c>
      <c r="N307" s="26">
        <f t="shared" si="55"/>
        <v>0</v>
      </c>
      <c r="O307" s="26">
        <f t="shared" si="56"/>
        <v>0</v>
      </c>
      <c r="P307" s="26">
        <f t="shared" si="57"/>
        <v>0</v>
      </c>
      <c r="Q307" s="26">
        <f t="shared" si="58"/>
        <v>0</v>
      </c>
      <c r="R307" s="34">
        <f t="shared" si="59"/>
        <v>0</v>
      </c>
    </row>
    <row r="308" spans="7:18" thickBot="1" x14ac:dyDescent="0.35">
      <c r="G308" s="26">
        <f t="shared" si="48"/>
        <v>0</v>
      </c>
      <c r="H308" s="26">
        <f t="shared" si="49"/>
        <v>0</v>
      </c>
      <c r="I308" s="26">
        <f t="shared" si="50"/>
        <v>0</v>
      </c>
      <c r="J308" s="26">
        <f t="shared" si="51"/>
        <v>0</v>
      </c>
      <c r="K308" s="26">
        <f t="shared" si="52"/>
        <v>0</v>
      </c>
      <c r="L308" s="26">
        <f t="shared" si="53"/>
        <v>0</v>
      </c>
      <c r="M308" s="26">
        <f t="shared" si="54"/>
        <v>0</v>
      </c>
      <c r="N308" s="26">
        <f t="shared" si="55"/>
        <v>0</v>
      </c>
      <c r="O308" s="26">
        <f t="shared" si="56"/>
        <v>0</v>
      </c>
      <c r="P308" s="26">
        <f t="shared" si="57"/>
        <v>0</v>
      </c>
      <c r="Q308" s="26">
        <f t="shared" si="58"/>
        <v>0</v>
      </c>
      <c r="R308" s="34">
        <f t="shared" si="59"/>
        <v>0</v>
      </c>
    </row>
    <row r="309" spans="7:18" thickBot="1" x14ac:dyDescent="0.35">
      <c r="G309" s="26">
        <f t="shared" si="48"/>
        <v>0</v>
      </c>
      <c r="H309" s="26">
        <f t="shared" si="49"/>
        <v>0</v>
      </c>
      <c r="I309" s="26">
        <f t="shared" si="50"/>
        <v>0</v>
      </c>
      <c r="J309" s="26">
        <f t="shared" si="51"/>
        <v>0</v>
      </c>
      <c r="K309" s="26">
        <f t="shared" si="52"/>
        <v>0</v>
      </c>
      <c r="L309" s="26">
        <f t="shared" si="53"/>
        <v>0</v>
      </c>
      <c r="M309" s="26">
        <f t="shared" si="54"/>
        <v>0</v>
      </c>
      <c r="N309" s="26">
        <f t="shared" si="55"/>
        <v>0</v>
      </c>
      <c r="O309" s="26">
        <f t="shared" si="56"/>
        <v>0</v>
      </c>
      <c r="P309" s="26">
        <f t="shared" si="57"/>
        <v>0</v>
      </c>
      <c r="Q309" s="26">
        <f t="shared" si="58"/>
        <v>0</v>
      </c>
      <c r="R309" s="34">
        <f t="shared" si="59"/>
        <v>0</v>
      </c>
    </row>
    <row r="310" spans="7:18" thickBot="1" x14ac:dyDescent="0.35">
      <c r="G310" s="26">
        <f t="shared" si="48"/>
        <v>0</v>
      </c>
      <c r="H310" s="26">
        <f t="shared" si="49"/>
        <v>0</v>
      </c>
      <c r="I310" s="26">
        <f t="shared" si="50"/>
        <v>0</v>
      </c>
      <c r="J310" s="26">
        <f t="shared" si="51"/>
        <v>0</v>
      </c>
      <c r="K310" s="26">
        <f t="shared" si="52"/>
        <v>0</v>
      </c>
      <c r="L310" s="26">
        <f t="shared" si="53"/>
        <v>0</v>
      </c>
      <c r="M310" s="26">
        <f t="shared" si="54"/>
        <v>0</v>
      </c>
      <c r="N310" s="26">
        <f t="shared" si="55"/>
        <v>0</v>
      </c>
      <c r="O310" s="26">
        <f t="shared" si="56"/>
        <v>0</v>
      </c>
      <c r="P310" s="26">
        <f t="shared" si="57"/>
        <v>0</v>
      </c>
      <c r="Q310" s="26">
        <f t="shared" si="58"/>
        <v>0</v>
      </c>
      <c r="R310" s="34">
        <f t="shared" si="59"/>
        <v>0</v>
      </c>
    </row>
    <row r="311" spans="7:18" thickBot="1" x14ac:dyDescent="0.35">
      <c r="G311" s="26">
        <f t="shared" si="48"/>
        <v>0</v>
      </c>
      <c r="H311" s="26">
        <f t="shared" si="49"/>
        <v>0</v>
      </c>
      <c r="I311" s="26">
        <f t="shared" si="50"/>
        <v>0</v>
      </c>
      <c r="J311" s="26">
        <f t="shared" si="51"/>
        <v>0</v>
      </c>
      <c r="K311" s="26">
        <f t="shared" si="52"/>
        <v>0</v>
      </c>
      <c r="L311" s="26">
        <f t="shared" si="53"/>
        <v>0</v>
      </c>
      <c r="M311" s="26">
        <f t="shared" si="54"/>
        <v>0</v>
      </c>
      <c r="N311" s="26">
        <f t="shared" si="55"/>
        <v>0</v>
      </c>
      <c r="O311" s="26">
        <f t="shared" si="56"/>
        <v>0</v>
      </c>
      <c r="P311" s="26">
        <f t="shared" si="57"/>
        <v>0</v>
      </c>
      <c r="Q311" s="26">
        <f t="shared" si="58"/>
        <v>0</v>
      </c>
      <c r="R311" s="34">
        <f t="shared" si="59"/>
        <v>0</v>
      </c>
    </row>
    <row r="312" spans="7:18" thickBot="1" x14ac:dyDescent="0.35">
      <c r="G312" s="26">
        <f t="shared" si="48"/>
        <v>0</v>
      </c>
      <c r="H312" s="26">
        <f t="shared" si="49"/>
        <v>0</v>
      </c>
      <c r="I312" s="26">
        <f t="shared" si="50"/>
        <v>0</v>
      </c>
      <c r="J312" s="26">
        <f t="shared" si="51"/>
        <v>0</v>
      </c>
      <c r="K312" s="26">
        <f t="shared" si="52"/>
        <v>0</v>
      </c>
      <c r="L312" s="26">
        <f t="shared" si="53"/>
        <v>0</v>
      </c>
      <c r="M312" s="26">
        <f t="shared" si="54"/>
        <v>0</v>
      </c>
      <c r="N312" s="26">
        <f t="shared" si="55"/>
        <v>0</v>
      </c>
      <c r="O312" s="26">
        <f t="shared" si="56"/>
        <v>0</v>
      </c>
      <c r="P312" s="26">
        <f t="shared" si="57"/>
        <v>0</v>
      </c>
      <c r="Q312" s="26">
        <f t="shared" si="58"/>
        <v>0</v>
      </c>
      <c r="R312" s="34">
        <f t="shared" si="59"/>
        <v>0</v>
      </c>
    </row>
    <row r="313" spans="7:18" thickBot="1" x14ac:dyDescent="0.35">
      <c r="G313" s="26">
        <f t="shared" si="48"/>
        <v>0</v>
      </c>
      <c r="H313" s="26">
        <f t="shared" si="49"/>
        <v>0</v>
      </c>
      <c r="I313" s="26">
        <f t="shared" si="50"/>
        <v>0</v>
      </c>
      <c r="J313" s="26">
        <f t="shared" si="51"/>
        <v>0</v>
      </c>
      <c r="K313" s="26">
        <f t="shared" si="52"/>
        <v>0</v>
      </c>
      <c r="L313" s="26">
        <f t="shared" si="53"/>
        <v>0</v>
      </c>
      <c r="M313" s="26">
        <f t="shared" si="54"/>
        <v>0</v>
      </c>
      <c r="N313" s="26">
        <f t="shared" si="55"/>
        <v>0</v>
      </c>
      <c r="O313" s="26">
        <f t="shared" si="56"/>
        <v>0</v>
      </c>
      <c r="P313" s="26">
        <f t="shared" si="57"/>
        <v>0</v>
      </c>
      <c r="Q313" s="26">
        <f t="shared" si="58"/>
        <v>0</v>
      </c>
      <c r="R313" s="34">
        <f t="shared" si="59"/>
        <v>0</v>
      </c>
    </row>
    <row r="314" spans="7:18" thickBot="1" x14ac:dyDescent="0.35">
      <c r="G314" s="26">
        <f t="shared" si="48"/>
        <v>0</v>
      </c>
      <c r="H314" s="26">
        <f t="shared" si="49"/>
        <v>0</v>
      </c>
      <c r="I314" s="26">
        <f t="shared" si="50"/>
        <v>0</v>
      </c>
      <c r="J314" s="26">
        <f t="shared" si="51"/>
        <v>0</v>
      </c>
      <c r="K314" s="26">
        <f t="shared" si="52"/>
        <v>0</v>
      </c>
      <c r="L314" s="26">
        <f t="shared" si="53"/>
        <v>0</v>
      </c>
      <c r="M314" s="26">
        <f t="shared" si="54"/>
        <v>0</v>
      </c>
      <c r="N314" s="26">
        <f t="shared" si="55"/>
        <v>0</v>
      </c>
      <c r="O314" s="26">
        <f t="shared" si="56"/>
        <v>0</v>
      </c>
      <c r="P314" s="26">
        <f t="shared" si="57"/>
        <v>0</v>
      </c>
      <c r="Q314" s="26">
        <f t="shared" si="58"/>
        <v>0</v>
      </c>
      <c r="R314" s="34">
        <f t="shared" si="59"/>
        <v>0</v>
      </c>
    </row>
    <row r="315" spans="7:18" thickBot="1" x14ac:dyDescent="0.35">
      <c r="G315" s="26">
        <f t="shared" si="48"/>
        <v>0</v>
      </c>
      <c r="H315" s="26">
        <f t="shared" si="49"/>
        <v>0</v>
      </c>
      <c r="I315" s="26">
        <f t="shared" si="50"/>
        <v>0</v>
      </c>
      <c r="J315" s="26">
        <f t="shared" si="51"/>
        <v>0</v>
      </c>
      <c r="K315" s="26">
        <f t="shared" si="52"/>
        <v>0</v>
      </c>
      <c r="L315" s="26">
        <f t="shared" si="53"/>
        <v>0</v>
      </c>
      <c r="M315" s="26">
        <f t="shared" si="54"/>
        <v>0</v>
      </c>
      <c r="N315" s="26">
        <f t="shared" si="55"/>
        <v>0</v>
      </c>
      <c r="O315" s="26">
        <f t="shared" si="56"/>
        <v>0</v>
      </c>
      <c r="P315" s="26">
        <f t="shared" si="57"/>
        <v>0</v>
      </c>
      <c r="Q315" s="26">
        <f t="shared" si="58"/>
        <v>0</v>
      </c>
      <c r="R315" s="34">
        <f t="shared" si="59"/>
        <v>0</v>
      </c>
    </row>
    <row r="316" spans="7:18" thickBot="1" x14ac:dyDescent="0.35">
      <c r="G316" s="26">
        <f t="shared" si="48"/>
        <v>0</v>
      </c>
      <c r="H316" s="26">
        <f t="shared" si="49"/>
        <v>0</v>
      </c>
      <c r="I316" s="26">
        <f t="shared" si="50"/>
        <v>0</v>
      </c>
      <c r="J316" s="26">
        <f t="shared" si="51"/>
        <v>0</v>
      </c>
      <c r="K316" s="26">
        <f t="shared" si="52"/>
        <v>0</v>
      </c>
      <c r="L316" s="26">
        <f t="shared" si="53"/>
        <v>0</v>
      </c>
      <c r="M316" s="26">
        <f t="shared" si="54"/>
        <v>0</v>
      </c>
      <c r="N316" s="26">
        <f t="shared" si="55"/>
        <v>0</v>
      </c>
      <c r="O316" s="26">
        <f t="shared" si="56"/>
        <v>0</v>
      </c>
      <c r="P316" s="26">
        <f t="shared" si="57"/>
        <v>0</v>
      </c>
      <c r="Q316" s="26">
        <f t="shared" si="58"/>
        <v>0</v>
      </c>
      <c r="R316" s="34">
        <f t="shared" si="59"/>
        <v>0</v>
      </c>
    </row>
    <row r="317" spans="7:18" thickBot="1" x14ac:dyDescent="0.35">
      <c r="G317" s="26">
        <f t="shared" si="48"/>
        <v>0</v>
      </c>
      <c r="H317" s="26">
        <f t="shared" si="49"/>
        <v>0</v>
      </c>
      <c r="I317" s="26">
        <f t="shared" si="50"/>
        <v>0</v>
      </c>
      <c r="J317" s="26">
        <f t="shared" si="51"/>
        <v>0</v>
      </c>
      <c r="K317" s="26">
        <f t="shared" si="52"/>
        <v>0</v>
      </c>
      <c r="L317" s="26">
        <f t="shared" si="53"/>
        <v>0</v>
      </c>
      <c r="M317" s="26">
        <f t="shared" si="54"/>
        <v>0</v>
      </c>
      <c r="N317" s="26">
        <f t="shared" si="55"/>
        <v>0</v>
      </c>
      <c r="O317" s="26">
        <f t="shared" si="56"/>
        <v>0</v>
      </c>
      <c r="P317" s="26">
        <f t="shared" si="57"/>
        <v>0</v>
      </c>
      <c r="Q317" s="26">
        <f t="shared" si="58"/>
        <v>0</v>
      </c>
      <c r="R317" s="34">
        <f t="shared" si="59"/>
        <v>0</v>
      </c>
    </row>
    <row r="318" spans="7:18" thickBot="1" x14ac:dyDescent="0.35">
      <c r="G318" s="26">
        <f t="shared" si="48"/>
        <v>0</v>
      </c>
      <c r="H318" s="26">
        <f t="shared" si="49"/>
        <v>0</v>
      </c>
      <c r="I318" s="26">
        <f t="shared" si="50"/>
        <v>0</v>
      </c>
      <c r="J318" s="26">
        <f t="shared" si="51"/>
        <v>0</v>
      </c>
      <c r="K318" s="26">
        <f t="shared" si="52"/>
        <v>0</v>
      </c>
      <c r="L318" s="26">
        <f t="shared" si="53"/>
        <v>0</v>
      </c>
      <c r="M318" s="26">
        <f t="shared" si="54"/>
        <v>0</v>
      </c>
      <c r="N318" s="26">
        <f t="shared" si="55"/>
        <v>0</v>
      </c>
      <c r="O318" s="26">
        <f t="shared" si="56"/>
        <v>0</v>
      </c>
      <c r="P318" s="26">
        <f t="shared" si="57"/>
        <v>0</v>
      </c>
      <c r="Q318" s="26">
        <f t="shared" si="58"/>
        <v>0</v>
      </c>
      <c r="R318" s="34">
        <f t="shared" si="59"/>
        <v>0</v>
      </c>
    </row>
    <row r="319" spans="7:18" thickBot="1" x14ac:dyDescent="0.35">
      <c r="G319" s="26">
        <f t="shared" si="48"/>
        <v>0</v>
      </c>
      <c r="H319" s="26">
        <f t="shared" si="49"/>
        <v>0</v>
      </c>
      <c r="I319" s="26">
        <f t="shared" si="50"/>
        <v>0</v>
      </c>
      <c r="J319" s="26">
        <f t="shared" si="51"/>
        <v>0</v>
      </c>
      <c r="K319" s="26">
        <f t="shared" si="52"/>
        <v>0</v>
      </c>
      <c r="L319" s="26">
        <f t="shared" si="53"/>
        <v>0</v>
      </c>
      <c r="M319" s="26">
        <f t="shared" si="54"/>
        <v>0</v>
      </c>
      <c r="N319" s="26">
        <f t="shared" si="55"/>
        <v>0</v>
      </c>
      <c r="O319" s="26">
        <f t="shared" si="56"/>
        <v>0</v>
      </c>
      <c r="P319" s="26">
        <f t="shared" si="57"/>
        <v>0</v>
      </c>
      <c r="Q319" s="26">
        <f t="shared" si="58"/>
        <v>0</v>
      </c>
      <c r="R319" s="34">
        <f t="shared" si="59"/>
        <v>0</v>
      </c>
    </row>
    <row r="320" spans="7:18" thickBot="1" x14ac:dyDescent="0.35">
      <c r="G320" s="26">
        <f t="shared" si="48"/>
        <v>0</v>
      </c>
      <c r="H320" s="26">
        <f t="shared" si="49"/>
        <v>0</v>
      </c>
      <c r="I320" s="26">
        <f t="shared" si="50"/>
        <v>0</v>
      </c>
      <c r="J320" s="26">
        <f t="shared" si="51"/>
        <v>0</v>
      </c>
      <c r="K320" s="26">
        <f t="shared" si="52"/>
        <v>0</v>
      </c>
      <c r="L320" s="26">
        <f t="shared" si="53"/>
        <v>0</v>
      </c>
      <c r="M320" s="26">
        <f t="shared" si="54"/>
        <v>0</v>
      </c>
      <c r="N320" s="26">
        <f t="shared" si="55"/>
        <v>0</v>
      </c>
      <c r="O320" s="26">
        <f t="shared" si="56"/>
        <v>0</v>
      </c>
      <c r="P320" s="26">
        <f t="shared" si="57"/>
        <v>0</v>
      </c>
      <c r="Q320" s="26">
        <f t="shared" si="58"/>
        <v>0</v>
      </c>
      <c r="R320" s="34">
        <f t="shared" si="59"/>
        <v>0</v>
      </c>
    </row>
    <row r="321" spans="7:18" thickBot="1" x14ac:dyDescent="0.35">
      <c r="G321" s="26">
        <f t="shared" si="48"/>
        <v>0</v>
      </c>
      <c r="H321" s="26">
        <f t="shared" si="49"/>
        <v>0</v>
      </c>
      <c r="I321" s="26">
        <f t="shared" si="50"/>
        <v>0</v>
      </c>
      <c r="J321" s="26">
        <f t="shared" si="51"/>
        <v>0</v>
      </c>
      <c r="K321" s="26">
        <f t="shared" si="52"/>
        <v>0</v>
      </c>
      <c r="L321" s="26">
        <f t="shared" si="53"/>
        <v>0</v>
      </c>
      <c r="M321" s="26">
        <f t="shared" si="54"/>
        <v>0</v>
      </c>
      <c r="N321" s="26">
        <f t="shared" si="55"/>
        <v>0</v>
      </c>
      <c r="O321" s="26">
        <f t="shared" si="56"/>
        <v>0</v>
      </c>
      <c r="P321" s="26">
        <f t="shared" si="57"/>
        <v>0</v>
      </c>
      <c r="Q321" s="26">
        <f t="shared" si="58"/>
        <v>0</v>
      </c>
      <c r="R321" s="34">
        <f t="shared" si="59"/>
        <v>0</v>
      </c>
    </row>
    <row r="322" spans="7:18" thickBot="1" x14ac:dyDescent="0.35">
      <c r="G322" s="26">
        <f t="shared" si="48"/>
        <v>0</v>
      </c>
      <c r="H322" s="26">
        <f t="shared" si="49"/>
        <v>0</v>
      </c>
      <c r="I322" s="26">
        <f t="shared" si="50"/>
        <v>0</v>
      </c>
      <c r="J322" s="26">
        <f t="shared" si="51"/>
        <v>0</v>
      </c>
      <c r="K322" s="26">
        <f t="shared" si="52"/>
        <v>0</v>
      </c>
      <c r="L322" s="26">
        <f t="shared" si="53"/>
        <v>0</v>
      </c>
      <c r="M322" s="26">
        <f t="shared" si="54"/>
        <v>0</v>
      </c>
      <c r="N322" s="26">
        <f t="shared" si="55"/>
        <v>0</v>
      </c>
      <c r="O322" s="26">
        <f t="shared" si="56"/>
        <v>0</v>
      </c>
      <c r="P322" s="26">
        <f t="shared" si="57"/>
        <v>0</v>
      </c>
      <c r="Q322" s="26">
        <f t="shared" si="58"/>
        <v>0</v>
      </c>
      <c r="R322" s="34">
        <f t="shared" si="59"/>
        <v>0</v>
      </c>
    </row>
    <row r="323" spans="7:18" thickBot="1" x14ac:dyDescent="0.35">
      <c r="G323" s="26">
        <f t="shared" si="48"/>
        <v>0</v>
      </c>
      <c r="H323" s="26">
        <f t="shared" si="49"/>
        <v>0</v>
      </c>
      <c r="I323" s="26">
        <f t="shared" si="50"/>
        <v>0</v>
      </c>
      <c r="J323" s="26">
        <f t="shared" si="51"/>
        <v>0</v>
      </c>
      <c r="K323" s="26">
        <f t="shared" si="52"/>
        <v>0</v>
      </c>
      <c r="L323" s="26">
        <f t="shared" si="53"/>
        <v>0</v>
      </c>
      <c r="M323" s="26">
        <f t="shared" si="54"/>
        <v>0</v>
      </c>
      <c r="N323" s="26">
        <f t="shared" si="55"/>
        <v>0</v>
      </c>
      <c r="O323" s="26">
        <f t="shared" si="56"/>
        <v>0</v>
      </c>
      <c r="P323" s="26">
        <f t="shared" si="57"/>
        <v>0</v>
      </c>
      <c r="Q323" s="26">
        <f t="shared" si="58"/>
        <v>0</v>
      </c>
      <c r="R323" s="34">
        <f t="shared" si="59"/>
        <v>0</v>
      </c>
    </row>
    <row r="324" spans="7:18" thickBot="1" x14ac:dyDescent="0.35">
      <c r="G324" s="26">
        <f t="shared" ref="G324:G387" si="60">ABS(F324-C324)</f>
        <v>0</v>
      </c>
      <c r="H324" s="26">
        <f t="shared" ref="H324:H387" si="61">ABS(D324-C324)</f>
        <v>0</v>
      </c>
      <c r="I324" s="26">
        <f t="shared" ref="I324:I387" si="62">IF(G324&gt;C324, C324+(0.1*G324), C324-(0.1*G324))</f>
        <v>0</v>
      </c>
      <c r="J324" s="26">
        <f t="shared" ref="J324:J387" si="63">IF(G324&gt;C324, C324+(0.2*G324), C324-(0.2*G324))</f>
        <v>0</v>
      </c>
      <c r="K324" s="26">
        <f t="shared" ref="K324:K387" si="64">IF(G324&gt;C324, C324+(0.3*G324), C324-(0.3*G324))</f>
        <v>0</v>
      </c>
      <c r="L324" s="26">
        <f t="shared" ref="L324:L387" si="65">IF(G324&gt;C324, C324+(0.4*G324), C324-(0.4*G324))</f>
        <v>0</v>
      </c>
      <c r="M324" s="26">
        <f t="shared" ref="M324:M387" si="66">IF(G324&gt;C324, C324+(0.5*G324), C324-(0.5*G324))</f>
        <v>0</v>
      </c>
      <c r="N324" s="26">
        <f t="shared" ref="N324:N387" si="67">IF(G324&gt;C324, C324+(0.6*G324), C324-(0.6*G324))</f>
        <v>0</v>
      </c>
      <c r="O324" s="26">
        <f t="shared" ref="O324:O387" si="68">IF(G324&gt;C324, C324+(0.7*G324), C324-(0.7*G324))</f>
        <v>0</v>
      </c>
      <c r="P324" s="26">
        <f t="shared" ref="P324:P387" si="69">IF(G324&gt;C324, C324+(0.8*G324), C324-(0.8*G324))</f>
        <v>0</v>
      </c>
      <c r="Q324" s="26">
        <f t="shared" ref="Q324:Q387" si="70">IF(G324&gt;C324, C324+(0.9*G324), C324-(0.9*G324))</f>
        <v>0</v>
      </c>
      <c r="R324" s="34">
        <f t="shared" ref="R324:R387" si="71">IF(G324&gt;C324, C324+(1*G324), C324-(1*G324))</f>
        <v>0</v>
      </c>
    </row>
    <row r="325" spans="7:18" thickBot="1" x14ac:dyDescent="0.35">
      <c r="G325" s="26">
        <f t="shared" si="60"/>
        <v>0</v>
      </c>
      <c r="H325" s="26">
        <f t="shared" si="61"/>
        <v>0</v>
      </c>
      <c r="I325" s="26">
        <f t="shared" si="62"/>
        <v>0</v>
      </c>
      <c r="J325" s="26">
        <f t="shared" si="63"/>
        <v>0</v>
      </c>
      <c r="K325" s="26">
        <f t="shared" si="64"/>
        <v>0</v>
      </c>
      <c r="L325" s="26">
        <f t="shared" si="65"/>
        <v>0</v>
      </c>
      <c r="M325" s="26">
        <f t="shared" si="66"/>
        <v>0</v>
      </c>
      <c r="N325" s="26">
        <f t="shared" si="67"/>
        <v>0</v>
      </c>
      <c r="O325" s="26">
        <f t="shared" si="68"/>
        <v>0</v>
      </c>
      <c r="P325" s="26">
        <f t="shared" si="69"/>
        <v>0</v>
      </c>
      <c r="Q325" s="26">
        <f t="shared" si="70"/>
        <v>0</v>
      </c>
      <c r="R325" s="34">
        <f t="shared" si="71"/>
        <v>0</v>
      </c>
    </row>
    <row r="326" spans="7:18" thickBot="1" x14ac:dyDescent="0.35">
      <c r="G326" s="26">
        <f t="shared" si="60"/>
        <v>0</v>
      </c>
      <c r="H326" s="26">
        <f t="shared" si="61"/>
        <v>0</v>
      </c>
      <c r="I326" s="26">
        <f t="shared" si="62"/>
        <v>0</v>
      </c>
      <c r="J326" s="26">
        <f t="shared" si="63"/>
        <v>0</v>
      </c>
      <c r="K326" s="26">
        <f t="shared" si="64"/>
        <v>0</v>
      </c>
      <c r="L326" s="26">
        <f t="shared" si="65"/>
        <v>0</v>
      </c>
      <c r="M326" s="26">
        <f t="shared" si="66"/>
        <v>0</v>
      </c>
      <c r="N326" s="26">
        <f t="shared" si="67"/>
        <v>0</v>
      </c>
      <c r="O326" s="26">
        <f t="shared" si="68"/>
        <v>0</v>
      </c>
      <c r="P326" s="26">
        <f t="shared" si="69"/>
        <v>0</v>
      </c>
      <c r="Q326" s="26">
        <f t="shared" si="70"/>
        <v>0</v>
      </c>
      <c r="R326" s="34">
        <f t="shared" si="71"/>
        <v>0</v>
      </c>
    </row>
    <row r="327" spans="7:18" thickBot="1" x14ac:dyDescent="0.35">
      <c r="G327" s="26">
        <f t="shared" si="60"/>
        <v>0</v>
      </c>
      <c r="H327" s="26">
        <f t="shared" si="61"/>
        <v>0</v>
      </c>
      <c r="I327" s="26">
        <f t="shared" si="62"/>
        <v>0</v>
      </c>
      <c r="J327" s="26">
        <f t="shared" si="63"/>
        <v>0</v>
      </c>
      <c r="K327" s="26">
        <f t="shared" si="64"/>
        <v>0</v>
      </c>
      <c r="L327" s="26">
        <f t="shared" si="65"/>
        <v>0</v>
      </c>
      <c r="M327" s="26">
        <f t="shared" si="66"/>
        <v>0</v>
      </c>
      <c r="N327" s="26">
        <f t="shared" si="67"/>
        <v>0</v>
      </c>
      <c r="O327" s="26">
        <f t="shared" si="68"/>
        <v>0</v>
      </c>
      <c r="P327" s="26">
        <f t="shared" si="69"/>
        <v>0</v>
      </c>
      <c r="Q327" s="26">
        <f t="shared" si="70"/>
        <v>0</v>
      </c>
      <c r="R327" s="34">
        <f t="shared" si="71"/>
        <v>0</v>
      </c>
    </row>
    <row r="328" spans="7:18" thickBot="1" x14ac:dyDescent="0.35">
      <c r="G328" s="26">
        <f t="shared" si="60"/>
        <v>0</v>
      </c>
      <c r="H328" s="26">
        <f t="shared" si="61"/>
        <v>0</v>
      </c>
      <c r="I328" s="26">
        <f t="shared" si="62"/>
        <v>0</v>
      </c>
      <c r="J328" s="26">
        <f t="shared" si="63"/>
        <v>0</v>
      </c>
      <c r="K328" s="26">
        <f t="shared" si="64"/>
        <v>0</v>
      </c>
      <c r="L328" s="26">
        <f t="shared" si="65"/>
        <v>0</v>
      </c>
      <c r="M328" s="26">
        <f t="shared" si="66"/>
        <v>0</v>
      </c>
      <c r="N328" s="26">
        <f t="shared" si="67"/>
        <v>0</v>
      </c>
      <c r="O328" s="26">
        <f t="shared" si="68"/>
        <v>0</v>
      </c>
      <c r="P328" s="26">
        <f t="shared" si="69"/>
        <v>0</v>
      </c>
      <c r="Q328" s="26">
        <f t="shared" si="70"/>
        <v>0</v>
      </c>
      <c r="R328" s="34">
        <f t="shared" si="71"/>
        <v>0</v>
      </c>
    </row>
    <row r="329" spans="7:18" thickBot="1" x14ac:dyDescent="0.35">
      <c r="G329" s="26">
        <f t="shared" si="60"/>
        <v>0</v>
      </c>
      <c r="H329" s="26">
        <f t="shared" si="61"/>
        <v>0</v>
      </c>
      <c r="I329" s="26">
        <f t="shared" si="62"/>
        <v>0</v>
      </c>
      <c r="J329" s="26">
        <f t="shared" si="63"/>
        <v>0</v>
      </c>
      <c r="K329" s="26">
        <f t="shared" si="64"/>
        <v>0</v>
      </c>
      <c r="L329" s="26">
        <f t="shared" si="65"/>
        <v>0</v>
      </c>
      <c r="M329" s="26">
        <f t="shared" si="66"/>
        <v>0</v>
      </c>
      <c r="N329" s="26">
        <f t="shared" si="67"/>
        <v>0</v>
      </c>
      <c r="O329" s="26">
        <f t="shared" si="68"/>
        <v>0</v>
      </c>
      <c r="P329" s="26">
        <f t="shared" si="69"/>
        <v>0</v>
      </c>
      <c r="Q329" s="26">
        <f t="shared" si="70"/>
        <v>0</v>
      </c>
      <c r="R329" s="34">
        <f t="shared" si="71"/>
        <v>0</v>
      </c>
    </row>
    <row r="330" spans="7:18" thickBot="1" x14ac:dyDescent="0.35">
      <c r="G330" s="26">
        <f t="shared" si="60"/>
        <v>0</v>
      </c>
      <c r="H330" s="26">
        <f t="shared" si="61"/>
        <v>0</v>
      </c>
      <c r="I330" s="26">
        <f t="shared" si="62"/>
        <v>0</v>
      </c>
      <c r="J330" s="26">
        <f t="shared" si="63"/>
        <v>0</v>
      </c>
      <c r="K330" s="26">
        <f t="shared" si="64"/>
        <v>0</v>
      </c>
      <c r="L330" s="26">
        <f t="shared" si="65"/>
        <v>0</v>
      </c>
      <c r="M330" s="26">
        <f t="shared" si="66"/>
        <v>0</v>
      </c>
      <c r="N330" s="26">
        <f t="shared" si="67"/>
        <v>0</v>
      </c>
      <c r="O330" s="26">
        <f t="shared" si="68"/>
        <v>0</v>
      </c>
      <c r="P330" s="26">
        <f t="shared" si="69"/>
        <v>0</v>
      </c>
      <c r="Q330" s="26">
        <f t="shared" si="70"/>
        <v>0</v>
      </c>
      <c r="R330" s="34">
        <f t="shared" si="71"/>
        <v>0</v>
      </c>
    </row>
    <row r="331" spans="7:18" thickBot="1" x14ac:dyDescent="0.35">
      <c r="G331" s="26">
        <f t="shared" si="60"/>
        <v>0</v>
      </c>
      <c r="H331" s="26">
        <f t="shared" si="61"/>
        <v>0</v>
      </c>
      <c r="I331" s="26">
        <f t="shared" si="62"/>
        <v>0</v>
      </c>
      <c r="J331" s="26">
        <f t="shared" si="63"/>
        <v>0</v>
      </c>
      <c r="K331" s="26">
        <f t="shared" si="64"/>
        <v>0</v>
      </c>
      <c r="L331" s="26">
        <f t="shared" si="65"/>
        <v>0</v>
      </c>
      <c r="M331" s="26">
        <f t="shared" si="66"/>
        <v>0</v>
      </c>
      <c r="N331" s="26">
        <f t="shared" si="67"/>
        <v>0</v>
      </c>
      <c r="O331" s="26">
        <f t="shared" si="68"/>
        <v>0</v>
      </c>
      <c r="P331" s="26">
        <f t="shared" si="69"/>
        <v>0</v>
      </c>
      <c r="Q331" s="26">
        <f t="shared" si="70"/>
        <v>0</v>
      </c>
      <c r="R331" s="34">
        <f t="shared" si="71"/>
        <v>0</v>
      </c>
    </row>
    <row r="332" spans="7:18" thickBot="1" x14ac:dyDescent="0.35">
      <c r="G332" s="26">
        <f t="shared" si="60"/>
        <v>0</v>
      </c>
      <c r="H332" s="26">
        <f t="shared" si="61"/>
        <v>0</v>
      </c>
      <c r="I332" s="26">
        <f t="shared" si="62"/>
        <v>0</v>
      </c>
      <c r="J332" s="26">
        <f t="shared" si="63"/>
        <v>0</v>
      </c>
      <c r="K332" s="26">
        <f t="shared" si="64"/>
        <v>0</v>
      </c>
      <c r="L332" s="26">
        <f t="shared" si="65"/>
        <v>0</v>
      </c>
      <c r="M332" s="26">
        <f t="shared" si="66"/>
        <v>0</v>
      </c>
      <c r="N332" s="26">
        <f t="shared" si="67"/>
        <v>0</v>
      </c>
      <c r="O332" s="26">
        <f t="shared" si="68"/>
        <v>0</v>
      </c>
      <c r="P332" s="26">
        <f t="shared" si="69"/>
        <v>0</v>
      </c>
      <c r="Q332" s="26">
        <f t="shared" si="70"/>
        <v>0</v>
      </c>
      <c r="R332" s="34">
        <f t="shared" si="71"/>
        <v>0</v>
      </c>
    </row>
    <row r="333" spans="7:18" thickBot="1" x14ac:dyDescent="0.35">
      <c r="G333" s="26">
        <f t="shared" si="60"/>
        <v>0</v>
      </c>
      <c r="H333" s="26">
        <f t="shared" si="61"/>
        <v>0</v>
      </c>
      <c r="I333" s="26">
        <f t="shared" si="62"/>
        <v>0</v>
      </c>
      <c r="J333" s="26">
        <f t="shared" si="63"/>
        <v>0</v>
      </c>
      <c r="K333" s="26">
        <f t="shared" si="64"/>
        <v>0</v>
      </c>
      <c r="L333" s="26">
        <f t="shared" si="65"/>
        <v>0</v>
      </c>
      <c r="M333" s="26">
        <f t="shared" si="66"/>
        <v>0</v>
      </c>
      <c r="N333" s="26">
        <f t="shared" si="67"/>
        <v>0</v>
      </c>
      <c r="O333" s="26">
        <f t="shared" si="68"/>
        <v>0</v>
      </c>
      <c r="P333" s="26">
        <f t="shared" si="69"/>
        <v>0</v>
      </c>
      <c r="Q333" s="26">
        <f t="shared" si="70"/>
        <v>0</v>
      </c>
      <c r="R333" s="34">
        <f t="shared" si="71"/>
        <v>0</v>
      </c>
    </row>
    <row r="334" spans="7:18" thickBot="1" x14ac:dyDescent="0.35">
      <c r="G334" s="26">
        <f t="shared" si="60"/>
        <v>0</v>
      </c>
      <c r="H334" s="26">
        <f t="shared" si="61"/>
        <v>0</v>
      </c>
      <c r="I334" s="26">
        <f t="shared" si="62"/>
        <v>0</v>
      </c>
      <c r="J334" s="26">
        <f t="shared" si="63"/>
        <v>0</v>
      </c>
      <c r="K334" s="26">
        <f t="shared" si="64"/>
        <v>0</v>
      </c>
      <c r="L334" s="26">
        <f t="shared" si="65"/>
        <v>0</v>
      </c>
      <c r="M334" s="26">
        <f t="shared" si="66"/>
        <v>0</v>
      </c>
      <c r="N334" s="26">
        <f t="shared" si="67"/>
        <v>0</v>
      </c>
      <c r="O334" s="26">
        <f t="shared" si="68"/>
        <v>0</v>
      </c>
      <c r="P334" s="26">
        <f t="shared" si="69"/>
        <v>0</v>
      </c>
      <c r="Q334" s="26">
        <f t="shared" si="70"/>
        <v>0</v>
      </c>
      <c r="R334" s="34">
        <f t="shared" si="71"/>
        <v>0</v>
      </c>
    </row>
    <row r="335" spans="7:18" thickBot="1" x14ac:dyDescent="0.35">
      <c r="G335" s="26">
        <f t="shared" si="60"/>
        <v>0</v>
      </c>
      <c r="H335" s="26">
        <f t="shared" si="61"/>
        <v>0</v>
      </c>
      <c r="I335" s="26">
        <f t="shared" si="62"/>
        <v>0</v>
      </c>
      <c r="J335" s="26">
        <f t="shared" si="63"/>
        <v>0</v>
      </c>
      <c r="K335" s="26">
        <f t="shared" si="64"/>
        <v>0</v>
      </c>
      <c r="L335" s="26">
        <f t="shared" si="65"/>
        <v>0</v>
      </c>
      <c r="M335" s="26">
        <f t="shared" si="66"/>
        <v>0</v>
      </c>
      <c r="N335" s="26">
        <f t="shared" si="67"/>
        <v>0</v>
      </c>
      <c r="O335" s="26">
        <f t="shared" si="68"/>
        <v>0</v>
      </c>
      <c r="P335" s="26">
        <f t="shared" si="69"/>
        <v>0</v>
      </c>
      <c r="Q335" s="26">
        <f t="shared" si="70"/>
        <v>0</v>
      </c>
      <c r="R335" s="34">
        <f t="shared" si="71"/>
        <v>0</v>
      </c>
    </row>
    <row r="336" spans="7:18" thickBot="1" x14ac:dyDescent="0.35">
      <c r="G336" s="26">
        <f t="shared" si="60"/>
        <v>0</v>
      </c>
      <c r="H336" s="26">
        <f t="shared" si="61"/>
        <v>0</v>
      </c>
      <c r="I336" s="26">
        <f t="shared" si="62"/>
        <v>0</v>
      </c>
      <c r="J336" s="26">
        <f t="shared" si="63"/>
        <v>0</v>
      </c>
      <c r="K336" s="26">
        <f t="shared" si="64"/>
        <v>0</v>
      </c>
      <c r="L336" s="26">
        <f t="shared" si="65"/>
        <v>0</v>
      </c>
      <c r="M336" s="26">
        <f t="shared" si="66"/>
        <v>0</v>
      </c>
      <c r="N336" s="26">
        <f t="shared" si="67"/>
        <v>0</v>
      </c>
      <c r="O336" s="26">
        <f t="shared" si="68"/>
        <v>0</v>
      </c>
      <c r="P336" s="26">
        <f t="shared" si="69"/>
        <v>0</v>
      </c>
      <c r="Q336" s="26">
        <f t="shared" si="70"/>
        <v>0</v>
      </c>
      <c r="R336" s="34">
        <f t="shared" si="71"/>
        <v>0</v>
      </c>
    </row>
    <row r="337" spans="7:18" thickBot="1" x14ac:dyDescent="0.35">
      <c r="G337" s="26">
        <f t="shared" si="60"/>
        <v>0</v>
      </c>
      <c r="H337" s="26">
        <f t="shared" si="61"/>
        <v>0</v>
      </c>
      <c r="I337" s="26">
        <f t="shared" si="62"/>
        <v>0</v>
      </c>
      <c r="J337" s="26">
        <f t="shared" si="63"/>
        <v>0</v>
      </c>
      <c r="K337" s="26">
        <f t="shared" si="64"/>
        <v>0</v>
      </c>
      <c r="L337" s="26">
        <f t="shared" si="65"/>
        <v>0</v>
      </c>
      <c r="M337" s="26">
        <f t="shared" si="66"/>
        <v>0</v>
      </c>
      <c r="N337" s="26">
        <f t="shared" si="67"/>
        <v>0</v>
      </c>
      <c r="O337" s="26">
        <f t="shared" si="68"/>
        <v>0</v>
      </c>
      <c r="P337" s="26">
        <f t="shared" si="69"/>
        <v>0</v>
      </c>
      <c r="Q337" s="26">
        <f t="shared" si="70"/>
        <v>0</v>
      </c>
      <c r="R337" s="34">
        <f t="shared" si="71"/>
        <v>0</v>
      </c>
    </row>
    <row r="338" spans="7:18" thickBot="1" x14ac:dyDescent="0.35">
      <c r="G338" s="26">
        <f t="shared" si="60"/>
        <v>0</v>
      </c>
      <c r="H338" s="26">
        <f t="shared" si="61"/>
        <v>0</v>
      </c>
      <c r="I338" s="26">
        <f t="shared" si="62"/>
        <v>0</v>
      </c>
      <c r="J338" s="26">
        <f t="shared" si="63"/>
        <v>0</v>
      </c>
      <c r="K338" s="26">
        <f t="shared" si="64"/>
        <v>0</v>
      </c>
      <c r="L338" s="26">
        <f t="shared" si="65"/>
        <v>0</v>
      </c>
      <c r="M338" s="26">
        <f t="shared" si="66"/>
        <v>0</v>
      </c>
      <c r="N338" s="26">
        <f t="shared" si="67"/>
        <v>0</v>
      </c>
      <c r="O338" s="26">
        <f t="shared" si="68"/>
        <v>0</v>
      </c>
      <c r="P338" s="26">
        <f t="shared" si="69"/>
        <v>0</v>
      </c>
      <c r="Q338" s="26">
        <f t="shared" si="70"/>
        <v>0</v>
      </c>
      <c r="R338" s="34">
        <f t="shared" si="71"/>
        <v>0</v>
      </c>
    </row>
    <row r="339" spans="7:18" thickBot="1" x14ac:dyDescent="0.35">
      <c r="G339" s="26">
        <f t="shared" si="60"/>
        <v>0</v>
      </c>
      <c r="H339" s="26">
        <f t="shared" si="61"/>
        <v>0</v>
      </c>
      <c r="I339" s="26">
        <f t="shared" si="62"/>
        <v>0</v>
      </c>
      <c r="J339" s="26">
        <f t="shared" si="63"/>
        <v>0</v>
      </c>
      <c r="K339" s="26">
        <f t="shared" si="64"/>
        <v>0</v>
      </c>
      <c r="L339" s="26">
        <f t="shared" si="65"/>
        <v>0</v>
      </c>
      <c r="M339" s="26">
        <f t="shared" si="66"/>
        <v>0</v>
      </c>
      <c r="N339" s="26">
        <f t="shared" si="67"/>
        <v>0</v>
      </c>
      <c r="O339" s="26">
        <f t="shared" si="68"/>
        <v>0</v>
      </c>
      <c r="P339" s="26">
        <f t="shared" si="69"/>
        <v>0</v>
      </c>
      <c r="Q339" s="26">
        <f t="shared" si="70"/>
        <v>0</v>
      </c>
      <c r="R339" s="34">
        <f t="shared" si="71"/>
        <v>0</v>
      </c>
    </row>
    <row r="340" spans="7:18" thickBot="1" x14ac:dyDescent="0.35">
      <c r="G340" s="26">
        <f t="shared" si="60"/>
        <v>0</v>
      </c>
      <c r="H340" s="26">
        <f t="shared" si="61"/>
        <v>0</v>
      </c>
      <c r="I340" s="26">
        <f t="shared" si="62"/>
        <v>0</v>
      </c>
      <c r="J340" s="26">
        <f t="shared" si="63"/>
        <v>0</v>
      </c>
      <c r="K340" s="26">
        <f t="shared" si="64"/>
        <v>0</v>
      </c>
      <c r="L340" s="26">
        <f t="shared" si="65"/>
        <v>0</v>
      </c>
      <c r="M340" s="26">
        <f t="shared" si="66"/>
        <v>0</v>
      </c>
      <c r="N340" s="26">
        <f t="shared" si="67"/>
        <v>0</v>
      </c>
      <c r="O340" s="26">
        <f t="shared" si="68"/>
        <v>0</v>
      </c>
      <c r="P340" s="26">
        <f t="shared" si="69"/>
        <v>0</v>
      </c>
      <c r="Q340" s="26">
        <f t="shared" si="70"/>
        <v>0</v>
      </c>
      <c r="R340" s="34">
        <f t="shared" si="71"/>
        <v>0</v>
      </c>
    </row>
    <row r="341" spans="7:18" thickBot="1" x14ac:dyDescent="0.35">
      <c r="G341" s="26">
        <f t="shared" si="60"/>
        <v>0</v>
      </c>
      <c r="H341" s="26">
        <f t="shared" si="61"/>
        <v>0</v>
      </c>
      <c r="I341" s="26">
        <f t="shared" si="62"/>
        <v>0</v>
      </c>
      <c r="J341" s="26">
        <f t="shared" si="63"/>
        <v>0</v>
      </c>
      <c r="K341" s="26">
        <f t="shared" si="64"/>
        <v>0</v>
      </c>
      <c r="L341" s="26">
        <f t="shared" si="65"/>
        <v>0</v>
      </c>
      <c r="M341" s="26">
        <f t="shared" si="66"/>
        <v>0</v>
      </c>
      <c r="N341" s="26">
        <f t="shared" si="67"/>
        <v>0</v>
      </c>
      <c r="O341" s="26">
        <f t="shared" si="68"/>
        <v>0</v>
      </c>
      <c r="P341" s="26">
        <f t="shared" si="69"/>
        <v>0</v>
      </c>
      <c r="Q341" s="26">
        <f t="shared" si="70"/>
        <v>0</v>
      </c>
      <c r="R341" s="34">
        <f t="shared" si="71"/>
        <v>0</v>
      </c>
    </row>
    <row r="342" spans="7:18" thickBot="1" x14ac:dyDescent="0.35">
      <c r="G342" s="26">
        <f t="shared" si="60"/>
        <v>0</v>
      </c>
      <c r="H342" s="26">
        <f t="shared" si="61"/>
        <v>0</v>
      </c>
      <c r="I342" s="26">
        <f t="shared" si="62"/>
        <v>0</v>
      </c>
      <c r="J342" s="26">
        <f t="shared" si="63"/>
        <v>0</v>
      </c>
      <c r="K342" s="26">
        <f t="shared" si="64"/>
        <v>0</v>
      </c>
      <c r="L342" s="26">
        <f t="shared" si="65"/>
        <v>0</v>
      </c>
      <c r="M342" s="26">
        <f t="shared" si="66"/>
        <v>0</v>
      </c>
      <c r="N342" s="26">
        <f t="shared" si="67"/>
        <v>0</v>
      </c>
      <c r="O342" s="26">
        <f t="shared" si="68"/>
        <v>0</v>
      </c>
      <c r="P342" s="26">
        <f t="shared" si="69"/>
        <v>0</v>
      </c>
      <c r="Q342" s="26">
        <f t="shared" si="70"/>
        <v>0</v>
      </c>
      <c r="R342" s="34">
        <f t="shared" si="71"/>
        <v>0</v>
      </c>
    </row>
    <row r="343" spans="7:18" thickBot="1" x14ac:dyDescent="0.35">
      <c r="G343" s="26">
        <f t="shared" si="60"/>
        <v>0</v>
      </c>
      <c r="H343" s="26">
        <f t="shared" si="61"/>
        <v>0</v>
      </c>
      <c r="I343" s="26">
        <f t="shared" si="62"/>
        <v>0</v>
      </c>
      <c r="J343" s="26">
        <f t="shared" si="63"/>
        <v>0</v>
      </c>
      <c r="K343" s="26">
        <f t="shared" si="64"/>
        <v>0</v>
      </c>
      <c r="L343" s="26">
        <f t="shared" si="65"/>
        <v>0</v>
      </c>
      <c r="M343" s="26">
        <f t="shared" si="66"/>
        <v>0</v>
      </c>
      <c r="N343" s="26">
        <f t="shared" si="67"/>
        <v>0</v>
      </c>
      <c r="O343" s="26">
        <f t="shared" si="68"/>
        <v>0</v>
      </c>
      <c r="P343" s="26">
        <f t="shared" si="69"/>
        <v>0</v>
      </c>
      <c r="Q343" s="26">
        <f t="shared" si="70"/>
        <v>0</v>
      </c>
      <c r="R343" s="34">
        <f t="shared" si="71"/>
        <v>0</v>
      </c>
    </row>
    <row r="344" spans="7:18" thickBot="1" x14ac:dyDescent="0.35">
      <c r="G344" s="26">
        <f t="shared" si="60"/>
        <v>0</v>
      </c>
      <c r="H344" s="26">
        <f t="shared" si="61"/>
        <v>0</v>
      </c>
      <c r="I344" s="26">
        <f t="shared" si="62"/>
        <v>0</v>
      </c>
      <c r="J344" s="26">
        <f t="shared" si="63"/>
        <v>0</v>
      </c>
      <c r="K344" s="26">
        <f t="shared" si="64"/>
        <v>0</v>
      </c>
      <c r="L344" s="26">
        <f t="shared" si="65"/>
        <v>0</v>
      </c>
      <c r="M344" s="26">
        <f t="shared" si="66"/>
        <v>0</v>
      </c>
      <c r="N344" s="26">
        <f t="shared" si="67"/>
        <v>0</v>
      </c>
      <c r="O344" s="26">
        <f t="shared" si="68"/>
        <v>0</v>
      </c>
      <c r="P344" s="26">
        <f t="shared" si="69"/>
        <v>0</v>
      </c>
      <c r="Q344" s="26">
        <f t="shared" si="70"/>
        <v>0</v>
      </c>
      <c r="R344" s="34">
        <f t="shared" si="71"/>
        <v>0</v>
      </c>
    </row>
    <row r="345" spans="7:18" thickBot="1" x14ac:dyDescent="0.35">
      <c r="G345" s="26">
        <f t="shared" si="60"/>
        <v>0</v>
      </c>
      <c r="H345" s="26">
        <f t="shared" si="61"/>
        <v>0</v>
      </c>
      <c r="I345" s="26">
        <f t="shared" si="62"/>
        <v>0</v>
      </c>
      <c r="J345" s="26">
        <f t="shared" si="63"/>
        <v>0</v>
      </c>
      <c r="K345" s="26">
        <f t="shared" si="64"/>
        <v>0</v>
      </c>
      <c r="L345" s="26">
        <f t="shared" si="65"/>
        <v>0</v>
      </c>
      <c r="M345" s="26">
        <f t="shared" si="66"/>
        <v>0</v>
      </c>
      <c r="N345" s="26">
        <f t="shared" si="67"/>
        <v>0</v>
      </c>
      <c r="O345" s="26">
        <f t="shared" si="68"/>
        <v>0</v>
      </c>
      <c r="P345" s="26">
        <f t="shared" si="69"/>
        <v>0</v>
      </c>
      <c r="Q345" s="26">
        <f t="shared" si="70"/>
        <v>0</v>
      </c>
      <c r="R345" s="34">
        <f t="shared" si="71"/>
        <v>0</v>
      </c>
    </row>
    <row r="346" spans="7:18" thickBot="1" x14ac:dyDescent="0.35">
      <c r="G346" s="26">
        <f t="shared" si="60"/>
        <v>0</v>
      </c>
      <c r="H346" s="26">
        <f t="shared" si="61"/>
        <v>0</v>
      </c>
      <c r="I346" s="26">
        <f t="shared" si="62"/>
        <v>0</v>
      </c>
      <c r="J346" s="26">
        <f t="shared" si="63"/>
        <v>0</v>
      </c>
      <c r="K346" s="26">
        <f t="shared" si="64"/>
        <v>0</v>
      </c>
      <c r="L346" s="26">
        <f t="shared" si="65"/>
        <v>0</v>
      </c>
      <c r="M346" s="26">
        <f t="shared" si="66"/>
        <v>0</v>
      </c>
      <c r="N346" s="26">
        <f t="shared" si="67"/>
        <v>0</v>
      </c>
      <c r="O346" s="26">
        <f t="shared" si="68"/>
        <v>0</v>
      </c>
      <c r="P346" s="26">
        <f t="shared" si="69"/>
        <v>0</v>
      </c>
      <c r="Q346" s="26">
        <f t="shared" si="70"/>
        <v>0</v>
      </c>
      <c r="R346" s="34">
        <f t="shared" si="71"/>
        <v>0</v>
      </c>
    </row>
    <row r="347" spans="7:18" thickBot="1" x14ac:dyDescent="0.35">
      <c r="G347" s="26">
        <f t="shared" si="60"/>
        <v>0</v>
      </c>
      <c r="H347" s="26">
        <f t="shared" si="61"/>
        <v>0</v>
      </c>
      <c r="I347" s="26">
        <f t="shared" si="62"/>
        <v>0</v>
      </c>
      <c r="J347" s="26">
        <f t="shared" si="63"/>
        <v>0</v>
      </c>
      <c r="K347" s="26">
        <f t="shared" si="64"/>
        <v>0</v>
      </c>
      <c r="L347" s="26">
        <f t="shared" si="65"/>
        <v>0</v>
      </c>
      <c r="M347" s="26">
        <f t="shared" si="66"/>
        <v>0</v>
      </c>
      <c r="N347" s="26">
        <f t="shared" si="67"/>
        <v>0</v>
      </c>
      <c r="O347" s="26">
        <f t="shared" si="68"/>
        <v>0</v>
      </c>
      <c r="P347" s="26">
        <f t="shared" si="69"/>
        <v>0</v>
      </c>
      <c r="Q347" s="26">
        <f t="shared" si="70"/>
        <v>0</v>
      </c>
      <c r="R347" s="34">
        <f t="shared" si="71"/>
        <v>0</v>
      </c>
    </row>
    <row r="348" spans="7:18" thickBot="1" x14ac:dyDescent="0.35">
      <c r="G348" s="26">
        <f t="shared" si="60"/>
        <v>0</v>
      </c>
      <c r="H348" s="26">
        <f t="shared" si="61"/>
        <v>0</v>
      </c>
      <c r="I348" s="26">
        <f t="shared" si="62"/>
        <v>0</v>
      </c>
      <c r="J348" s="26">
        <f t="shared" si="63"/>
        <v>0</v>
      </c>
      <c r="K348" s="26">
        <f t="shared" si="64"/>
        <v>0</v>
      </c>
      <c r="L348" s="26">
        <f t="shared" si="65"/>
        <v>0</v>
      </c>
      <c r="M348" s="26">
        <f t="shared" si="66"/>
        <v>0</v>
      </c>
      <c r="N348" s="26">
        <f t="shared" si="67"/>
        <v>0</v>
      </c>
      <c r="O348" s="26">
        <f t="shared" si="68"/>
        <v>0</v>
      </c>
      <c r="P348" s="26">
        <f t="shared" si="69"/>
        <v>0</v>
      </c>
      <c r="Q348" s="26">
        <f t="shared" si="70"/>
        <v>0</v>
      </c>
      <c r="R348" s="34">
        <f t="shared" si="71"/>
        <v>0</v>
      </c>
    </row>
    <row r="349" spans="7:18" thickBot="1" x14ac:dyDescent="0.35">
      <c r="G349" s="26">
        <f t="shared" si="60"/>
        <v>0</v>
      </c>
      <c r="H349" s="26">
        <f t="shared" si="61"/>
        <v>0</v>
      </c>
      <c r="I349" s="26">
        <f t="shared" si="62"/>
        <v>0</v>
      </c>
      <c r="J349" s="26">
        <f t="shared" si="63"/>
        <v>0</v>
      </c>
      <c r="K349" s="26">
        <f t="shared" si="64"/>
        <v>0</v>
      </c>
      <c r="L349" s="26">
        <f t="shared" si="65"/>
        <v>0</v>
      </c>
      <c r="M349" s="26">
        <f t="shared" si="66"/>
        <v>0</v>
      </c>
      <c r="N349" s="26">
        <f t="shared" si="67"/>
        <v>0</v>
      </c>
      <c r="O349" s="26">
        <f t="shared" si="68"/>
        <v>0</v>
      </c>
      <c r="P349" s="26">
        <f t="shared" si="69"/>
        <v>0</v>
      </c>
      <c r="Q349" s="26">
        <f t="shared" si="70"/>
        <v>0</v>
      </c>
      <c r="R349" s="34">
        <f t="shared" si="71"/>
        <v>0</v>
      </c>
    </row>
    <row r="350" spans="7:18" thickBot="1" x14ac:dyDescent="0.35">
      <c r="G350" s="26">
        <f t="shared" si="60"/>
        <v>0</v>
      </c>
      <c r="H350" s="26">
        <f t="shared" si="61"/>
        <v>0</v>
      </c>
      <c r="I350" s="26">
        <f t="shared" si="62"/>
        <v>0</v>
      </c>
      <c r="J350" s="26">
        <f t="shared" si="63"/>
        <v>0</v>
      </c>
      <c r="K350" s="26">
        <f t="shared" si="64"/>
        <v>0</v>
      </c>
      <c r="L350" s="26">
        <f t="shared" si="65"/>
        <v>0</v>
      </c>
      <c r="M350" s="26">
        <f t="shared" si="66"/>
        <v>0</v>
      </c>
      <c r="N350" s="26">
        <f t="shared" si="67"/>
        <v>0</v>
      </c>
      <c r="O350" s="26">
        <f t="shared" si="68"/>
        <v>0</v>
      </c>
      <c r="P350" s="26">
        <f t="shared" si="69"/>
        <v>0</v>
      </c>
      <c r="Q350" s="26">
        <f t="shared" si="70"/>
        <v>0</v>
      </c>
      <c r="R350" s="34">
        <f t="shared" si="71"/>
        <v>0</v>
      </c>
    </row>
    <row r="351" spans="7:18" thickBot="1" x14ac:dyDescent="0.35">
      <c r="G351" s="26">
        <f t="shared" si="60"/>
        <v>0</v>
      </c>
      <c r="H351" s="26">
        <f t="shared" si="61"/>
        <v>0</v>
      </c>
      <c r="I351" s="26">
        <f t="shared" si="62"/>
        <v>0</v>
      </c>
      <c r="J351" s="26">
        <f t="shared" si="63"/>
        <v>0</v>
      </c>
      <c r="K351" s="26">
        <f t="shared" si="64"/>
        <v>0</v>
      </c>
      <c r="L351" s="26">
        <f t="shared" si="65"/>
        <v>0</v>
      </c>
      <c r="M351" s="26">
        <f t="shared" si="66"/>
        <v>0</v>
      </c>
      <c r="N351" s="26">
        <f t="shared" si="67"/>
        <v>0</v>
      </c>
      <c r="O351" s="26">
        <f t="shared" si="68"/>
        <v>0</v>
      </c>
      <c r="P351" s="26">
        <f t="shared" si="69"/>
        <v>0</v>
      </c>
      <c r="Q351" s="26">
        <f t="shared" si="70"/>
        <v>0</v>
      </c>
      <c r="R351" s="34">
        <f t="shared" si="71"/>
        <v>0</v>
      </c>
    </row>
    <row r="352" spans="7:18" thickBot="1" x14ac:dyDescent="0.35">
      <c r="G352" s="26">
        <f t="shared" si="60"/>
        <v>0</v>
      </c>
      <c r="H352" s="26">
        <f t="shared" si="61"/>
        <v>0</v>
      </c>
      <c r="I352" s="26">
        <f t="shared" si="62"/>
        <v>0</v>
      </c>
      <c r="J352" s="26">
        <f t="shared" si="63"/>
        <v>0</v>
      </c>
      <c r="K352" s="26">
        <f t="shared" si="64"/>
        <v>0</v>
      </c>
      <c r="L352" s="26">
        <f t="shared" si="65"/>
        <v>0</v>
      </c>
      <c r="M352" s="26">
        <f t="shared" si="66"/>
        <v>0</v>
      </c>
      <c r="N352" s="26">
        <f t="shared" si="67"/>
        <v>0</v>
      </c>
      <c r="O352" s="26">
        <f t="shared" si="68"/>
        <v>0</v>
      </c>
      <c r="P352" s="26">
        <f t="shared" si="69"/>
        <v>0</v>
      </c>
      <c r="Q352" s="26">
        <f t="shared" si="70"/>
        <v>0</v>
      </c>
      <c r="R352" s="34">
        <f t="shared" si="71"/>
        <v>0</v>
      </c>
    </row>
    <row r="353" spans="7:18" thickBot="1" x14ac:dyDescent="0.35">
      <c r="G353" s="26">
        <f t="shared" si="60"/>
        <v>0</v>
      </c>
      <c r="H353" s="26">
        <f t="shared" si="61"/>
        <v>0</v>
      </c>
      <c r="I353" s="26">
        <f t="shared" si="62"/>
        <v>0</v>
      </c>
      <c r="J353" s="26">
        <f t="shared" si="63"/>
        <v>0</v>
      </c>
      <c r="K353" s="26">
        <f t="shared" si="64"/>
        <v>0</v>
      </c>
      <c r="L353" s="26">
        <f t="shared" si="65"/>
        <v>0</v>
      </c>
      <c r="M353" s="26">
        <f t="shared" si="66"/>
        <v>0</v>
      </c>
      <c r="N353" s="26">
        <f t="shared" si="67"/>
        <v>0</v>
      </c>
      <c r="O353" s="26">
        <f t="shared" si="68"/>
        <v>0</v>
      </c>
      <c r="P353" s="26">
        <f t="shared" si="69"/>
        <v>0</v>
      </c>
      <c r="Q353" s="26">
        <f t="shared" si="70"/>
        <v>0</v>
      </c>
      <c r="R353" s="34">
        <f t="shared" si="71"/>
        <v>0</v>
      </c>
    </row>
    <row r="354" spans="7:18" thickBot="1" x14ac:dyDescent="0.35">
      <c r="G354" s="26">
        <f t="shared" si="60"/>
        <v>0</v>
      </c>
      <c r="H354" s="26">
        <f t="shared" si="61"/>
        <v>0</v>
      </c>
      <c r="I354" s="26">
        <f t="shared" si="62"/>
        <v>0</v>
      </c>
      <c r="J354" s="26">
        <f t="shared" si="63"/>
        <v>0</v>
      </c>
      <c r="K354" s="26">
        <f t="shared" si="64"/>
        <v>0</v>
      </c>
      <c r="L354" s="26">
        <f t="shared" si="65"/>
        <v>0</v>
      </c>
      <c r="M354" s="26">
        <f t="shared" si="66"/>
        <v>0</v>
      </c>
      <c r="N354" s="26">
        <f t="shared" si="67"/>
        <v>0</v>
      </c>
      <c r="O354" s="26">
        <f t="shared" si="68"/>
        <v>0</v>
      </c>
      <c r="P354" s="26">
        <f t="shared" si="69"/>
        <v>0</v>
      </c>
      <c r="Q354" s="26">
        <f t="shared" si="70"/>
        <v>0</v>
      </c>
      <c r="R354" s="34">
        <f t="shared" si="71"/>
        <v>0</v>
      </c>
    </row>
    <row r="355" spans="7:18" thickBot="1" x14ac:dyDescent="0.35">
      <c r="G355" s="26">
        <f t="shared" si="60"/>
        <v>0</v>
      </c>
      <c r="H355" s="26">
        <f t="shared" si="61"/>
        <v>0</v>
      </c>
      <c r="I355" s="26">
        <f t="shared" si="62"/>
        <v>0</v>
      </c>
      <c r="J355" s="26">
        <f t="shared" si="63"/>
        <v>0</v>
      </c>
      <c r="K355" s="26">
        <f t="shared" si="64"/>
        <v>0</v>
      </c>
      <c r="L355" s="26">
        <f t="shared" si="65"/>
        <v>0</v>
      </c>
      <c r="M355" s="26">
        <f t="shared" si="66"/>
        <v>0</v>
      </c>
      <c r="N355" s="26">
        <f t="shared" si="67"/>
        <v>0</v>
      </c>
      <c r="O355" s="26">
        <f t="shared" si="68"/>
        <v>0</v>
      </c>
      <c r="P355" s="26">
        <f t="shared" si="69"/>
        <v>0</v>
      </c>
      <c r="Q355" s="26">
        <f t="shared" si="70"/>
        <v>0</v>
      </c>
      <c r="R355" s="34">
        <f t="shared" si="71"/>
        <v>0</v>
      </c>
    </row>
    <row r="356" spans="7:18" thickBot="1" x14ac:dyDescent="0.35">
      <c r="G356" s="26">
        <f t="shared" si="60"/>
        <v>0</v>
      </c>
      <c r="H356" s="26">
        <f t="shared" si="61"/>
        <v>0</v>
      </c>
      <c r="I356" s="26">
        <f t="shared" si="62"/>
        <v>0</v>
      </c>
      <c r="J356" s="26">
        <f t="shared" si="63"/>
        <v>0</v>
      </c>
      <c r="K356" s="26">
        <f t="shared" si="64"/>
        <v>0</v>
      </c>
      <c r="L356" s="26">
        <f t="shared" si="65"/>
        <v>0</v>
      </c>
      <c r="M356" s="26">
        <f t="shared" si="66"/>
        <v>0</v>
      </c>
      <c r="N356" s="26">
        <f t="shared" si="67"/>
        <v>0</v>
      </c>
      <c r="O356" s="26">
        <f t="shared" si="68"/>
        <v>0</v>
      </c>
      <c r="P356" s="26">
        <f t="shared" si="69"/>
        <v>0</v>
      </c>
      <c r="Q356" s="26">
        <f t="shared" si="70"/>
        <v>0</v>
      </c>
      <c r="R356" s="34">
        <f t="shared" si="71"/>
        <v>0</v>
      </c>
    </row>
    <row r="357" spans="7:18" thickBot="1" x14ac:dyDescent="0.35">
      <c r="G357" s="26">
        <f t="shared" si="60"/>
        <v>0</v>
      </c>
      <c r="H357" s="26">
        <f t="shared" si="61"/>
        <v>0</v>
      </c>
      <c r="I357" s="26">
        <f t="shared" si="62"/>
        <v>0</v>
      </c>
      <c r="J357" s="26">
        <f t="shared" si="63"/>
        <v>0</v>
      </c>
      <c r="K357" s="26">
        <f t="shared" si="64"/>
        <v>0</v>
      </c>
      <c r="L357" s="26">
        <f t="shared" si="65"/>
        <v>0</v>
      </c>
      <c r="M357" s="26">
        <f t="shared" si="66"/>
        <v>0</v>
      </c>
      <c r="N357" s="26">
        <f t="shared" si="67"/>
        <v>0</v>
      </c>
      <c r="O357" s="26">
        <f t="shared" si="68"/>
        <v>0</v>
      </c>
      <c r="P357" s="26">
        <f t="shared" si="69"/>
        <v>0</v>
      </c>
      <c r="Q357" s="26">
        <f t="shared" si="70"/>
        <v>0</v>
      </c>
      <c r="R357" s="34">
        <f t="shared" si="71"/>
        <v>0</v>
      </c>
    </row>
    <row r="358" spans="7:18" thickBot="1" x14ac:dyDescent="0.35">
      <c r="G358" s="26">
        <f t="shared" si="60"/>
        <v>0</v>
      </c>
      <c r="H358" s="26">
        <f t="shared" si="61"/>
        <v>0</v>
      </c>
      <c r="I358" s="26">
        <f t="shared" si="62"/>
        <v>0</v>
      </c>
      <c r="J358" s="26">
        <f t="shared" si="63"/>
        <v>0</v>
      </c>
      <c r="K358" s="26">
        <f t="shared" si="64"/>
        <v>0</v>
      </c>
      <c r="L358" s="26">
        <f t="shared" si="65"/>
        <v>0</v>
      </c>
      <c r="M358" s="26">
        <f t="shared" si="66"/>
        <v>0</v>
      </c>
      <c r="N358" s="26">
        <f t="shared" si="67"/>
        <v>0</v>
      </c>
      <c r="O358" s="26">
        <f t="shared" si="68"/>
        <v>0</v>
      </c>
      <c r="P358" s="26">
        <f t="shared" si="69"/>
        <v>0</v>
      </c>
      <c r="Q358" s="26">
        <f t="shared" si="70"/>
        <v>0</v>
      </c>
      <c r="R358" s="34">
        <f t="shared" si="71"/>
        <v>0</v>
      </c>
    </row>
    <row r="359" spans="7:18" thickBot="1" x14ac:dyDescent="0.35">
      <c r="G359" s="26">
        <f t="shared" si="60"/>
        <v>0</v>
      </c>
      <c r="H359" s="26">
        <f t="shared" si="61"/>
        <v>0</v>
      </c>
      <c r="I359" s="26">
        <f t="shared" si="62"/>
        <v>0</v>
      </c>
      <c r="J359" s="26">
        <f t="shared" si="63"/>
        <v>0</v>
      </c>
      <c r="K359" s="26">
        <f t="shared" si="64"/>
        <v>0</v>
      </c>
      <c r="L359" s="26">
        <f t="shared" si="65"/>
        <v>0</v>
      </c>
      <c r="M359" s="26">
        <f t="shared" si="66"/>
        <v>0</v>
      </c>
      <c r="N359" s="26">
        <f t="shared" si="67"/>
        <v>0</v>
      </c>
      <c r="O359" s="26">
        <f t="shared" si="68"/>
        <v>0</v>
      </c>
      <c r="P359" s="26">
        <f t="shared" si="69"/>
        <v>0</v>
      </c>
      <c r="Q359" s="26">
        <f t="shared" si="70"/>
        <v>0</v>
      </c>
      <c r="R359" s="34">
        <f t="shared" si="71"/>
        <v>0</v>
      </c>
    </row>
    <row r="360" spans="7:18" thickBot="1" x14ac:dyDescent="0.35">
      <c r="G360" s="26">
        <f t="shared" si="60"/>
        <v>0</v>
      </c>
      <c r="H360" s="26">
        <f t="shared" si="61"/>
        <v>0</v>
      </c>
      <c r="I360" s="26">
        <f t="shared" si="62"/>
        <v>0</v>
      </c>
      <c r="J360" s="26">
        <f t="shared" si="63"/>
        <v>0</v>
      </c>
      <c r="K360" s="26">
        <f t="shared" si="64"/>
        <v>0</v>
      </c>
      <c r="L360" s="26">
        <f t="shared" si="65"/>
        <v>0</v>
      </c>
      <c r="M360" s="26">
        <f t="shared" si="66"/>
        <v>0</v>
      </c>
      <c r="N360" s="26">
        <f t="shared" si="67"/>
        <v>0</v>
      </c>
      <c r="O360" s="26">
        <f t="shared" si="68"/>
        <v>0</v>
      </c>
      <c r="P360" s="26">
        <f t="shared" si="69"/>
        <v>0</v>
      </c>
      <c r="Q360" s="26">
        <f t="shared" si="70"/>
        <v>0</v>
      </c>
      <c r="R360" s="34">
        <f t="shared" si="71"/>
        <v>0</v>
      </c>
    </row>
    <row r="361" spans="7:18" thickBot="1" x14ac:dyDescent="0.35">
      <c r="G361" s="26">
        <f t="shared" si="60"/>
        <v>0</v>
      </c>
      <c r="H361" s="26">
        <f t="shared" si="61"/>
        <v>0</v>
      </c>
      <c r="I361" s="26">
        <f t="shared" si="62"/>
        <v>0</v>
      </c>
      <c r="J361" s="26">
        <f t="shared" si="63"/>
        <v>0</v>
      </c>
      <c r="K361" s="26">
        <f t="shared" si="64"/>
        <v>0</v>
      </c>
      <c r="L361" s="26">
        <f t="shared" si="65"/>
        <v>0</v>
      </c>
      <c r="M361" s="26">
        <f t="shared" si="66"/>
        <v>0</v>
      </c>
      <c r="N361" s="26">
        <f t="shared" si="67"/>
        <v>0</v>
      </c>
      <c r="O361" s="26">
        <f t="shared" si="68"/>
        <v>0</v>
      </c>
      <c r="P361" s="26">
        <f t="shared" si="69"/>
        <v>0</v>
      </c>
      <c r="Q361" s="26">
        <f t="shared" si="70"/>
        <v>0</v>
      </c>
      <c r="R361" s="34">
        <f t="shared" si="71"/>
        <v>0</v>
      </c>
    </row>
    <row r="362" spans="7:18" thickBot="1" x14ac:dyDescent="0.35">
      <c r="G362" s="26">
        <f t="shared" si="60"/>
        <v>0</v>
      </c>
      <c r="H362" s="26">
        <f t="shared" si="61"/>
        <v>0</v>
      </c>
      <c r="I362" s="26">
        <f t="shared" si="62"/>
        <v>0</v>
      </c>
      <c r="J362" s="26">
        <f t="shared" si="63"/>
        <v>0</v>
      </c>
      <c r="K362" s="26">
        <f t="shared" si="64"/>
        <v>0</v>
      </c>
      <c r="L362" s="26">
        <f t="shared" si="65"/>
        <v>0</v>
      </c>
      <c r="M362" s="26">
        <f t="shared" si="66"/>
        <v>0</v>
      </c>
      <c r="N362" s="26">
        <f t="shared" si="67"/>
        <v>0</v>
      </c>
      <c r="O362" s="26">
        <f t="shared" si="68"/>
        <v>0</v>
      </c>
      <c r="P362" s="26">
        <f t="shared" si="69"/>
        <v>0</v>
      </c>
      <c r="Q362" s="26">
        <f t="shared" si="70"/>
        <v>0</v>
      </c>
      <c r="R362" s="34">
        <f t="shared" si="71"/>
        <v>0</v>
      </c>
    </row>
    <row r="363" spans="7:18" thickBot="1" x14ac:dyDescent="0.35">
      <c r="G363" s="26">
        <f t="shared" si="60"/>
        <v>0</v>
      </c>
      <c r="H363" s="26">
        <f t="shared" si="61"/>
        <v>0</v>
      </c>
      <c r="I363" s="26">
        <f t="shared" si="62"/>
        <v>0</v>
      </c>
      <c r="J363" s="26">
        <f t="shared" si="63"/>
        <v>0</v>
      </c>
      <c r="K363" s="26">
        <f t="shared" si="64"/>
        <v>0</v>
      </c>
      <c r="L363" s="26">
        <f t="shared" si="65"/>
        <v>0</v>
      </c>
      <c r="M363" s="26">
        <f t="shared" si="66"/>
        <v>0</v>
      </c>
      <c r="N363" s="26">
        <f t="shared" si="67"/>
        <v>0</v>
      </c>
      <c r="O363" s="26">
        <f t="shared" si="68"/>
        <v>0</v>
      </c>
      <c r="P363" s="26">
        <f t="shared" si="69"/>
        <v>0</v>
      </c>
      <c r="Q363" s="26">
        <f t="shared" si="70"/>
        <v>0</v>
      </c>
      <c r="R363" s="34">
        <f t="shared" si="71"/>
        <v>0</v>
      </c>
    </row>
    <row r="364" spans="7:18" thickBot="1" x14ac:dyDescent="0.35">
      <c r="G364" s="26">
        <f t="shared" si="60"/>
        <v>0</v>
      </c>
      <c r="H364" s="26">
        <f t="shared" si="61"/>
        <v>0</v>
      </c>
      <c r="I364" s="26">
        <f t="shared" si="62"/>
        <v>0</v>
      </c>
      <c r="J364" s="26">
        <f t="shared" si="63"/>
        <v>0</v>
      </c>
      <c r="K364" s="26">
        <f t="shared" si="64"/>
        <v>0</v>
      </c>
      <c r="L364" s="26">
        <f t="shared" si="65"/>
        <v>0</v>
      </c>
      <c r="M364" s="26">
        <f t="shared" si="66"/>
        <v>0</v>
      </c>
      <c r="N364" s="26">
        <f t="shared" si="67"/>
        <v>0</v>
      </c>
      <c r="O364" s="26">
        <f t="shared" si="68"/>
        <v>0</v>
      </c>
      <c r="P364" s="26">
        <f t="shared" si="69"/>
        <v>0</v>
      </c>
      <c r="Q364" s="26">
        <f t="shared" si="70"/>
        <v>0</v>
      </c>
      <c r="R364" s="34">
        <f t="shared" si="71"/>
        <v>0</v>
      </c>
    </row>
    <row r="365" spans="7:18" thickBot="1" x14ac:dyDescent="0.35">
      <c r="G365" s="26">
        <f t="shared" si="60"/>
        <v>0</v>
      </c>
      <c r="H365" s="26">
        <f t="shared" si="61"/>
        <v>0</v>
      </c>
      <c r="I365" s="26">
        <f t="shared" si="62"/>
        <v>0</v>
      </c>
      <c r="J365" s="26">
        <f t="shared" si="63"/>
        <v>0</v>
      </c>
      <c r="K365" s="26">
        <f t="shared" si="64"/>
        <v>0</v>
      </c>
      <c r="L365" s="26">
        <f t="shared" si="65"/>
        <v>0</v>
      </c>
      <c r="M365" s="26">
        <f t="shared" si="66"/>
        <v>0</v>
      </c>
      <c r="N365" s="26">
        <f t="shared" si="67"/>
        <v>0</v>
      </c>
      <c r="O365" s="26">
        <f t="shared" si="68"/>
        <v>0</v>
      </c>
      <c r="P365" s="26">
        <f t="shared" si="69"/>
        <v>0</v>
      </c>
      <c r="Q365" s="26">
        <f t="shared" si="70"/>
        <v>0</v>
      </c>
      <c r="R365" s="34">
        <f t="shared" si="71"/>
        <v>0</v>
      </c>
    </row>
    <row r="366" spans="7:18" thickBot="1" x14ac:dyDescent="0.35">
      <c r="G366" s="26">
        <f t="shared" si="60"/>
        <v>0</v>
      </c>
      <c r="H366" s="26">
        <f t="shared" si="61"/>
        <v>0</v>
      </c>
      <c r="I366" s="26">
        <f t="shared" si="62"/>
        <v>0</v>
      </c>
      <c r="J366" s="26">
        <f t="shared" si="63"/>
        <v>0</v>
      </c>
      <c r="K366" s="26">
        <f t="shared" si="64"/>
        <v>0</v>
      </c>
      <c r="L366" s="26">
        <f t="shared" si="65"/>
        <v>0</v>
      </c>
      <c r="M366" s="26">
        <f t="shared" si="66"/>
        <v>0</v>
      </c>
      <c r="N366" s="26">
        <f t="shared" si="67"/>
        <v>0</v>
      </c>
      <c r="O366" s="26">
        <f t="shared" si="68"/>
        <v>0</v>
      </c>
      <c r="P366" s="26">
        <f t="shared" si="69"/>
        <v>0</v>
      </c>
      <c r="Q366" s="26">
        <f t="shared" si="70"/>
        <v>0</v>
      </c>
      <c r="R366" s="34">
        <f t="shared" si="71"/>
        <v>0</v>
      </c>
    </row>
    <row r="367" spans="7:18" thickBot="1" x14ac:dyDescent="0.35">
      <c r="G367" s="26">
        <f t="shared" si="60"/>
        <v>0</v>
      </c>
      <c r="H367" s="26">
        <f t="shared" si="61"/>
        <v>0</v>
      </c>
      <c r="I367" s="26">
        <f t="shared" si="62"/>
        <v>0</v>
      </c>
      <c r="J367" s="26">
        <f t="shared" si="63"/>
        <v>0</v>
      </c>
      <c r="K367" s="26">
        <f t="shared" si="64"/>
        <v>0</v>
      </c>
      <c r="L367" s="26">
        <f t="shared" si="65"/>
        <v>0</v>
      </c>
      <c r="M367" s="26">
        <f t="shared" si="66"/>
        <v>0</v>
      </c>
      <c r="N367" s="26">
        <f t="shared" si="67"/>
        <v>0</v>
      </c>
      <c r="O367" s="26">
        <f t="shared" si="68"/>
        <v>0</v>
      </c>
      <c r="P367" s="26">
        <f t="shared" si="69"/>
        <v>0</v>
      </c>
      <c r="Q367" s="26">
        <f t="shared" si="70"/>
        <v>0</v>
      </c>
      <c r="R367" s="34">
        <f t="shared" si="71"/>
        <v>0</v>
      </c>
    </row>
    <row r="368" spans="7:18" thickBot="1" x14ac:dyDescent="0.35">
      <c r="G368" s="26">
        <f t="shared" si="60"/>
        <v>0</v>
      </c>
      <c r="H368" s="26">
        <f t="shared" si="61"/>
        <v>0</v>
      </c>
      <c r="I368" s="26">
        <f t="shared" si="62"/>
        <v>0</v>
      </c>
      <c r="J368" s="26">
        <f t="shared" si="63"/>
        <v>0</v>
      </c>
      <c r="K368" s="26">
        <f t="shared" si="64"/>
        <v>0</v>
      </c>
      <c r="L368" s="26">
        <f t="shared" si="65"/>
        <v>0</v>
      </c>
      <c r="M368" s="26">
        <f t="shared" si="66"/>
        <v>0</v>
      </c>
      <c r="N368" s="26">
        <f t="shared" si="67"/>
        <v>0</v>
      </c>
      <c r="O368" s="26">
        <f t="shared" si="68"/>
        <v>0</v>
      </c>
      <c r="P368" s="26">
        <f t="shared" si="69"/>
        <v>0</v>
      </c>
      <c r="Q368" s="26">
        <f t="shared" si="70"/>
        <v>0</v>
      </c>
      <c r="R368" s="34">
        <f t="shared" si="71"/>
        <v>0</v>
      </c>
    </row>
    <row r="369" spans="7:18" thickBot="1" x14ac:dyDescent="0.35">
      <c r="G369" s="26">
        <f t="shared" si="60"/>
        <v>0</v>
      </c>
      <c r="H369" s="26">
        <f t="shared" si="61"/>
        <v>0</v>
      </c>
      <c r="I369" s="26">
        <f t="shared" si="62"/>
        <v>0</v>
      </c>
      <c r="J369" s="26">
        <f t="shared" si="63"/>
        <v>0</v>
      </c>
      <c r="K369" s="26">
        <f t="shared" si="64"/>
        <v>0</v>
      </c>
      <c r="L369" s="26">
        <f t="shared" si="65"/>
        <v>0</v>
      </c>
      <c r="M369" s="26">
        <f t="shared" si="66"/>
        <v>0</v>
      </c>
      <c r="N369" s="26">
        <f t="shared" si="67"/>
        <v>0</v>
      </c>
      <c r="O369" s="26">
        <f t="shared" si="68"/>
        <v>0</v>
      </c>
      <c r="P369" s="26">
        <f t="shared" si="69"/>
        <v>0</v>
      </c>
      <c r="Q369" s="26">
        <f t="shared" si="70"/>
        <v>0</v>
      </c>
      <c r="R369" s="34">
        <f t="shared" si="71"/>
        <v>0</v>
      </c>
    </row>
    <row r="370" spans="7:18" thickBot="1" x14ac:dyDescent="0.35">
      <c r="G370" s="26">
        <f t="shared" si="60"/>
        <v>0</v>
      </c>
      <c r="H370" s="26">
        <f t="shared" si="61"/>
        <v>0</v>
      </c>
      <c r="I370" s="26">
        <f t="shared" si="62"/>
        <v>0</v>
      </c>
      <c r="J370" s="26">
        <f t="shared" si="63"/>
        <v>0</v>
      </c>
      <c r="K370" s="26">
        <f t="shared" si="64"/>
        <v>0</v>
      </c>
      <c r="L370" s="26">
        <f t="shared" si="65"/>
        <v>0</v>
      </c>
      <c r="M370" s="26">
        <f t="shared" si="66"/>
        <v>0</v>
      </c>
      <c r="N370" s="26">
        <f t="shared" si="67"/>
        <v>0</v>
      </c>
      <c r="O370" s="26">
        <f t="shared" si="68"/>
        <v>0</v>
      </c>
      <c r="P370" s="26">
        <f t="shared" si="69"/>
        <v>0</v>
      </c>
      <c r="Q370" s="26">
        <f t="shared" si="70"/>
        <v>0</v>
      </c>
      <c r="R370" s="34">
        <f t="shared" si="71"/>
        <v>0</v>
      </c>
    </row>
    <row r="371" spans="7:18" thickBot="1" x14ac:dyDescent="0.35">
      <c r="G371" s="26">
        <f t="shared" si="60"/>
        <v>0</v>
      </c>
      <c r="H371" s="26">
        <f t="shared" si="61"/>
        <v>0</v>
      </c>
      <c r="I371" s="26">
        <f t="shared" si="62"/>
        <v>0</v>
      </c>
      <c r="J371" s="26">
        <f t="shared" si="63"/>
        <v>0</v>
      </c>
      <c r="K371" s="26">
        <f t="shared" si="64"/>
        <v>0</v>
      </c>
      <c r="L371" s="26">
        <f t="shared" si="65"/>
        <v>0</v>
      </c>
      <c r="M371" s="26">
        <f t="shared" si="66"/>
        <v>0</v>
      </c>
      <c r="N371" s="26">
        <f t="shared" si="67"/>
        <v>0</v>
      </c>
      <c r="O371" s="26">
        <f t="shared" si="68"/>
        <v>0</v>
      </c>
      <c r="P371" s="26">
        <f t="shared" si="69"/>
        <v>0</v>
      </c>
      <c r="Q371" s="26">
        <f t="shared" si="70"/>
        <v>0</v>
      </c>
      <c r="R371" s="34">
        <f t="shared" si="71"/>
        <v>0</v>
      </c>
    </row>
    <row r="372" spans="7:18" thickBot="1" x14ac:dyDescent="0.35">
      <c r="G372" s="26">
        <f t="shared" si="60"/>
        <v>0</v>
      </c>
      <c r="H372" s="26">
        <f t="shared" si="61"/>
        <v>0</v>
      </c>
      <c r="I372" s="26">
        <f t="shared" si="62"/>
        <v>0</v>
      </c>
      <c r="J372" s="26">
        <f t="shared" si="63"/>
        <v>0</v>
      </c>
      <c r="K372" s="26">
        <f t="shared" si="64"/>
        <v>0</v>
      </c>
      <c r="L372" s="26">
        <f t="shared" si="65"/>
        <v>0</v>
      </c>
      <c r="M372" s="26">
        <f t="shared" si="66"/>
        <v>0</v>
      </c>
      <c r="N372" s="26">
        <f t="shared" si="67"/>
        <v>0</v>
      </c>
      <c r="O372" s="26">
        <f t="shared" si="68"/>
        <v>0</v>
      </c>
      <c r="P372" s="26">
        <f t="shared" si="69"/>
        <v>0</v>
      </c>
      <c r="Q372" s="26">
        <f t="shared" si="70"/>
        <v>0</v>
      </c>
      <c r="R372" s="34">
        <f t="shared" si="71"/>
        <v>0</v>
      </c>
    </row>
    <row r="373" spans="7:18" thickBot="1" x14ac:dyDescent="0.35">
      <c r="G373" s="26">
        <f t="shared" si="60"/>
        <v>0</v>
      </c>
      <c r="H373" s="26">
        <f t="shared" si="61"/>
        <v>0</v>
      </c>
      <c r="I373" s="26">
        <f t="shared" si="62"/>
        <v>0</v>
      </c>
      <c r="J373" s="26">
        <f t="shared" si="63"/>
        <v>0</v>
      </c>
      <c r="K373" s="26">
        <f t="shared" si="64"/>
        <v>0</v>
      </c>
      <c r="L373" s="26">
        <f t="shared" si="65"/>
        <v>0</v>
      </c>
      <c r="M373" s="26">
        <f t="shared" si="66"/>
        <v>0</v>
      </c>
      <c r="N373" s="26">
        <f t="shared" si="67"/>
        <v>0</v>
      </c>
      <c r="O373" s="26">
        <f t="shared" si="68"/>
        <v>0</v>
      </c>
      <c r="P373" s="26">
        <f t="shared" si="69"/>
        <v>0</v>
      </c>
      <c r="Q373" s="26">
        <f t="shared" si="70"/>
        <v>0</v>
      </c>
      <c r="R373" s="34">
        <f t="shared" si="71"/>
        <v>0</v>
      </c>
    </row>
    <row r="374" spans="7:18" thickBot="1" x14ac:dyDescent="0.35">
      <c r="G374" s="26">
        <f t="shared" si="60"/>
        <v>0</v>
      </c>
      <c r="H374" s="26">
        <f t="shared" si="61"/>
        <v>0</v>
      </c>
      <c r="I374" s="26">
        <f t="shared" si="62"/>
        <v>0</v>
      </c>
      <c r="J374" s="26">
        <f t="shared" si="63"/>
        <v>0</v>
      </c>
      <c r="K374" s="26">
        <f t="shared" si="64"/>
        <v>0</v>
      </c>
      <c r="L374" s="26">
        <f t="shared" si="65"/>
        <v>0</v>
      </c>
      <c r="M374" s="26">
        <f t="shared" si="66"/>
        <v>0</v>
      </c>
      <c r="N374" s="26">
        <f t="shared" si="67"/>
        <v>0</v>
      </c>
      <c r="O374" s="26">
        <f t="shared" si="68"/>
        <v>0</v>
      </c>
      <c r="P374" s="26">
        <f t="shared" si="69"/>
        <v>0</v>
      </c>
      <c r="Q374" s="26">
        <f t="shared" si="70"/>
        <v>0</v>
      </c>
      <c r="R374" s="34">
        <f t="shared" si="71"/>
        <v>0</v>
      </c>
    </row>
    <row r="375" spans="7:18" thickBot="1" x14ac:dyDescent="0.35">
      <c r="G375" s="26">
        <f t="shared" si="60"/>
        <v>0</v>
      </c>
      <c r="H375" s="26">
        <f t="shared" si="61"/>
        <v>0</v>
      </c>
      <c r="I375" s="26">
        <f t="shared" si="62"/>
        <v>0</v>
      </c>
      <c r="J375" s="26">
        <f t="shared" si="63"/>
        <v>0</v>
      </c>
      <c r="K375" s="26">
        <f t="shared" si="64"/>
        <v>0</v>
      </c>
      <c r="L375" s="26">
        <f t="shared" si="65"/>
        <v>0</v>
      </c>
      <c r="M375" s="26">
        <f t="shared" si="66"/>
        <v>0</v>
      </c>
      <c r="N375" s="26">
        <f t="shared" si="67"/>
        <v>0</v>
      </c>
      <c r="O375" s="26">
        <f t="shared" si="68"/>
        <v>0</v>
      </c>
      <c r="P375" s="26">
        <f t="shared" si="69"/>
        <v>0</v>
      </c>
      <c r="Q375" s="26">
        <f t="shared" si="70"/>
        <v>0</v>
      </c>
      <c r="R375" s="34">
        <f t="shared" si="71"/>
        <v>0</v>
      </c>
    </row>
    <row r="376" spans="7:18" thickBot="1" x14ac:dyDescent="0.35">
      <c r="G376" s="26">
        <f t="shared" si="60"/>
        <v>0</v>
      </c>
      <c r="H376" s="26">
        <f t="shared" si="61"/>
        <v>0</v>
      </c>
      <c r="I376" s="26">
        <f t="shared" si="62"/>
        <v>0</v>
      </c>
      <c r="J376" s="26">
        <f t="shared" si="63"/>
        <v>0</v>
      </c>
      <c r="K376" s="26">
        <f t="shared" si="64"/>
        <v>0</v>
      </c>
      <c r="L376" s="26">
        <f t="shared" si="65"/>
        <v>0</v>
      </c>
      <c r="M376" s="26">
        <f t="shared" si="66"/>
        <v>0</v>
      </c>
      <c r="N376" s="26">
        <f t="shared" si="67"/>
        <v>0</v>
      </c>
      <c r="O376" s="26">
        <f t="shared" si="68"/>
        <v>0</v>
      </c>
      <c r="P376" s="26">
        <f t="shared" si="69"/>
        <v>0</v>
      </c>
      <c r="Q376" s="26">
        <f t="shared" si="70"/>
        <v>0</v>
      </c>
      <c r="R376" s="34">
        <f t="shared" si="71"/>
        <v>0</v>
      </c>
    </row>
    <row r="377" spans="7:18" thickBot="1" x14ac:dyDescent="0.35">
      <c r="G377" s="26">
        <f t="shared" si="60"/>
        <v>0</v>
      </c>
      <c r="H377" s="26">
        <f t="shared" si="61"/>
        <v>0</v>
      </c>
      <c r="I377" s="26">
        <f t="shared" si="62"/>
        <v>0</v>
      </c>
      <c r="J377" s="26">
        <f t="shared" si="63"/>
        <v>0</v>
      </c>
      <c r="K377" s="26">
        <f t="shared" si="64"/>
        <v>0</v>
      </c>
      <c r="L377" s="26">
        <f t="shared" si="65"/>
        <v>0</v>
      </c>
      <c r="M377" s="26">
        <f t="shared" si="66"/>
        <v>0</v>
      </c>
      <c r="N377" s="26">
        <f t="shared" si="67"/>
        <v>0</v>
      </c>
      <c r="O377" s="26">
        <f t="shared" si="68"/>
        <v>0</v>
      </c>
      <c r="P377" s="26">
        <f t="shared" si="69"/>
        <v>0</v>
      </c>
      <c r="Q377" s="26">
        <f t="shared" si="70"/>
        <v>0</v>
      </c>
      <c r="R377" s="34">
        <f t="shared" si="71"/>
        <v>0</v>
      </c>
    </row>
    <row r="378" spans="7:18" thickBot="1" x14ac:dyDescent="0.35">
      <c r="G378" s="26">
        <f t="shared" si="60"/>
        <v>0</v>
      </c>
      <c r="H378" s="26">
        <f t="shared" si="61"/>
        <v>0</v>
      </c>
      <c r="I378" s="26">
        <f t="shared" si="62"/>
        <v>0</v>
      </c>
      <c r="J378" s="26">
        <f t="shared" si="63"/>
        <v>0</v>
      </c>
      <c r="K378" s="26">
        <f t="shared" si="64"/>
        <v>0</v>
      </c>
      <c r="L378" s="26">
        <f t="shared" si="65"/>
        <v>0</v>
      </c>
      <c r="M378" s="26">
        <f t="shared" si="66"/>
        <v>0</v>
      </c>
      <c r="N378" s="26">
        <f t="shared" si="67"/>
        <v>0</v>
      </c>
      <c r="O378" s="26">
        <f t="shared" si="68"/>
        <v>0</v>
      </c>
      <c r="P378" s="26">
        <f t="shared" si="69"/>
        <v>0</v>
      </c>
      <c r="Q378" s="26">
        <f t="shared" si="70"/>
        <v>0</v>
      </c>
      <c r="R378" s="34">
        <f t="shared" si="71"/>
        <v>0</v>
      </c>
    </row>
    <row r="379" spans="7:18" thickBot="1" x14ac:dyDescent="0.35">
      <c r="G379" s="26">
        <f t="shared" si="60"/>
        <v>0</v>
      </c>
      <c r="H379" s="26">
        <f t="shared" si="61"/>
        <v>0</v>
      </c>
      <c r="I379" s="26">
        <f t="shared" si="62"/>
        <v>0</v>
      </c>
      <c r="J379" s="26">
        <f t="shared" si="63"/>
        <v>0</v>
      </c>
      <c r="K379" s="26">
        <f t="shared" si="64"/>
        <v>0</v>
      </c>
      <c r="L379" s="26">
        <f t="shared" si="65"/>
        <v>0</v>
      </c>
      <c r="M379" s="26">
        <f t="shared" si="66"/>
        <v>0</v>
      </c>
      <c r="N379" s="26">
        <f t="shared" si="67"/>
        <v>0</v>
      </c>
      <c r="O379" s="26">
        <f t="shared" si="68"/>
        <v>0</v>
      </c>
      <c r="P379" s="26">
        <f t="shared" si="69"/>
        <v>0</v>
      </c>
      <c r="Q379" s="26">
        <f t="shared" si="70"/>
        <v>0</v>
      </c>
      <c r="R379" s="34">
        <f t="shared" si="71"/>
        <v>0</v>
      </c>
    </row>
    <row r="380" spans="7:18" thickBot="1" x14ac:dyDescent="0.35">
      <c r="G380" s="26">
        <f t="shared" si="60"/>
        <v>0</v>
      </c>
      <c r="H380" s="26">
        <f t="shared" si="61"/>
        <v>0</v>
      </c>
      <c r="I380" s="26">
        <f t="shared" si="62"/>
        <v>0</v>
      </c>
      <c r="J380" s="26">
        <f t="shared" si="63"/>
        <v>0</v>
      </c>
      <c r="K380" s="26">
        <f t="shared" si="64"/>
        <v>0</v>
      </c>
      <c r="L380" s="26">
        <f t="shared" si="65"/>
        <v>0</v>
      </c>
      <c r="M380" s="26">
        <f t="shared" si="66"/>
        <v>0</v>
      </c>
      <c r="N380" s="26">
        <f t="shared" si="67"/>
        <v>0</v>
      </c>
      <c r="O380" s="26">
        <f t="shared" si="68"/>
        <v>0</v>
      </c>
      <c r="P380" s="26">
        <f t="shared" si="69"/>
        <v>0</v>
      </c>
      <c r="Q380" s="26">
        <f t="shared" si="70"/>
        <v>0</v>
      </c>
      <c r="R380" s="34">
        <f t="shared" si="71"/>
        <v>0</v>
      </c>
    </row>
    <row r="381" spans="7:18" thickBot="1" x14ac:dyDescent="0.35">
      <c r="G381" s="26">
        <f t="shared" si="60"/>
        <v>0</v>
      </c>
      <c r="H381" s="26">
        <f t="shared" si="61"/>
        <v>0</v>
      </c>
      <c r="I381" s="26">
        <f t="shared" si="62"/>
        <v>0</v>
      </c>
      <c r="J381" s="26">
        <f t="shared" si="63"/>
        <v>0</v>
      </c>
      <c r="K381" s="26">
        <f t="shared" si="64"/>
        <v>0</v>
      </c>
      <c r="L381" s="26">
        <f t="shared" si="65"/>
        <v>0</v>
      </c>
      <c r="M381" s="26">
        <f t="shared" si="66"/>
        <v>0</v>
      </c>
      <c r="N381" s="26">
        <f t="shared" si="67"/>
        <v>0</v>
      </c>
      <c r="O381" s="26">
        <f t="shared" si="68"/>
        <v>0</v>
      </c>
      <c r="P381" s="26">
        <f t="shared" si="69"/>
        <v>0</v>
      </c>
      <c r="Q381" s="26">
        <f t="shared" si="70"/>
        <v>0</v>
      </c>
      <c r="R381" s="34">
        <f t="shared" si="71"/>
        <v>0</v>
      </c>
    </row>
    <row r="382" spans="7:18" thickBot="1" x14ac:dyDescent="0.35">
      <c r="G382" s="26">
        <f t="shared" si="60"/>
        <v>0</v>
      </c>
      <c r="H382" s="26">
        <f t="shared" si="61"/>
        <v>0</v>
      </c>
      <c r="I382" s="26">
        <f t="shared" si="62"/>
        <v>0</v>
      </c>
      <c r="J382" s="26">
        <f t="shared" si="63"/>
        <v>0</v>
      </c>
      <c r="K382" s="26">
        <f t="shared" si="64"/>
        <v>0</v>
      </c>
      <c r="L382" s="26">
        <f t="shared" si="65"/>
        <v>0</v>
      </c>
      <c r="M382" s="26">
        <f t="shared" si="66"/>
        <v>0</v>
      </c>
      <c r="N382" s="26">
        <f t="shared" si="67"/>
        <v>0</v>
      </c>
      <c r="O382" s="26">
        <f t="shared" si="68"/>
        <v>0</v>
      </c>
      <c r="P382" s="26">
        <f t="shared" si="69"/>
        <v>0</v>
      </c>
      <c r="Q382" s="26">
        <f t="shared" si="70"/>
        <v>0</v>
      </c>
      <c r="R382" s="34">
        <f t="shared" si="71"/>
        <v>0</v>
      </c>
    </row>
    <row r="383" spans="7:18" thickBot="1" x14ac:dyDescent="0.35">
      <c r="G383" s="26">
        <f t="shared" si="60"/>
        <v>0</v>
      </c>
      <c r="H383" s="26">
        <f t="shared" si="61"/>
        <v>0</v>
      </c>
      <c r="I383" s="26">
        <f t="shared" si="62"/>
        <v>0</v>
      </c>
      <c r="J383" s="26">
        <f t="shared" si="63"/>
        <v>0</v>
      </c>
      <c r="K383" s="26">
        <f t="shared" si="64"/>
        <v>0</v>
      </c>
      <c r="L383" s="26">
        <f t="shared" si="65"/>
        <v>0</v>
      </c>
      <c r="M383" s="26">
        <f t="shared" si="66"/>
        <v>0</v>
      </c>
      <c r="N383" s="26">
        <f t="shared" si="67"/>
        <v>0</v>
      </c>
      <c r="O383" s="26">
        <f t="shared" si="68"/>
        <v>0</v>
      </c>
      <c r="P383" s="26">
        <f t="shared" si="69"/>
        <v>0</v>
      </c>
      <c r="Q383" s="26">
        <f t="shared" si="70"/>
        <v>0</v>
      </c>
      <c r="R383" s="34">
        <f t="shared" si="71"/>
        <v>0</v>
      </c>
    </row>
    <row r="384" spans="7:18" thickBot="1" x14ac:dyDescent="0.35">
      <c r="G384" s="26">
        <f t="shared" si="60"/>
        <v>0</v>
      </c>
      <c r="H384" s="26">
        <f t="shared" si="61"/>
        <v>0</v>
      </c>
      <c r="I384" s="26">
        <f t="shared" si="62"/>
        <v>0</v>
      </c>
      <c r="J384" s="26">
        <f t="shared" si="63"/>
        <v>0</v>
      </c>
      <c r="K384" s="26">
        <f t="shared" si="64"/>
        <v>0</v>
      </c>
      <c r="L384" s="26">
        <f t="shared" si="65"/>
        <v>0</v>
      </c>
      <c r="M384" s="26">
        <f t="shared" si="66"/>
        <v>0</v>
      </c>
      <c r="N384" s="26">
        <f t="shared" si="67"/>
        <v>0</v>
      </c>
      <c r="O384" s="26">
        <f t="shared" si="68"/>
        <v>0</v>
      </c>
      <c r="P384" s="26">
        <f t="shared" si="69"/>
        <v>0</v>
      </c>
      <c r="Q384" s="26">
        <f t="shared" si="70"/>
        <v>0</v>
      </c>
      <c r="R384" s="34">
        <f t="shared" si="71"/>
        <v>0</v>
      </c>
    </row>
    <row r="385" spans="7:18" thickBot="1" x14ac:dyDescent="0.35">
      <c r="G385" s="26">
        <f t="shared" si="60"/>
        <v>0</v>
      </c>
      <c r="H385" s="26">
        <f t="shared" si="61"/>
        <v>0</v>
      </c>
      <c r="I385" s="26">
        <f t="shared" si="62"/>
        <v>0</v>
      </c>
      <c r="J385" s="26">
        <f t="shared" si="63"/>
        <v>0</v>
      </c>
      <c r="K385" s="26">
        <f t="shared" si="64"/>
        <v>0</v>
      </c>
      <c r="L385" s="26">
        <f t="shared" si="65"/>
        <v>0</v>
      </c>
      <c r="M385" s="26">
        <f t="shared" si="66"/>
        <v>0</v>
      </c>
      <c r="N385" s="26">
        <f t="shared" si="67"/>
        <v>0</v>
      </c>
      <c r="O385" s="26">
        <f t="shared" si="68"/>
        <v>0</v>
      </c>
      <c r="P385" s="26">
        <f t="shared" si="69"/>
        <v>0</v>
      </c>
      <c r="Q385" s="26">
        <f t="shared" si="70"/>
        <v>0</v>
      </c>
      <c r="R385" s="34">
        <f t="shared" si="71"/>
        <v>0</v>
      </c>
    </row>
    <row r="386" spans="7:18" thickBot="1" x14ac:dyDescent="0.35">
      <c r="G386" s="26">
        <f t="shared" si="60"/>
        <v>0</v>
      </c>
      <c r="H386" s="26">
        <f t="shared" si="61"/>
        <v>0</v>
      </c>
      <c r="I386" s="26">
        <f t="shared" si="62"/>
        <v>0</v>
      </c>
      <c r="J386" s="26">
        <f t="shared" si="63"/>
        <v>0</v>
      </c>
      <c r="K386" s="26">
        <f t="shared" si="64"/>
        <v>0</v>
      </c>
      <c r="L386" s="26">
        <f t="shared" si="65"/>
        <v>0</v>
      </c>
      <c r="M386" s="26">
        <f t="shared" si="66"/>
        <v>0</v>
      </c>
      <c r="N386" s="26">
        <f t="shared" si="67"/>
        <v>0</v>
      </c>
      <c r="O386" s="26">
        <f t="shared" si="68"/>
        <v>0</v>
      </c>
      <c r="P386" s="26">
        <f t="shared" si="69"/>
        <v>0</v>
      </c>
      <c r="Q386" s="26">
        <f t="shared" si="70"/>
        <v>0</v>
      </c>
      <c r="R386" s="34">
        <f t="shared" si="71"/>
        <v>0</v>
      </c>
    </row>
    <row r="387" spans="7:18" thickBot="1" x14ac:dyDescent="0.35">
      <c r="G387" s="26">
        <f t="shared" si="60"/>
        <v>0</v>
      </c>
      <c r="H387" s="26">
        <f t="shared" si="61"/>
        <v>0</v>
      </c>
      <c r="I387" s="26">
        <f t="shared" si="62"/>
        <v>0</v>
      </c>
      <c r="J387" s="26">
        <f t="shared" si="63"/>
        <v>0</v>
      </c>
      <c r="K387" s="26">
        <f t="shared" si="64"/>
        <v>0</v>
      </c>
      <c r="L387" s="26">
        <f t="shared" si="65"/>
        <v>0</v>
      </c>
      <c r="M387" s="26">
        <f t="shared" si="66"/>
        <v>0</v>
      </c>
      <c r="N387" s="26">
        <f t="shared" si="67"/>
        <v>0</v>
      </c>
      <c r="O387" s="26">
        <f t="shared" si="68"/>
        <v>0</v>
      </c>
      <c r="P387" s="26">
        <f t="shared" si="69"/>
        <v>0</v>
      </c>
      <c r="Q387" s="26">
        <f t="shared" si="70"/>
        <v>0</v>
      </c>
      <c r="R387" s="34">
        <f t="shared" si="71"/>
        <v>0</v>
      </c>
    </row>
    <row r="388" spans="7:18" thickBot="1" x14ac:dyDescent="0.35">
      <c r="G388" s="26">
        <f t="shared" ref="G388:G397" si="72">ABS(F388-C388)</f>
        <v>0</v>
      </c>
      <c r="H388" s="26">
        <f t="shared" ref="H388:H397" si="73">ABS(D388-C388)</f>
        <v>0</v>
      </c>
      <c r="I388" s="26">
        <f t="shared" ref="I388:I397" si="74">IF(G388&gt;C388, C388+(0.1*G388), C388-(0.1*G388))</f>
        <v>0</v>
      </c>
      <c r="J388" s="26">
        <f t="shared" ref="J388:J397" si="75">IF(G388&gt;C388, C388+(0.2*G388), C388-(0.2*G388))</f>
        <v>0</v>
      </c>
      <c r="K388" s="26">
        <f t="shared" ref="K388:K397" si="76">IF(G388&gt;C388, C388+(0.3*G388), C388-(0.3*G388))</f>
        <v>0</v>
      </c>
      <c r="L388" s="26">
        <f t="shared" ref="L388:L397" si="77">IF(G388&gt;C388, C388+(0.4*G388), C388-(0.4*G388))</f>
        <v>0</v>
      </c>
      <c r="M388" s="26">
        <f t="shared" ref="M388:M397" si="78">IF(G388&gt;C388, C388+(0.5*G388), C388-(0.5*G388))</f>
        <v>0</v>
      </c>
      <c r="N388" s="26">
        <f t="shared" ref="N388:N397" si="79">IF(G388&gt;C388, C388+(0.6*G388), C388-(0.6*G388))</f>
        <v>0</v>
      </c>
      <c r="O388" s="26">
        <f t="shared" ref="O388:O397" si="80">IF(G388&gt;C388, C388+(0.7*G388), C388-(0.7*G388))</f>
        <v>0</v>
      </c>
      <c r="P388" s="26">
        <f t="shared" ref="P388:P397" si="81">IF(G388&gt;C388, C388+(0.8*G388), C388-(0.8*G388))</f>
        <v>0</v>
      </c>
      <c r="Q388" s="26">
        <f t="shared" ref="Q388:Q397" si="82">IF(G388&gt;C388, C388+(0.9*G388), C388-(0.9*G388))</f>
        <v>0</v>
      </c>
      <c r="R388" s="34">
        <f t="shared" ref="R388:R397" si="83">IF(G388&gt;C388, C388+(1*G388), C388-(1*G388))</f>
        <v>0</v>
      </c>
    </row>
    <row r="389" spans="7:18" thickBot="1" x14ac:dyDescent="0.35">
      <c r="G389" s="26">
        <f t="shared" si="72"/>
        <v>0</v>
      </c>
      <c r="H389" s="26">
        <f t="shared" si="73"/>
        <v>0</v>
      </c>
      <c r="I389" s="26">
        <f t="shared" si="74"/>
        <v>0</v>
      </c>
      <c r="J389" s="26">
        <f t="shared" si="75"/>
        <v>0</v>
      </c>
      <c r="K389" s="26">
        <f t="shared" si="76"/>
        <v>0</v>
      </c>
      <c r="L389" s="26">
        <f t="shared" si="77"/>
        <v>0</v>
      </c>
      <c r="M389" s="26">
        <f t="shared" si="78"/>
        <v>0</v>
      </c>
      <c r="N389" s="26">
        <f t="shared" si="79"/>
        <v>0</v>
      </c>
      <c r="O389" s="26">
        <f t="shared" si="80"/>
        <v>0</v>
      </c>
      <c r="P389" s="26">
        <f t="shared" si="81"/>
        <v>0</v>
      </c>
      <c r="Q389" s="26">
        <f t="shared" si="82"/>
        <v>0</v>
      </c>
      <c r="R389" s="34">
        <f t="shared" si="83"/>
        <v>0</v>
      </c>
    </row>
    <row r="390" spans="7:18" thickBot="1" x14ac:dyDescent="0.35">
      <c r="G390" s="26">
        <f t="shared" si="72"/>
        <v>0</v>
      </c>
      <c r="H390" s="26">
        <f t="shared" si="73"/>
        <v>0</v>
      </c>
      <c r="I390" s="26">
        <f t="shared" si="74"/>
        <v>0</v>
      </c>
      <c r="J390" s="26">
        <f t="shared" si="75"/>
        <v>0</v>
      </c>
      <c r="K390" s="26">
        <f t="shared" si="76"/>
        <v>0</v>
      </c>
      <c r="L390" s="26">
        <f t="shared" si="77"/>
        <v>0</v>
      </c>
      <c r="M390" s="26">
        <f t="shared" si="78"/>
        <v>0</v>
      </c>
      <c r="N390" s="26">
        <f t="shared" si="79"/>
        <v>0</v>
      </c>
      <c r="O390" s="26">
        <f t="shared" si="80"/>
        <v>0</v>
      </c>
      <c r="P390" s="26">
        <f t="shared" si="81"/>
        <v>0</v>
      </c>
      <c r="Q390" s="26">
        <f t="shared" si="82"/>
        <v>0</v>
      </c>
      <c r="R390" s="34">
        <f t="shared" si="83"/>
        <v>0</v>
      </c>
    </row>
    <row r="391" spans="7:18" thickBot="1" x14ac:dyDescent="0.35">
      <c r="G391" s="26">
        <f t="shared" si="72"/>
        <v>0</v>
      </c>
      <c r="H391" s="26">
        <f t="shared" si="73"/>
        <v>0</v>
      </c>
      <c r="I391" s="26">
        <f t="shared" si="74"/>
        <v>0</v>
      </c>
      <c r="J391" s="26">
        <f t="shared" si="75"/>
        <v>0</v>
      </c>
      <c r="K391" s="26">
        <f t="shared" si="76"/>
        <v>0</v>
      </c>
      <c r="L391" s="26">
        <f t="shared" si="77"/>
        <v>0</v>
      </c>
      <c r="M391" s="26">
        <f t="shared" si="78"/>
        <v>0</v>
      </c>
      <c r="N391" s="26">
        <f t="shared" si="79"/>
        <v>0</v>
      </c>
      <c r="O391" s="26">
        <f t="shared" si="80"/>
        <v>0</v>
      </c>
      <c r="P391" s="26">
        <f t="shared" si="81"/>
        <v>0</v>
      </c>
      <c r="Q391" s="26">
        <f t="shared" si="82"/>
        <v>0</v>
      </c>
      <c r="R391" s="34">
        <f t="shared" si="83"/>
        <v>0</v>
      </c>
    </row>
    <row r="392" spans="7:18" thickBot="1" x14ac:dyDescent="0.35">
      <c r="G392" s="26">
        <f t="shared" si="72"/>
        <v>0</v>
      </c>
      <c r="H392" s="26">
        <f t="shared" si="73"/>
        <v>0</v>
      </c>
      <c r="I392" s="26">
        <f t="shared" si="74"/>
        <v>0</v>
      </c>
      <c r="J392" s="26">
        <f t="shared" si="75"/>
        <v>0</v>
      </c>
      <c r="K392" s="26">
        <f t="shared" si="76"/>
        <v>0</v>
      </c>
      <c r="L392" s="26">
        <f t="shared" si="77"/>
        <v>0</v>
      </c>
      <c r="M392" s="26">
        <f t="shared" si="78"/>
        <v>0</v>
      </c>
      <c r="N392" s="26">
        <f t="shared" si="79"/>
        <v>0</v>
      </c>
      <c r="O392" s="26">
        <f t="shared" si="80"/>
        <v>0</v>
      </c>
      <c r="P392" s="26">
        <f t="shared" si="81"/>
        <v>0</v>
      </c>
      <c r="Q392" s="26">
        <f t="shared" si="82"/>
        <v>0</v>
      </c>
      <c r="R392" s="34">
        <f t="shared" si="83"/>
        <v>0</v>
      </c>
    </row>
    <row r="393" spans="7:18" thickBot="1" x14ac:dyDescent="0.35">
      <c r="G393" s="26">
        <f t="shared" si="72"/>
        <v>0</v>
      </c>
      <c r="H393" s="26">
        <f t="shared" si="73"/>
        <v>0</v>
      </c>
      <c r="I393" s="26">
        <f t="shared" si="74"/>
        <v>0</v>
      </c>
      <c r="J393" s="26">
        <f t="shared" si="75"/>
        <v>0</v>
      </c>
      <c r="K393" s="26">
        <f t="shared" si="76"/>
        <v>0</v>
      </c>
      <c r="L393" s="26">
        <f t="shared" si="77"/>
        <v>0</v>
      </c>
      <c r="M393" s="26">
        <f t="shared" si="78"/>
        <v>0</v>
      </c>
      <c r="N393" s="26">
        <f t="shared" si="79"/>
        <v>0</v>
      </c>
      <c r="O393" s="26">
        <f t="shared" si="80"/>
        <v>0</v>
      </c>
      <c r="P393" s="26">
        <f t="shared" si="81"/>
        <v>0</v>
      </c>
      <c r="Q393" s="26">
        <f t="shared" si="82"/>
        <v>0</v>
      </c>
      <c r="R393" s="34">
        <f t="shared" si="83"/>
        <v>0</v>
      </c>
    </row>
    <row r="394" spans="7:18" thickBot="1" x14ac:dyDescent="0.35">
      <c r="G394" s="26">
        <f t="shared" si="72"/>
        <v>0</v>
      </c>
      <c r="H394" s="26">
        <f t="shared" si="73"/>
        <v>0</v>
      </c>
      <c r="I394" s="26">
        <f t="shared" si="74"/>
        <v>0</v>
      </c>
      <c r="J394" s="26">
        <f t="shared" si="75"/>
        <v>0</v>
      </c>
      <c r="K394" s="26">
        <f t="shared" si="76"/>
        <v>0</v>
      </c>
      <c r="L394" s="26">
        <f t="shared" si="77"/>
        <v>0</v>
      </c>
      <c r="M394" s="26">
        <f t="shared" si="78"/>
        <v>0</v>
      </c>
      <c r="N394" s="26">
        <f t="shared" si="79"/>
        <v>0</v>
      </c>
      <c r="O394" s="26">
        <f t="shared" si="80"/>
        <v>0</v>
      </c>
      <c r="P394" s="26">
        <f t="shared" si="81"/>
        <v>0</v>
      </c>
      <c r="Q394" s="26">
        <f t="shared" si="82"/>
        <v>0</v>
      </c>
      <c r="R394" s="34">
        <f t="shared" si="83"/>
        <v>0</v>
      </c>
    </row>
    <row r="395" spans="7:18" thickBot="1" x14ac:dyDescent="0.35">
      <c r="G395" s="26">
        <f t="shared" si="72"/>
        <v>0</v>
      </c>
      <c r="H395" s="26">
        <f t="shared" si="73"/>
        <v>0</v>
      </c>
      <c r="I395" s="26">
        <f t="shared" si="74"/>
        <v>0</v>
      </c>
      <c r="J395" s="26">
        <f t="shared" si="75"/>
        <v>0</v>
      </c>
      <c r="K395" s="26">
        <f t="shared" si="76"/>
        <v>0</v>
      </c>
      <c r="L395" s="26">
        <f t="shared" si="77"/>
        <v>0</v>
      </c>
      <c r="M395" s="26">
        <f t="shared" si="78"/>
        <v>0</v>
      </c>
      <c r="N395" s="26">
        <f t="shared" si="79"/>
        <v>0</v>
      </c>
      <c r="O395" s="26">
        <f t="shared" si="80"/>
        <v>0</v>
      </c>
      <c r="P395" s="26">
        <f t="shared" si="81"/>
        <v>0</v>
      </c>
      <c r="Q395" s="26">
        <f t="shared" si="82"/>
        <v>0</v>
      </c>
      <c r="R395" s="34">
        <f t="shared" si="83"/>
        <v>0</v>
      </c>
    </row>
    <row r="396" spans="7:18" thickBot="1" x14ac:dyDescent="0.35">
      <c r="G396" s="26">
        <f t="shared" si="72"/>
        <v>0</v>
      </c>
      <c r="H396" s="26">
        <f t="shared" si="73"/>
        <v>0</v>
      </c>
      <c r="I396" s="26">
        <f t="shared" si="74"/>
        <v>0</v>
      </c>
      <c r="J396" s="26">
        <f t="shared" si="75"/>
        <v>0</v>
      </c>
      <c r="K396" s="26">
        <f t="shared" si="76"/>
        <v>0</v>
      </c>
      <c r="L396" s="26">
        <f t="shared" si="77"/>
        <v>0</v>
      </c>
      <c r="M396" s="26">
        <f t="shared" si="78"/>
        <v>0</v>
      </c>
      <c r="N396" s="26">
        <f t="shared" si="79"/>
        <v>0</v>
      </c>
      <c r="O396" s="26">
        <f t="shared" si="80"/>
        <v>0</v>
      </c>
      <c r="P396" s="26">
        <f t="shared" si="81"/>
        <v>0</v>
      </c>
      <c r="Q396" s="26">
        <f t="shared" si="82"/>
        <v>0</v>
      </c>
      <c r="R396" s="34">
        <f t="shared" si="83"/>
        <v>0</v>
      </c>
    </row>
    <row r="397" spans="7:18" thickBot="1" x14ac:dyDescent="0.35">
      <c r="G397" s="26">
        <f t="shared" si="72"/>
        <v>0</v>
      </c>
      <c r="H397" s="26">
        <f t="shared" si="73"/>
        <v>0</v>
      </c>
      <c r="I397" s="26">
        <f t="shared" si="74"/>
        <v>0</v>
      </c>
      <c r="J397" s="26">
        <f t="shared" si="75"/>
        <v>0</v>
      </c>
      <c r="K397" s="26">
        <f t="shared" si="76"/>
        <v>0</v>
      </c>
      <c r="L397" s="26">
        <f t="shared" si="77"/>
        <v>0</v>
      </c>
      <c r="M397" s="26">
        <f t="shared" si="78"/>
        <v>0</v>
      </c>
      <c r="N397" s="26">
        <f t="shared" si="79"/>
        <v>0</v>
      </c>
      <c r="O397" s="26">
        <f t="shared" si="80"/>
        <v>0</v>
      </c>
      <c r="P397" s="26">
        <f t="shared" si="81"/>
        <v>0</v>
      </c>
      <c r="Q397" s="26">
        <f t="shared" si="82"/>
        <v>0</v>
      </c>
      <c r="R397" s="34">
        <f t="shared" si="83"/>
        <v>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7DD42-737D-44F2-A578-90FED9E394A2}">
  <sheetPr codeName="Sheet2"/>
  <dimension ref="A1:AN795"/>
  <sheetViews>
    <sheetView tabSelected="1" workbookViewId="0">
      <pane xSplit="1" topLeftCell="AC1" activePane="topRight" state="frozen"/>
      <selection pane="topRight" activeCell="AE11" sqref="AE11"/>
    </sheetView>
  </sheetViews>
  <sheetFormatPr defaultColWidth="9.1796875" defaultRowHeight="14.5" x14ac:dyDescent="0.35"/>
  <cols>
    <col min="1" max="1" width="26" style="14" customWidth="1"/>
    <col min="2" max="2" width="7.453125" style="14" customWidth="1"/>
    <col min="3" max="3" width="9" style="14" customWidth="1"/>
    <col min="4" max="4" width="11.453125" style="14" bestFit="1" customWidth="1"/>
    <col min="5" max="5" width="11.6328125" style="14" bestFit="1" customWidth="1"/>
    <col min="6" max="6" width="14.6328125" style="14" customWidth="1"/>
    <col min="7" max="7" width="6.453125" style="14" customWidth="1"/>
    <col min="8" max="8" width="11.6328125" style="14" customWidth="1"/>
    <col min="9" max="9" width="14.36328125" style="14" customWidth="1"/>
    <col min="10" max="10" width="10.453125" style="14" customWidth="1"/>
    <col min="11" max="11" width="11.6328125" style="14" bestFit="1" customWidth="1"/>
    <col min="12" max="12" width="10.81640625" style="14" customWidth="1"/>
    <col min="13" max="14" width="11.6328125" style="14" bestFit="1" customWidth="1"/>
    <col min="15" max="15" width="10.453125" style="14" customWidth="1"/>
    <col min="16" max="20" width="9.1796875" style="14"/>
    <col min="21" max="22" width="8.81640625" customWidth="1"/>
    <col min="23" max="30" width="9.1796875" style="14"/>
    <col min="31" max="31" width="14.6328125" style="14" customWidth="1"/>
    <col min="32" max="32" width="13.6328125" style="14" customWidth="1"/>
    <col min="33" max="33" width="16.36328125" style="14" customWidth="1"/>
    <col min="34" max="34" width="15.81640625" style="14" customWidth="1"/>
    <col min="35" max="35" width="11.81640625" style="14" customWidth="1"/>
    <col min="36" max="40" width="9.1796875" style="51"/>
    <col min="41" max="16384" width="9.1796875" style="14"/>
  </cols>
  <sheetData>
    <row r="1" spans="1:40" s="21" customFormat="1" ht="16" thickBot="1" x14ac:dyDescent="0.4">
      <c r="A1" s="15" t="s">
        <v>33</v>
      </c>
      <c r="B1" s="16" t="s">
        <v>34</v>
      </c>
      <c r="C1" s="16" t="s">
        <v>35</v>
      </c>
      <c r="D1" s="17" t="s">
        <v>12</v>
      </c>
      <c r="E1" s="18" t="s">
        <v>13</v>
      </c>
      <c r="F1" s="18" t="s">
        <v>54</v>
      </c>
      <c r="G1" s="18" t="s">
        <v>15</v>
      </c>
      <c r="H1" s="18" t="s">
        <v>55</v>
      </c>
      <c r="I1" s="18" t="s">
        <v>53</v>
      </c>
      <c r="J1" s="18" t="s">
        <v>58</v>
      </c>
      <c r="K1" s="19" t="s">
        <v>17</v>
      </c>
      <c r="L1" s="19" t="s">
        <v>248</v>
      </c>
      <c r="M1" s="19" t="s">
        <v>19</v>
      </c>
      <c r="N1" s="19" t="s">
        <v>247</v>
      </c>
      <c r="O1" s="19" t="s">
        <v>246</v>
      </c>
      <c r="P1" s="19" t="s">
        <v>245</v>
      </c>
      <c r="Q1" s="17" t="s">
        <v>21</v>
      </c>
      <c r="R1" s="17" t="s">
        <v>22</v>
      </c>
      <c r="S1" s="22" t="s">
        <v>23</v>
      </c>
      <c r="T1" s="22" t="s">
        <v>24</v>
      </c>
      <c r="U1" s="17" t="s">
        <v>25</v>
      </c>
      <c r="V1" s="17" t="s">
        <v>26</v>
      </c>
      <c r="W1" s="17" t="s">
        <v>27</v>
      </c>
      <c r="X1" s="17" t="s">
        <v>28</v>
      </c>
      <c r="Y1" s="17" t="s">
        <v>29</v>
      </c>
      <c r="Z1" s="17" t="s">
        <v>30</v>
      </c>
      <c r="AA1" s="17" t="s">
        <v>31</v>
      </c>
      <c r="AB1" s="17" t="s">
        <v>32</v>
      </c>
      <c r="AC1" s="17" t="s">
        <v>51</v>
      </c>
      <c r="AD1" s="17" t="s">
        <v>52</v>
      </c>
      <c r="AE1" s="20" t="s">
        <v>210</v>
      </c>
      <c r="AF1" s="20" t="s">
        <v>239</v>
      </c>
      <c r="AG1" s="52" t="s">
        <v>220</v>
      </c>
      <c r="AH1" s="52" t="s">
        <v>221</v>
      </c>
      <c r="AI1" s="54" t="s">
        <v>43</v>
      </c>
      <c r="AJ1" s="56" t="s">
        <v>240</v>
      </c>
      <c r="AK1" s="56" t="s">
        <v>241</v>
      </c>
      <c r="AL1" s="56" t="s">
        <v>242</v>
      </c>
      <c r="AM1" s="56" t="s">
        <v>243</v>
      </c>
      <c r="AN1" s="56" t="s">
        <v>244</v>
      </c>
    </row>
    <row r="2" spans="1:40" x14ac:dyDescent="0.35">
      <c r="A2" s="37" t="s">
        <v>106</v>
      </c>
      <c r="B2" s="14">
        <v>1</v>
      </c>
      <c r="C2" s="37">
        <v>40</v>
      </c>
      <c r="D2" s="14">
        <v>799</v>
      </c>
      <c r="E2" s="12">
        <f t="shared" ref="E2:E7" si="0">DIST2(Q2,R2,W2,X2)</f>
        <v>24.922015829382637</v>
      </c>
      <c r="F2" s="12">
        <f t="shared" ref="F2:F64" si="1">ACOS((DIST2(Y2,Z2,S2,T2)^2 + DIST2(Y2,Z2,Q2,R2)^2 - DIST2(Q2,R2,S2,T2)^2)/(2*DIST2(Y2,Z2,S2,T2) * DIST2(Y2,Z2,Q2,R2)))</f>
        <v>1.506785958872501</v>
      </c>
      <c r="G2" s="12">
        <f t="shared" ref="G2:G7" si="2">DIST2(AA2,AB2,AC2,AD2)</f>
        <v>3.570152517750476</v>
      </c>
      <c r="H2" s="12">
        <f t="shared" ref="H2:H7" si="3">DIST2(Q2,R2,S2,T2)</f>
        <v>17.509471979474409</v>
      </c>
      <c r="I2" s="12">
        <f t="shared" ref="I2:I64" si="4">ACOS((DIST2(Y2,Z2,W2,X2)^2 + DIST2(Y2,Z2,U2,V2)^2 - DIST2(U2,V2,W2,X2)^2)/(2*DIST2(Y2,Z2,W2,X2) * DIST2(Y2,Z2,U2,V2)))</f>
        <v>1.564233516122415</v>
      </c>
      <c r="J2" s="12">
        <f t="shared" ref="J2:J7" si="5">DIST2(U2,V2,W2,X2)</f>
        <v>17.530858050877015</v>
      </c>
      <c r="K2" s="13">
        <f t="shared" ref="K2:K7" si="6">E2/D2</f>
        <v>3.1191509173194791E-2</v>
      </c>
      <c r="L2" s="13">
        <f t="shared" ref="L2:L7" si="7">F2*180/PI()</f>
        <v>86.332476072967154</v>
      </c>
      <c r="M2" s="13">
        <f t="shared" ref="M2:M7" si="8">G2/D2</f>
        <v>4.4682759921783177E-3</v>
      </c>
      <c r="N2" s="13">
        <f t="shared" ref="N2:N7" si="9">H2/D2</f>
        <v>2.1914232765299635E-2</v>
      </c>
      <c r="O2" s="13">
        <f t="shared" ref="O2:O7" si="10">I2*180/PI()</f>
        <v>89.623978646723401</v>
      </c>
      <c r="P2" s="13">
        <f t="shared" ref="P2:P7" si="11">J2/D2</f>
        <v>2.1940998812111409E-2</v>
      </c>
      <c r="Q2" s="38">
        <v>446.70699999999999</v>
      </c>
      <c r="R2" s="38">
        <v>-446.887</v>
      </c>
      <c r="S2" s="38">
        <v>443.072</v>
      </c>
      <c r="T2" s="38">
        <v>-429.75900000000001</v>
      </c>
      <c r="U2" s="38">
        <v>428.23</v>
      </c>
      <c r="V2" s="38">
        <v>-450.517</v>
      </c>
      <c r="W2" s="38">
        <v>425.92</v>
      </c>
      <c r="X2" s="38">
        <v>-433.13900000000001</v>
      </c>
      <c r="Y2" s="38">
        <v>435.74900000000002</v>
      </c>
      <c r="Z2" s="38">
        <v>-440.21300000000002</v>
      </c>
      <c r="AA2" s="38">
        <v>435.41199999999998</v>
      </c>
      <c r="AB2" s="38">
        <v>-438.11</v>
      </c>
      <c r="AC2" s="38">
        <v>435.56200000000001</v>
      </c>
      <c r="AD2" s="38">
        <v>-441.67700000000002</v>
      </c>
      <c r="AE2" s="14" t="s">
        <v>213</v>
      </c>
      <c r="AF2" s="14" t="s">
        <v>212</v>
      </c>
      <c r="AG2" s="14" t="s">
        <v>222</v>
      </c>
      <c r="AH2" s="14" t="s">
        <v>222</v>
      </c>
      <c r="AI2" s="51" t="s">
        <v>223</v>
      </c>
      <c r="AJ2" s="51">
        <v>1.20979934241958E-4</v>
      </c>
      <c r="AK2" s="51">
        <v>1.27998416355864E-4</v>
      </c>
      <c r="AL2" s="51">
        <v>1.0708122324369699E-4</v>
      </c>
      <c r="AM2" s="55">
        <v>9.1905833480837105E-5</v>
      </c>
      <c r="AN2" s="51">
        <v>0.79921429412134504</v>
      </c>
    </row>
    <row r="3" spans="1:40" x14ac:dyDescent="0.35">
      <c r="A3" s="37" t="s">
        <v>106</v>
      </c>
      <c r="B3" s="14">
        <v>1</v>
      </c>
      <c r="C3" s="37">
        <v>50</v>
      </c>
      <c r="D3" s="14">
        <v>799</v>
      </c>
      <c r="E3" s="12">
        <f t="shared" si="0"/>
        <v>34.421051131538704</v>
      </c>
      <c r="F3" s="12">
        <f t="shared" si="1"/>
        <v>1.1841741594846429</v>
      </c>
      <c r="G3" s="12">
        <f t="shared" si="2"/>
        <v>3.1254273307821401</v>
      </c>
      <c r="H3" s="12">
        <f t="shared" si="3"/>
        <v>21.100308647031678</v>
      </c>
      <c r="I3" s="12">
        <f t="shared" si="4"/>
        <v>1.3093653980644679</v>
      </c>
      <c r="J3" s="12">
        <f t="shared" si="5"/>
        <v>19.422524758640431</v>
      </c>
      <c r="K3" s="13">
        <f t="shared" si="6"/>
        <v>4.3080164119572849E-2</v>
      </c>
      <c r="L3" s="13">
        <f t="shared" si="7"/>
        <v>67.84818154692168</v>
      </c>
      <c r="M3" s="13">
        <f t="shared" si="8"/>
        <v>3.9116737556722653E-3</v>
      </c>
      <c r="N3" s="13">
        <f t="shared" si="9"/>
        <v>2.6408396304169812E-2</v>
      </c>
      <c r="O3" s="13">
        <f t="shared" si="10"/>
        <v>75.021111149561023</v>
      </c>
      <c r="P3" s="13">
        <f t="shared" si="11"/>
        <v>2.4308541625332206E-2</v>
      </c>
      <c r="Q3" s="38">
        <v>548.75599999999997</v>
      </c>
      <c r="R3" s="38">
        <v>-424.62299999999999</v>
      </c>
      <c r="S3" s="38">
        <v>546.70100000000002</v>
      </c>
      <c r="T3" s="38">
        <v>-445.62299999999999</v>
      </c>
      <c r="U3" s="38">
        <v>520.79399999999998</v>
      </c>
      <c r="V3" s="38">
        <v>-421.77</v>
      </c>
      <c r="W3" s="38">
        <v>518.51199999999994</v>
      </c>
      <c r="X3" s="38">
        <v>-441.05799999999999</v>
      </c>
      <c r="Y3" s="38">
        <v>532.23500000000001</v>
      </c>
      <c r="Z3" s="38">
        <v>-432.73200000000003</v>
      </c>
      <c r="AA3" s="38">
        <v>532.66399999999999</v>
      </c>
      <c r="AB3" s="38">
        <v>-430.90100000000001</v>
      </c>
      <c r="AC3" s="38">
        <v>532.07799999999997</v>
      </c>
      <c r="AD3" s="38">
        <v>-433.971</v>
      </c>
      <c r="AE3" s="14" t="s">
        <v>213</v>
      </c>
      <c r="AF3" s="14" t="s">
        <v>212</v>
      </c>
      <c r="AG3" s="14" t="s">
        <v>222</v>
      </c>
      <c r="AH3" s="14" t="s">
        <v>222</v>
      </c>
      <c r="AI3" s="51" t="s">
        <v>223</v>
      </c>
      <c r="AJ3" s="51">
        <v>1.9242552251641301E-4</v>
      </c>
      <c r="AK3" s="51">
        <v>2.58675193961162E-4</v>
      </c>
      <c r="AL3" s="51">
        <v>2.4198827226147899E-4</v>
      </c>
      <c r="AM3" s="51">
        <v>2.7484257778418299E-4</v>
      </c>
      <c r="AN3" s="51">
        <v>1.1457105501435301</v>
      </c>
    </row>
    <row r="4" spans="1:40" x14ac:dyDescent="0.35">
      <c r="A4" s="37" t="s">
        <v>106</v>
      </c>
      <c r="B4" s="14">
        <v>1</v>
      </c>
      <c r="C4" s="37">
        <v>60</v>
      </c>
      <c r="D4" s="14">
        <v>799</v>
      </c>
      <c r="E4" s="12">
        <f t="shared" si="0"/>
        <v>35.753436548113804</v>
      </c>
      <c r="F4" s="12">
        <f t="shared" si="1"/>
        <v>1.383956207179055</v>
      </c>
      <c r="G4" s="12">
        <f t="shared" si="2"/>
        <v>2.0036239667162943</v>
      </c>
      <c r="H4" s="12">
        <f t="shared" si="3"/>
        <v>22.591497980435037</v>
      </c>
      <c r="I4" s="12">
        <f t="shared" si="4"/>
        <v>1.3972907350621855</v>
      </c>
      <c r="J4" s="12">
        <f t="shared" si="5"/>
        <v>22.904381087468828</v>
      </c>
      <c r="K4" s="13">
        <f t="shared" si="6"/>
        <v>4.4747730348077351E-2</v>
      </c>
      <c r="L4" s="13">
        <f t="shared" si="7"/>
        <v>79.294849702292808</v>
      </c>
      <c r="M4" s="13">
        <f t="shared" si="8"/>
        <v>2.5076645390692044E-3</v>
      </c>
      <c r="N4" s="13">
        <f t="shared" si="9"/>
        <v>2.8274715870381772E-2</v>
      </c>
      <c r="O4" s="13">
        <f t="shared" si="10"/>
        <v>80.058861871795699</v>
      </c>
      <c r="P4" s="13">
        <f t="shared" si="11"/>
        <v>2.86663092458934E-2</v>
      </c>
      <c r="Q4" s="38">
        <v>630.04200000000003</v>
      </c>
      <c r="R4" s="38">
        <v>-428.93299999999999</v>
      </c>
      <c r="S4" s="38">
        <v>629.89200000000005</v>
      </c>
      <c r="T4" s="38">
        <v>-451.524</v>
      </c>
      <c r="U4" s="38">
        <v>603.08299999999997</v>
      </c>
      <c r="V4" s="38">
        <v>-428.63200000000001</v>
      </c>
      <c r="W4" s="38">
        <v>602.33000000000004</v>
      </c>
      <c r="X4" s="38">
        <v>-451.524</v>
      </c>
      <c r="Y4" s="38">
        <v>616.33699999999999</v>
      </c>
      <c r="Z4" s="38">
        <v>-440.37900000000002</v>
      </c>
      <c r="AA4" s="38">
        <v>616.30700000000002</v>
      </c>
      <c r="AB4" s="38">
        <v>-441.33199999999999</v>
      </c>
      <c r="AC4" s="38">
        <v>616.35699999999997</v>
      </c>
      <c r="AD4" s="38">
        <v>-439.32900000000001</v>
      </c>
      <c r="AE4" s="14" t="s">
        <v>213</v>
      </c>
      <c r="AF4" s="14" t="s">
        <v>212</v>
      </c>
      <c r="AG4" s="14" t="s">
        <v>222</v>
      </c>
      <c r="AH4" s="14" t="s">
        <v>222</v>
      </c>
      <c r="AI4" s="51" t="s">
        <v>223</v>
      </c>
      <c r="AJ4" s="51">
        <v>2.4456106663366697E-4</v>
      </c>
      <c r="AK4" s="51">
        <v>2.4114369729997401E-4</v>
      </c>
      <c r="AL4" s="51">
        <v>2.22732223947018E-4</v>
      </c>
      <c r="AM4" s="51">
        <v>2.20012111509851E-4</v>
      </c>
      <c r="AN4" s="51">
        <v>0.91155032508052203</v>
      </c>
    </row>
    <row r="5" spans="1:40" x14ac:dyDescent="0.35">
      <c r="A5" s="37" t="s">
        <v>106</v>
      </c>
      <c r="B5" s="14">
        <v>1</v>
      </c>
      <c r="C5" s="37">
        <v>70</v>
      </c>
      <c r="D5" s="14">
        <v>799</v>
      </c>
      <c r="E5" s="12">
        <f t="shared" si="0"/>
        <v>36.578210453766097</v>
      </c>
      <c r="F5" s="12">
        <f t="shared" si="1"/>
        <v>1.3364271258422826</v>
      </c>
      <c r="G5" s="12">
        <f t="shared" si="2"/>
        <v>0.75499999999999545</v>
      </c>
      <c r="H5" s="12">
        <f t="shared" si="3"/>
        <v>22.214768466045257</v>
      </c>
      <c r="I5" s="12">
        <f t="shared" si="4"/>
        <v>1.3638754691768002</v>
      </c>
      <c r="J5" s="12">
        <f t="shared" si="5"/>
        <v>23.353612076079365</v>
      </c>
      <c r="K5" s="13">
        <f t="shared" si="6"/>
        <v>4.5779988052272964E-2</v>
      </c>
      <c r="L5" s="13">
        <f t="shared" si="7"/>
        <v>76.571633937561742</v>
      </c>
      <c r="M5" s="13">
        <f t="shared" si="8"/>
        <v>9.4493116395493804E-4</v>
      </c>
      <c r="N5" s="13">
        <f t="shared" si="9"/>
        <v>2.780321460080758E-2</v>
      </c>
      <c r="O5" s="13">
        <f t="shared" si="10"/>
        <v>78.144308165255651</v>
      </c>
      <c r="P5" s="13">
        <f t="shared" si="11"/>
        <v>2.922855078357868E-2</v>
      </c>
      <c r="Q5" s="38">
        <v>691.99800000000005</v>
      </c>
      <c r="R5" s="38">
        <v>-429.33100000000002</v>
      </c>
      <c r="S5" s="38">
        <v>692.721</v>
      </c>
      <c r="T5" s="38">
        <v>-451.53399999999999</v>
      </c>
      <c r="U5" s="38">
        <v>664.322</v>
      </c>
      <c r="V5" s="38">
        <v>-428.91800000000001</v>
      </c>
      <c r="W5" s="38">
        <v>663.49599999999998</v>
      </c>
      <c r="X5" s="38">
        <v>-452.25700000000001</v>
      </c>
      <c r="Y5" s="38">
        <v>678.29</v>
      </c>
      <c r="Z5" s="38">
        <v>-440.64</v>
      </c>
      <c r="AA5" s="38">
        <v>678.32600000000002</v>
      </c>
      <c r="AB5" s="38">
        <v>-440.99900000000002</v>
      </c>
      <c r="AC5" s="38">
        <v>678.32600000000002</v>
      </c>
      <c r="AD5" s="38">
        <v>-440.24400000000003</v>
      </c>
      <c r="AE5" s="14" t="s">
        <v>213</v>
      </c>
      <c r="AF5" s="14" t="s">
        <v>212</v>
      </c>
      <c r="AG5" s="14" t="s">
        <v>222</v>
      </c>
      <c r="AH5" s="14" t="s">
        <v>222</v>
      </c>
      <c r="AI5" s="51" t="s">
        <v>223</v>
      </c>
      <c r="AJ5" s="51">
        <v>2.6290804995606198E-4</v>
      </c>
      <c r="AK5" s="51">
        <v>2.4477963771986702E-4</v>
      </c>
      <c r="AL5" s="51">
        <v>2.4097293393964101E-4</v>
      </c>
      <c r="AM5" s="51">
        <v>2.49289208506879E-4</v>
      </c>
      <c r="AN5" s="51">
        <v>0.96567664402266895</v>
      </c>
    </row>
    <row r="6" spans="1:40" x14ac:dyDescent="0.35">
      <c r="A6" s="37" t="s">
        <v>106</v>
      </c>
      <c r="B6" s="14">
        <v>1</v>
      </c>
      <c r="C6" s="37">
        <v>80</v>
      </c>
      <c r="D6" s="14">
        <v>799</v>
      </c>
      <c r="E6" s="12">
        <f t="shared" si="0"/>
        <v>35.14583322386882</v>
      </c>
      <c r="F6" s="12">
        <f t="shared" si="1"/>
        <v>1.3202881078041027</v>
      </c>
      <c r="G6" s="12">
        <f t="shared" si="2"/>
        <v>0.54048959286930143</v>
      </c>
      <c r="H6" s="12">
        <f t="shared" si="3"/>
        <v>22.199564072296525</v>
      </c>
      <c r="I6" s="12">
        <f t="shared" si="4"/>
        <v>1.2662938705494104</v>
      </c>
      <c r="J6" s="12">
        <f t="shared" si="5"/>
        <v>20.944703889050309</v>
      </c>
      <c r="K6" s="13">
        <f t="shared" si="6"/>
        <v>4.3987275624366481E-2</v>
      </c>
      <c r="L6" s="13">
        <f t="shared" si="7"/>
        <v>75.646936318488528</v>
      </c>
      <c r="M6" s="13">
        <f t="shared" si="8"/>
        <v>6.7645756304042732E-4</v>
      </c>
      <c r="N6" s="13">
        <f t="shared" si="9"/>
        <v>2.7784185322023185E-2</v>
      </c>
      <c r="O6" s="13">
        <f t="shared" si="10"/>
        <v>72.553294405766621</v>
      </c>
      <c r="P6" s="13">
        <f t="shared" si="11"/>
        <v>2.6213646919962839E-2</v>
      </c>
      <c r="Q6" s="38">
        <v>786.58</v>
      </c>
      <c r="R6" s="38">
        <v>-425.56400000000002</v>
      </c>
      <c r="S6" s="38">
        <v>788.65899999999999</v>
      </c>
      <c r="T6" s="38">
        <v>-447.666</v>
      </c>
      <c r="U6" s="38">
        <v>758.02300000000002</v>
      </c>
      <c r="V6" s="38">
        <v>-427.971</v>
      </c>
      <c r="W6" s="38">
        <v>760.21199999999999</v>
      </c>
      <c r="X6" s="38">
        <v>-448.80099999999999</v>
      </c>
      <c r="Y6" s="38">
        <v>773.34100000000001</v>
      </c>
      <c r="Z6" s="38">
        <v>-437.27199999999999</v>
      </c>
      <c r="AA6" s="38">
        <v>773.25199999999995</v>
      </c>
      <c r="AB6" s="38">
        <v>-437.52600000000001</v>
      </c>
      <c r="AC6" s="38">
        <v>773.27499999999998</v>
      </c>
      <c r="AD6" s="38">
        <v>-436.98599999999999</v>
      </c>
      <c r="AE6" s="14" t="s">
        <v>213</v>
      </c>
      <c r="AF6" s="14" t="s">
        <v>212</v>
      </c>
      <c r="AG6" s="14" t="s">
        <v>222</v>
      </c>
      <c r="AH6" s="14" t="s">
        <v>222</v>
      </c>
      <c r="AI6" s="51" t="s">
        <v>223</v>
      </c>
      <c r="AJ6" s="51">
        <v>2.3395487397419499E-4</v>
      </c>
      <c r="AK6" s="51">
        <v>2.4823685269916501E-4</v>
      </c>
      <c r="AL6" s="51">
        <v>2.3038256440701001E-4</v>
      </c>
      <c r="AM6" s="51">
        <v>2.39613914295247E-4</v>
      </c>
      <c r="AN6" s="51">
        <v>0.97470871585616303</v>
      </c>
    </row>
    <row r="7" spans="1:40" x14ac:dyDescent="0.35">
      <c r="A7" s="37" t="s">
        <v>106</v>
      </c>
      <c r="B7" s="14">
        <v>1</v>
      </c>
      <c r="C7" s="37">
        <v>90</v>
      </c>
      <c r="D7" s="14">
        <v>799</v>
      </c>
      <c r="E7" s="12">
        <f t="shared" si="0"/>
        <v>32.778378620670082</v>
      </c>
      <c r="F7" s="12">
        <f t="shared" si="1"/>
        <v>1.3054325627195749</v>
      </c>
      <c r="G7" s="12">
        <f t="shared" si="2"/>
        <v>0.49336598991012265</v>
      </c>
      <c r="H7" s="12">
        <f t="shared" si="3"/>
        <v>19.443899660304822</v>
      </c>
      <c r="I7" s="12">
        <f t="shared" si="4"/>
        <v>1.2835821591114949</v>
      </c>
      <c r="J7" s="12">
        <f t="shared" si="5"/>
        <v>20.329389489111556</v>
      </c>
      <c r="K7" s="13">
        <f t="shared" si="6"/>
        <v>4.1024253592828637E-2</v>
      </c>
      <c r="L7" s="13">
        <f t="shared" si="7"/>
        <v>74.795776282778775</v>
      </c>
      <c r="M7" s="13">
        <f t="shared" si="8"/>
        <v>6.1747933655835127E-4</v>
      </c>
      <c r="N7" s="13">
        <f t="shared" si="9"/>
        <v>2.4335293692496648E-2</v>
      </c>
      <c r="O7" s="13">
        <f t="shared" si="10"/>
        <v>73.543840375378366</v>
      </c>
      <c r="P7" s="13">
        <f t="shared" si="11"/>
        <v>2.5443541287999444E-2</v>
      </c>
      <c r="Q7" s="38">
        <v>848.34199999999998</v>
      </c>
      <c r="R7" s="38">
        <v>-423.48399999999998</v>
      </c>
      <c r="S7" s="38">
        <v>850.48900000000003</v>
      </c>
      <c r="T7" s="38">
        <v>-442.80900000000003</v>
      </c>
      <c r="U7" s="38">
        <v>822.67200000000003</v>
      </c>
      <c r="V7" s="38">
        <v>-424.85</v>
      </c>
      <c r="W7" s="38">
        <v>823.74599999999998</v>
      </c>
      <c r="X7" s="38">
        <v>-445.15100000000001</v>
      </c>
      <c r="Y7" s="38">
        <v>836.80600000000004</v>
      </c>
      <c r="Z7" s="38">
        <v>-434.79</v>
      </c>
      <c r="AA7" s="38">
        <v>836.78700000000003</v>
      </c>
      <c r="AB7" s="38">
        <v>-435.03699999999998</v>
      </c>
      <c r="AC7" s="38">
        <v>836.76800000000003</v>
      </c>
      <c r="AD7" s="38">
        <v>-434.54399999999998</v>
      </c>
      <c r="AE7" s="14" t="s">
        <v>213</v>
      </c>
      <c r="AF7" s="14" t="s">
        <v>212</v>
      </c>
      <c r="AG7" s="14" t="s">
        <v>222</v>
      </c>
      <c r="AH7" s="14" t="s">
        <v>222</v>
      </c>
      <c r="AI7" s="51" t="s">
        <v>223</v>
      </c>
      <c r="AJ7" s="51">
        <v>2.1636774848410401E-4</v>
      </c>
      <c r="AK7" s="51">
        <v>1.9361434427577699E-4</v>
      </c>
      <c r="AL7" s="51">
        <v>2.09977832114924E-4</v>
      </c>
      <c r="AM7" s="51">
        <v>1.8792003771924001E-4</v>
      </c>
      <c r="AN7" s="51">
        <v>0.97052499819109495</v>
      </c>
    </row>
    <row r="8" spans="1:40" x14ac:dyDescent="0.35">
      <c r="A8" s="38" t="s">
        <v>107</v>
      </c>
      <c r="B8" s="39">
        <v>1</v>
      </c>
      <c r="C8" s="38">
        <v>30</v>
      </c>
      <c r="D8" s="14">
        <v>1438</v>
      </c>
      <c r="E8" s="12">
        <f t="shared" ref="E8:E14" si="12">DIST2(Q8,R8,W8,X8)</f>
        <v>11.820028087953055</v>
      </c>
      <c r="F8" s="12">
        <f t="shared" si="1"/>
        <v>2.3407176167868839</v>
      </c>
      <c r="G8" s="12">
        <f t="shared" ref="G8:G14" si="13">DIST2(AA8,AB8,AC8,AD8)</f>
        <v>3.6804890979325076</v>
      </c>
      <c r="H8" s="12">
        <f t="shared" ref="H8:H14" si="14">DIST2(Q8,R8,S8,T8)</f>
        <v>33.404224598095361</v>
      </c>
      <c r="I8" s="12">
        <f t="shared" si="4"/>
        <v>2.499107575409325</v>
      </c>
      <c r="J8" s="12">
        <f t="shared" ref="J8:J14" si="15">DIST2(U8,V8,W8,X8)</f>
        <v>32.273768047750494</v>
      </c>
      <c r="K8" s="13">
        <f t="shared" ref="K8:K14" si="16">E8/D8</f>
        <v>8.2197691849464922E-3</v>
      </c>
      <c r="L8" s="13">
        <f t="shared" ref="L8:L14" si="17">F8*180/PI()</f>
        <v>134.11324047380884</v>
      </c>
      <c r="M8" s="13">
        <f t="shared" ref="M8:M14" si="18">G8/D8</f>
        <v>2.5594499985622443E-3</v>
      </c>
      <c r="N8" s="13">
        <f t="shared" ref="N8:N14" si="19">H8/D8</f>
        <v>2.322964158421096E-2</v>
      </c>
      <c r="O8" s="13">
        <f t="shared" ref="O8:O14" si="20">I8*180/PI()</f>
        <v>143.18831662012644</v>
      </c>
      <c r="P8" s="13">
        <f t="shared" ref="P8:P14" si="21">J8/D8</f>
        <v>2.2443510464360567E-2</v>
      </c>
      <c r="Q8" s="38">
        <v>1338.89</v>
      </c>
      <c r="R8" s="38">
        <v>-155.833</v>
      </c>
      <c r="S8" s="38">
        <v>1341.98</v>
      </c>
      <c r="T8" s="38">
        <v>-122.572</v>
      </c>
      <c r="U8" s="38">
        <v>1354.89</v>
      </c>
      <c r="V8" s="38">
        <v>-124.67700000000001</v>
      </c>
      <c r="W8" s="38">
        <v>1350.68</v>
      </c>
      <c r="X8" s="38">
        <v>-156.67500000000001</v>
      </c>
      <c r="Y8" s="38">
        <v>1347.47</v>
      </c>
      <c r="Z8" s="38">
        <v>-139.90799999999999</v>
      </c>
      <c r="AA8" s="38">
        <v>1347.59</v>
      </c>
      <c r="AB8" s="38">
        <v>-141.68700000000001</v>
      </c>
      <c r="AC8" s="38">
        <v>1347.53</v>
      </c>
      <c r="AD8" s="38">
        <v>-138.00700000000001</v>
      </c>
      <c r="AE8" s="14" t="s">
        <v>215</v>
      </c>
      <c r="AF8" s="14" t="s">
        <v>214</v>
      </c>
      <c r="AG8" s="14" t="s">
        <v>223</v>
      </c>
      <c r="AH8" s="14" t="s">
        <v>223</v>
      </c>
      <c r="AI8" s="51" t="s">
        <v>223</v>
      </c>
      <c r="AJ8" s="55">
        <v>4.1904188613841699E-5</v>
      </c>
      <c r="AK8" s="55">
        <v>5.7105644816533301E-5</v>
      </c>
      <c r="AL8" s="55">
        <v>3.8755728188402796E-6</v>
      </c>
      <c r="AM8" s="55">
        <v>6.0491337837853601E-6</v>
      </c>
      <c r="AN8" s="51">
        <v>0.100239605085336</v>
      </c>
    </row>
    <row r="9" spans="1:40" x14ac:dyDescent="0.35">
      <c r="A9" s="38" t="s">
        <v>107</v>
      </c>
      <c r="B9" s="14">
        <v>1</v>
      </c>
      <c r="C9" s="38">
        <v>40</v>
      </c>
      <c r="D9" s="14">
        <v>1438</v>
      </c>
      <c r="E9" s="12">
        <f t="shared" si="12"/>
        <v>31.815223777305086</v>
      </c>
      <c r="F9" s="12">
        <f t="shared" si="1"/>
        <v>2.2046293842271849</v>
      </c>
      <c r="G9" s="12">
        <f t="shared" si="13"/>
        <v>5.8884109910908711</v>
      </c>
      <c r="H9" s="12">
        <f t="shared" si="14"/>
        <v>28.628780431586669</v>
      </c>
      <c r="I9" s="12">
        <f t="shared" si="4"/>
        <v>2.3807430686504922</v>
      </c>
      <c r="J9" s="12">
        <f t="shared" si="15"/>
        <v>29.078385443487072</v>
      </c>
      <c r="K9" s="13">
        <f t="shared" si="16"/>
        <v>2.2124634059322034E-2</v>
      </c>
      <c r="L9" s="13">
        <f t="shared" si="17"/>
        <v>126.31595910674324</v>
      </c>
      <c r="M9" s="13">
        <f t="shared" si="18"/>
        <v>4.0948616071563772E-3</v>
      </c>
      <c r="N9" s="13">
        <f t="shared" si="19"/>
        <v>1.9908748561604083E-2</v>
      </c>
      <c r="O9" s="13">
        <f t="shared" si="20"/>
        <v>136.40652993869762</v>
      </c>
      <c r="P9" s="13">
        <f t="shared" si="21"/>
        <v>2.0221408514246919E-2</v>
      </c>
      <c r="Q9" s="38">
        <v>1205.51</v>
      </c>
      <c r="R9" s="38">
        <v>-113.444</v>
      </c>
      <c r="S9" s="38">
        <v>1200.5</v>
      </c>
      <c r="T9" s="38">
        <v>-141.631</v>
      </c>
      <c r="U9" s="38">
        <v>1216.98</v>
      </c>
      <c r="V9" s="38">
        <v>-114.956</v>
      </c>
      <c r="W9" s="38">
        <v>1214.5899999999999</v>
      </c>
      <c r="X9" s="38">
        <v>-143.93600000000001</v>
      </c>
      <c r="Y9" s="38">
        <v>1209.94</v>
      </c>
      <c r="Z9" s="38">
        <v>-129.761</v>
      </c>
      <c r="AA9" s="38">
        <v>1209.76</v>
      </c>
      <c r="AB9" s="38">
        <v>-132.56399999999999</v>
      </c>
      <c r="AC9" s="38">
        <v>1210.1099999999999</v>
      </c>
      <c r="AD9" s="38">
        <v>-126.68600000000001</v>
      </c>
      <c r="AE9" s="14" t="s">
        <v>215</v>
      </c>
      <c r="AF9" s="14" t="s">
        <v>214</v>
      </c>
      <c r="AG9" s="14" t="s">
        <v>223</v>
      </c>
      <c r="AH9" s="14" t="s">
        <v>223</v>
      </c>
      <c r="AI9" s="51" t="s">
        <v>223</v>
      </c>
      <c r="AJ9" s="55">
        <v>4.07756218554198E-5</v>
      </c>
      <c r="AK9" s="55">
        <v>4.9959421503750198E-5</v>
      </c>
      <c r="AL9" s="55">
        <v>3.5043876617385198E-5</v>
      </c>
      <c r="AM9" s="55">
        <v>3.6051638808343202E-5</v>
      </c>
      <c r="AN9" s="51">
        <v>0.78355079574162401</v>
      </c>
    </row>
    <row r="10" spans="1:40" x14ac:dyDescent="0.35">
      <c r="A10" s="38" t="s">
        <v>107</v>
      </c>
      <c r="B10" s="14">
        <v>1</v>
      </c>
      <c r="C10" s="38">
        <v>50</v>
      </c>
      <c r="D10" s="14">
        <v>1438</v>
      </c>
      <c r="E10" s="12">
        <f t="shared" si="12"/>
        <v>15.622869646771171</v>
      </c>
      <c r="F10" s="12">
        <f t="shared" si="1"/>
        <v>2.0667865039651656</v>
      </c>
      <c r="G10" s="12">
        <f t="shared" si="13"/>
        <v>7.0600000000000023</v>
      </c>
      <c r="H10" s="12">
        <f t="shared" si="14"/>
        <v>28.200611411811636</v>
      </c>
      <c r="I10" s="12">
        <f t="shared" si="4"/>
        <v>2.2202557336998803</v>
      </c>
      <c r="J10" s="12">
        <f t="shared" si="15"/>
        <v>28.570213579880701</v>
      </c>
      <c r="K10" s="13">
        <f t="shared" si="16"/>
        <v>1.0864304344068964E-2</v>
      </c>
      <c r="L10" s="13">
        <f t="shared" si="17"/>
        <v>118.41814383180238</v>
      </c>
      <c r="M10" s="13">
        <f t="shared" si="18"/>
        <v>4.9095966620306001E-3</v>
      </c>
      <c r="N10" s="13">
        <f t="shared" si="19"/>
        <v>1.9610995418506007E-2</v>
      </c>
      <c r="O10" s="13">
        <f t="shared" si="20"/>
        <v>127.21128298072516</v>
      </c>
      <c r="P10" s="13">
        <f t="shared" si="21"/>
        <v>1.9868020570153477E-2</v>
      </c>
      <c r="Q10" s="38">
        <v>1054.07</v>
      </c>
      <c r="R10" s="38">
        <v>-137.60900000000001</v>
      </c>
      <c r="S10" s="38">
        <v>1055.3399999999999</v>
      </c>
      <c r="T10" s="38">
        <v>-109.437</v>
      </c>
      <c r="U10" s="38">
        <v>1070.7</v>
      </c>
      <c r="V10" s="38">
        <v>-109.691</v>
      </c>
      <c r="W10" s="38">
        <v>1069.68</v>
      </c>
      <c r="X10" s="38">
        <v>-138.24299999999999</v>
      </c>
      <c r="Y10" s="38">
        <v>1063.0999999999999</v>
      </c>
      <c r="Z10" s="38">
        <v>-123.877</v>
      </c>
      <c r="AA10" s="38">
        <v>1063.24</v>
      </c>
      <c r="AB10" s="38">
        <v>-127.15</v>
      </c>
      <c r="AC10" s="38">
        <v>1063.24</v>
      </c>
      <c r="AD10" s="38">
        <v>-120.09</v>
      </c>
      <c r="AE10" s="14" t="s">
        <v>215</v>
      </c>
      <c r="AF10" s="14" t="s">
        <v>214</v>
      </c>
      <c r="AG10" s="14" t="s">
        <v>223</v>
      </c>
      <c r="AH10" s="14" t="s">
        <v>223</v>
      </c>
      <c r="AI10" s="51" t="s">
        <v>223</v>
      </c>
      <c r="AJ10" s="55">
        <v>4.8970202781255302E-5</v>
      </c>
      <c r="AK10" s="55">
        <v>5.7294824948110098E-5</v>
      </c>
      <c r="AL10" s="55">
        <v>8.5434176852799206E-6</v>
      </c>
      <c r="AM10" s="55">
        <v>6.3924116132551802E-6</v>
      </c>
      <c r="AN10" s="51">
        <v>0.140552631638826</v>
      </c>
    </row>
    <row r="11" spans="1:40" x14ac:dyDescent="0.35">
      <c r="A11" s="38" t="s">
        <v>107</v>
      </c>
      <c r="B11" s="14">
        <v>1</v>
      </c>
      <c r="C11" s="38">
        <v>60</v>
      </c>
      <c r="D11" s="14">
        <v>1438</v>
      </c>
      <c r="E11" s="12">
        <f t="shared" si="12"/>
        <v>32.092334801319772</v>
      </c>
      <c r="F11" s="12">
        <f t="shared" si="1"/>
        <v>2.0514934502467148</v>
      </c>
      <c r="G11" s="12">
        <f t="shared" si="13"/>
        <v>7.5671643962583426</v>
      </c>
      <c r="H11" s="12">
        <f t="shared" si="14"/>
        <v>27.468262121947216</v>
      </c>
      <c r="I11" s="12">
        <f t="shared" si="4"/>
        <v>2.1186701967209136</v>
      </c>
      <c r="J11" s="12">
        <f t="shared" si="15"/>
        <v>28.08877042520729</v>
      </c>
      <c r="K11" s="13">
        <f t="shared" si="16"/>
        <v>2.2317339917468548E-2</v>
      </c>
      <c r="L11" s="13">
        <f t="shared" si="17"/>
        <v>117.54191639786828</v>
      </c>
      <c r="M11" s="13">
        <f t="shared" si="18"/>
        <v>5.2622840029612952E-3</v>
      </c>
      <c r="N11" s="13">
        <f t="shared" si="19"/>
        <v>1.9101712184942433E-2</v>
      </c>
      <c r="O11" s="13">
        <f t="shared" si="20"/>
        <v>121.39086045226021</v>
      </c>
      <c r="P11" s="13">
        <f t="shared" si="21"/>
        <v>1.9533220045345821E-2</v>
      </c>
      <c r="Q11" s="38">
        <v>911.87199999999996</v>
      </c>
      <c r="R11" s="38">
        <v>-109.3</v>
      </c>
      <c r="S11" s="38">
        <v>911.99199999999996</v>
      </c>
      <c r="T11" s="38">
        <v>-136.768</v>
      </c>
      <c r="U11" s="38">
        <v>927.58500000000004</v>
      </c>
      <c r="V11" s="38">
        <v>-108.58</v>
      </c>
      <c r="W11" s="38">
        <v>928.66499999999996</v>
      </c>
      <c r="X11" s="38">
        <v>-136.648</v>
      </c>
      <c r="Y11" s="38">
        <v>920.25900000000001</v>
      </c>
      <c r="Z11" s="38">
        <v>-123.157</v>
      </c>
      <c r="AA11" s="38">
        <v>920.46900000000005</v>
      </c>
      <c r="AB11" s="38">
        <v>-126.72199999999999</v>
      </c>
      <c r="AC11" s="38">
        <v>919.94500000000005</v>
      </c>
      <c r="AD11" s="38">
        <v>-119.173</v>
      </c>
      <c r="AE11" s="14" t="s">
        <v>215</v>
      </c>
      <c r="AF11" s="14" t="s">
        <v>214</v>
      </c>
      <c r="AG11" s="14" t="s">
        <v>223</v>
      </c>
      <c r="AH11" s="14" t="s">
        <v>223</v>
      </c>
      <c r="AI11" s="51" t="s">
        <v>223</v>
      </c>
      <c r="AJ11" s="55">
        <v>5.3526602587042197E-5</v>
      </c>
      <c r="AK11" s="55">
        <v>5.5301868999789497E-5</v>
      </c>
      <c r="AL11" s="55">
        <v>3.89166225788795E-5</v>
      </c>
      <c r="AM11" s="55">
        <v>4.0254419095444402E-5</v>
      </c>
      <c r="AN11" s="51">
        <v>0.72748464183984296</v>
      </c>
    </row>
    <row r="12" spans="1:40" x14ac:dyDescent="0.35">
      <c r="A12" s="38" t="s">
        <v>107</v>
      </c>
      <c r="B12" s="14">
        <v>1</v>
      </c>
      <c r="C12" s="38">
        <v>70</v>
      </c>
      <c r="D12" s="14">
        <v>1438</v>
      </c>
      <c r="E12" s="12">
        <f t="shared" si="12"/>
        <v>31.096986365241246</v>
      </c>
      <c r="F12" s="12">
        <f t="shared" si="1"/>
        <v>2.0057546460336195</v>
      </c>
      <c r="G12" s="12">
        <f t="shared" si="13"/>
        <v>9.0948084091969594</v>
      </c>
      <c r="H12" s="12">
        <f t="shared" si="14"/>
        <v>26.003795972895947</v>
      </c>
      <c r="I12" s="12">
        <f t="shared" si="4"/>
        <v>2.0803707355961483</v>
      </c>
      <c r="J12" s="12">
        <f t="shared" si="15"/>
        <v>27.094223295750709</v>
      </c>
      <c r="K12" s="13">
        <f t="shared" si="16"/>
        <v>2.1625164370821452E-2</v>
      </c>
      <c r="L12" s="13">
        <f t="shared" si="17"/>
        <v>114.92127595648275</v>
      </c>
      <c r="M12" s="13">
        <f t="shared" si="18"/>
        <v>6.3246233721814737E-3</v>
      </c>
      <c r="N12" s="13">
        <f t="shared" si="19"/>
        <v>1.8083307352500657E-2</v>
      </c>
      <c r="O12" s="13">
        <f t="shared" si="20"/>
        <v>119.19646297218578</v>
      </c>
      <c r="P12" s="13">
        <f t="shared" si="21"/>
        <v>1.8841601735570729E-2</v>
      </c>
      <c r="Q12" s="38">
        <v>762.495</v>
      </c>
      <c r="R12" s="38">
        <v>-113.149</v>
      </c>
      <c r="S12" s="38">
        <v>761.94600000000003</v>
      </c>
      <c r="T12" s="38">
        <v>-139.14699999999999</v>
      </c>
      <c r="U12" s="38">
        <v>778.4</v>
      </c>
      <c r="V12" s="38">
        <v>-112.711</v>
      </c>
      <c r="W12" s="38">
        <v>778.51</v>
      </c>
      <c r="X12" s="38">
        <v>-139.80500000000001</v>
      </c>
      <c r="Y12" s="38">
        <v>770.50900000000001</v>
      </c>
      <c r="Z12" s="38">
        <v>-126.515</v>
      </c>
      <c r="AA12" s="38">
        <v>770.67899999999997</v>
      </c>
      <c r="AB12" s="38">
        <v>-130.80699999999999</v>
      </c>
      <c r="AC12" s="38">
        <v>770.45299999999997</v>
      </c>
      <c r="AD12" s="38">
        <v>-121.715</v>
      </c>
      <c r="AE12" s="14" t="s">
        <v>215</v>
      </c>
      <c r="AF12" s="14" t="s">
        <v>214</v>
      </c>
      <c r="AG12" s="14" t="s">
        <v>223</v>
      </c>
      <c r="AH12" s="14" t="s">
        <v>223</v>
      </c>
      <c r="AI12" s="51" t="s">
        <v>223</v>
      </c>
      <c r="AJ12" s="55">
        <v>5.20632102808527E-5</v>
      </c>
      <c r="AK12" s="55">
        <v>5.2152364008116602E-5</v>
      </c>
      <c r="AL12" s="55">
        <v>3.3785874079475997E-5</v>
      </c>
      <c r="AM12" s="55">
        <v>3.47922942929931E-5</v>
      </c>
      <c r="AN12" s="51">
        <v>0.65804145724241903</v>
      </c>
    </row>
    <row r="13" spans="1:40" x14ac:dyDescent="0.35">
      <c r="A13" s="38" t="s">
        <v>107</v>
      </c>
      <c r="B13" s="14">
        <v>1</v>
      </c>
      <c r="C13" s="38">
        <v>80</v>
      </c>
      <c r="D13" s="14">
        <v>1438</v>
      </c>
      <c r="E13" s="12">
        <f t="shared" si="12"/>
        <v>24.327088646198515</v>
      </c>
      <c r="F13" s="12">
        <f t="shared" si="1"/>
        <v>2.4690324463493041</v>
      </c>
      <c r="G13" s="12">
        <f t="shared" si="13"/>
        <v>10.111723987530505</v>
      </c>
      <c r="H13" s="12">
        <f t="shared" si="14"/>
        <v>22.445864518881876</v>
      </c>
      <c r="I13" s="12">
        <f t="shared" si="4"/>
        <v>2.4744384673170838</v>
      </c>
      <c r="J13" s="12">
        <f t="shared" si="15"/>
        <v>23.840045385862837</v>
      </c>
      <c r="K13" s="13">
        <f t="shared" si="16"/>
        <v>1.6917307820722195E-2</v>
      </c>
      <c r="L13" s="13">
        <f t="shared" si="17"/>
        <v>141.46513865667598</v>
      </c>
      <c r="M13" s="13">
        <f t="shared" si="18"/>
        <v>7.0317969315232993E-3</v>
      </c>
      <c r="N13" s="13">
        <f t="shared" si="19"/>
        <v>1.560908520089143E-2</v>
      </c>
      <c r="O13" s="13">
        <f t="shared" si="20"/>
        <v>141.77488084208898</v>
      </c>
      <c r="P13" s="13">
        <f t="shared" si="21"/>
        <v>1.6578612924800305E-2</v>
      </c>
      <c r="Q13" s="38">
        <v>624.74599999999998</v>
      </c>
      <c r="R13" s="38">
        <v>-115.449</v>
      </c>
      <c r="S13" s="38">
        <v>624.94299999999998</v>
      </c>
      <c r="T13" s="38">
        <v>-137.89400000000001</v>
      </c>
      <c r="U13" s="38">
        <v>633.24900000000002</v>
      </c>
      <c r="V13" s="38">
        <v>-114.658</v>
      </c>
      <c r="W13" s="38">
        <v>632.55700000000002</v>
      </c>
      <c r="X13" s="38">
        <v>-138.488</v>
      </c>
      <c r="Y13" s="38">
        <v>628.76800000000003</v>
      </c>
      <c r="Z13" s="38">
        <v>-126.736</v>
      </c>
      <c r="AA13" s="38">
        <v>628.70699999999999</v>
      </c>
      <c r="AB13" s="38">
        <v>-131.55099999999999</v>
      </c>
      <c r="AC13" s="38">
        <v>628.82799999999997</v>
      </c>
      <c r="AD13" s="38">
        <v>-121.44</v>
      </c>
      <c r="AE13" s="14" t="s">
        <v>215</v>
      </c>
      <c r="AF13" s="14" t="s">
        <v>214</v>
      </c>
      <c r="AG13" s="14" t="s">
        <v>223</v>
      </c>
      <c r="AH13" s="14" t="s">
        <v>223</v>
      </c>
      <c r="AI13" s="51" t="s">
        <v>223</v>
      </c>
      <c r="AJ13" s="55">
        <v>2.37987618988666E-5</v>
      </c>
      <c r="AK13" s="55">
        <v>2.1290351448175301E-5</v>
      </c>
      <c r="AL13" s="55">
        <v>1.30982644242023E-5</v>
      </c>
      <c r="AM13" s="55">
        <v>1.2218382527889E-5</v>
      </c>
      <c r="AN13" s="51">
        <v>0.56148025704639903</v>
      </c>
    </row>
    <row r="14" spans="1:40" x14ac:dyDescent="0.35">
      <c r="A14" s="38" t="s">
        <v>107</v>
      </c>
      <c r="B14" s="14">
        <v>1</v>
      </c>
      <c r="C14" s="38">
        <v>90</v>
      </c>
      <c r="D14" s="14">
        <v>1438</v>
      </c>
      <c r="E14" s="12">
        <f t="shared" si="12"/>
        <v>20.922038739090421</v>
      </c>
      <c r="F14" s="12">
        <f t="shared" si="1"/>
        <v>2.4507213882302326</v>
      </c>
      <c r="G14" s="12">
        <f t="shared" si="13"/>
        <v>8.5094456341174247</v>
      </c>
      <c r="H14" s="12">
        <f t="shared" si="14"/>
        <v>19.930846469731296</v>
      </c>
      <c r="I14" s="12">
        <f t="shared" si="4"/>
        <v>2.4964794848102061</v>
      </c>
      <c r="J14" s="12">
        <f t="shared" si="15"/>
        <v>20.745321809988869</v>
      </c>
      <c r="K14" s="13">
        <f t="shared" si="16"/>
        <v>1.454940107029932E-2</v>
      </c>
      <c r="L14" s="13">
        <f t="shared" si="17"/>
        <v>140.41599230803445</v>
      </c>
      <c r="M14" s="13">
        <f t="shared" si="18"/>
        <v>5.9175560737951497E-3</v>
      </c>
      <c r="N14" s="13">
        <f t="shared" si="19"/>
        <v>1.3860115764764463E-2</v>
      </c>
      <c r="O14" s="13">
        <f t="shared" si="20"/>
        <v>143.03773812061894</v>
      </c>
      <c r="P14" s="13">
        <f t="shared" si="21"/>
        <v>1.4426510299018685E-2</v>
      </c>
      <c r="Q14" s="38">
        <v>490.964</v>
      </c>
      <c r="R14" s="38">
        <v>-111.291</v>
      </c>
      <c r="S14" s="38">
        <v>489.28500000000003</v>
      </c>
      <c r="T14" s="38">
        <v>-131.15100000000001</v>
      </c>
      <c r="U14" s="38">
        <v>498.17700000000002</v>
      </c>
      <c r="V14" s="38">
        <v>-110.896</v>
      </c>
      <c r="W14" s="38">
        <v>496.20100000000002</v>
      </c>
      <c r="X14" s="38">
        <v>-131.547</v>
      </c>
      <c r="Y14" s="38">
        <v>493.73899999999998</v>
      </c>
      <c r="Z14" s="38">
        <v>-120.88</v>
      </c>
      <c r="AA14" s="38">
        <v>493.80700000000002</v>
      </c>
      <c r="AB14" s="38">
        <v>-124.759</v>
      </c>
      <c r="AC14" s="38">
        <v>494.01100000000002</v>
      </c>
      <c r="AD14" s="38">
        <v>-116.252</v>
      </c>
      <c r="AE14" s="14" t="s">
        <v>215</v>
      </c>
      <c r="AF14" s="14" t="s">
        <v>214</v>
      </c>
      <c r="AG14" s="14" t="s">
        <v>223</v>
      </c>
      <c r="AH14" s="14" t="s">
        <v>223</v>
      </c>
      <c r="AI14" s="51" t="s">
        <v>223</v>
      </c>
      <c r="AJ14" s="55">
        <v>1.73902755720453E-5</v>
      </c>
      <c r="AK14" s="55">
        <v>1.72187628757293E-5</v>
      </c>
      <c r="AL14" s="55">
        <v>8.9434352881552204E-6</v>
      </c>
      <c r="AM14" s="55">
        <v>1.11221600855771E-5</v>
      </c>
      <c r="AN14" s="51">
        <v>0.57977904829720806</v>
      </c>
    </row>
    <row r="15" spans="1:40" x14ac:dyDescent="0.35">
      <c r="A15" s="38" t="s">
        <v>114</v>
      </c>
      <c r="B15" s="14">
        <v>1</v>
      </c>
      <c r="C15" s="38">
        <v>30</v>
      </c>
      <c r="D15" s="14">
        <v>1242.1769999999999</v>
      </c>
      <c r="E15" s="12">
        <f t="shared" ref="E15:E20" si="22">DIST2(Q15,R15,W15,X15)</f>
        <v>45.220249163842524</v>
      </c>
      <c r="F15" s="12">
        <f t="shared" si="1"/>
        <v>1.1126297948450736</v>
      </c>
      <c r="G15" s="12">
        <f t="shared" ref="G15:G20" si="23">DIST2(AA15,AB15,AC15,AD15)</f>
        <v>1.4910241480271227</v>
      </c>
      <c r="H15" s="12">
        <f t="shared" ref="H15:H20" si="24">DIST2(Q15,R15,S15,T15)</f>
        <v>24.916556202653688</v>
      </c>
      <c r="I15" s="12">
        <f t="shared" si="4"/>
        <v>1.3368125113333857</v>
      </c>
      <c r="J15" s="12">
        <f t="shared" ref="J15:J20" si="25">DIST2(U15,V15,W15,X15)</f>
        <v>26.088144269763614</v>
      </c>
      <c r="K15" s="13">
        <f t="shared" ref="K15:K20" si="26">E15/D15</f>
        <v>3.6404030314393626E-2</v>
      </c>
      <c r="L15" s="13">
        <f t="shared" ref="L15:L20" si="27">F15*180/PI()</f>
        <v>63.74899140512936</v>
      </c>
      <c r="M15" s="13">
        <f t="shared" ref="M15:M20" si="28">G15/D15</f>
        <v>1.2003314729117692E-3</v>
      </c>
      <c r="N15" s="13">
        <f t="shared" ref="N15:N20" si="29">H15/D15</f>
        <v>2.0058780836107647E-2</v>
      </c>
      <c r="O15" s="13">
        <f t="shared" ref="O15:O20" si="30">I15*180/PI()</f>
        <v>76.593714899687527</v>
      </c>
      <c r="P15" s="13">
        <f t="shared" ref="P15:P20" si="31">J15/D15</f>
        <v>2.1001954045006158E-2</v>
      </c>
      <c r="Q15" s="38">
        <v>403.80900000000003</v>
      </c>
      <c r="R15" s="38">
        <v>45.5212</v>
      </c>
      <c r="S15" s="38">
        <v>405.786</v>
      </c>
      <c r="T15" s="38">
        <v>20.683199999999999</v>
      </c>
      <c r="U15" s="38">
        <v>367.97300000000001</v>
      </c>
      <c r="V15" s="38">
        <v>42.926200000000001</v>
      </c>
      <c r="W15" s="38">
        <v>368.83800000000002</v>
      </c>
      <c r="X15" s="38">
        <v>16.852399999999999</v>
      </c>
      <c r="Y15" s="38">
        <v>384.81099999999998</v>
      </c>
      <c r="Z15" s="38">
        <v>31.7166</v>
      </c>
      <c r="AA15" s="38">
        <v>384.77699999999999</v>
      </c>
      <c r="AB15" s="38">
        <v>32.492800000000003</v>
      </c>
      <c r="AC15" s="38">
        <v>384.91199999999998</v>
      </c>
      <c r="AD15" s="38">
        <v>31.007899999999999</v>
      </c>
      <c r="AE15" s="14" t="s">
        <v>216</v>
      </c>
      <c r="AF15" s="14" t="s">
        <v>211</v>
      </c>
      <c r="AG15" s="14" t="s">
        <v>222</v>
      </c>
      <c r="AH15" s="14" t="s">
        <v>222</v>
      </c>
      <c r="AI15" s="51" t="s">
        <v>222</v>
      </c>
      <c r="AJ15" s="51">
        <v>1.39122913505231E-4</v>
      </c>
      <c r="AK15" s="51">
        <v>1.6175075225583399E-4</v>
      </c>
      <c r="AL15" s="51">
        <v>1.5264412651922E-4</v>
      </c>
      <c r="AM15" s="51">
        <v>1.67472825316216E-4</v>
      </c>
      <c r="AN15" s="51">
        <v>1.0639580271197699</v>
      </c>
    </row>
    <row r="16" spans="1:40" x14ac:dyDescent="0.35">
      <c r="A16" s="38" t="s">
        <v>114</v>
      </c>
      <c r="B16" s="14">
        <v>1</v>
      </c>
      <c r="C16" s="38">
        <v>40</v>
      </c>
      <c r="D16" s="14">
        <v>1242.1769999999999</v>
      </c>
      <c r="E16" s="12">
        <f t="shared" si="22"/>
        <v>48.944512395568964</v>
      </c>
      <c r="F16" s="12">
        <f t="shared" si="1"/>
        <v>1.0038106290943887</v>
      </c>
      <c r="G16" s="12">
        <f t="shared" si="23"/>
        <v>1.5536310244070197</v>
      </c>
      <c r="H16" s="12">
        <f t="shared" si="24"/>
        <v>23.324666814340567</v>
      </c>
      <c r="I16" s="12">
        <f t="shared" si="4"/>
        <v>1.1107606750123333</v>
      </c>
      <c r="J16" s="12">
        <f t="shared" si="25"/>
        <v>25.010330225728723</v>
      </c>
      <c r="K16" s="13">
        <f t="shared" si="26"/>
        <v>3.9402204674188111E-2</v>
      </c>
      <c r="L16" s="13">
        <f t="shared" si="27"/>
        <v>57.514112477480552</v>
      </c>
      <c r="M16" s="13">
        <f t="shared" si="28"/>
        <v>1.250732403197789E-3</v>
      </c>
      <c r="N16" s="13">
        <f t="shared" si="29"/>
        <v>1.8777248986529754E-2</v>
      </c>
      <c r="O16" s="13">
        <f t="shared" si="30"/>
        <v>63.64189872730914</v>
      </c>
      <c r="P16" s="13">
        <f t="shared" si="31"/>
        <v>2.0134272511670014E-2</v>
      </c>
      <c r="Q16" s="38">
        <v>527.90300000000002</v>
      </c>
      <c r="R16" s="38">
        <v>59.5854</v>
      </c>
      <c r="S16" s="38">
        <v>529.65200000000004</v>
      </c>
      <c r="T16" s="38">
        <v>36.3264</v>
      </c>
      <c r="U16" s="38">
        <v>486.45600000000002</v>
      </c>
      <c r="V16" s="38">
        <v>54.164200000000001</v>
      </c>
      <c r="W16" s="38">
        <v>489.42899999999997</v>
      </c>
      <c r="X16" s="38">
        <v>29.331199999999999</v>
      </c>
      <c r="Y16" s="38">
        <v>507.96600000000001</v>
      </c>
      <c r="Z16" s="38">
        <v>44.021099999999997</v>
      </c>
      <c r="AA16" s="38">
        <v>507.88900000000001</v>
      </c>
      <c r="AB16" s="38">
        <v>44.8108</v>
      </c>
      <c r="AC16" s="38">
        <v>507.98599999999999</v>
      </c>
      <c r="AD16" s="38">
        <v>43.260199999999998</v>
      </c>
      <c r="AE16" s="14" t="s">
        <v>216</v>
      </c>
      <c r="AF16" s="14" t="s">
        <v>211</v>
      </c>
      <c r="AG16" s="14" t="s">
        <v>222</v>
      </c>
      <c r="AH16" s="14" t="s">
        <v>222</v>
      </c>
      <c r="AI16" s="51" t="s">
        <v>222</v>
      </c>
      <c r="AJ16" s="51">
        <v>1.6331859538612099E-4</v>
      </c>
      <c r="AK16" s="51">
        <v>1.59084726729266E-4</v>
      </c>
      <c r="AL16" s="51">
        <v>1.8426933268121399E-4</v>
      </c>
      <c r="AM16" s="51">
        <v>1.5991684239467801E-4</v>
      </c>
      <c r="AN16" s="51">
        <v>1.0675639841971301</v>
      </c>
    </row>
    <row r="17" spans="1:40" x14ac:dyDescent="0.35">
      <c r="A17" s="38" t="s">
        <v>114</v>
      </c>
      <c r="B17" s="14">
        <v>1</v>
      </c>
      <c r="C17" s="38">
        <v>60</v>
      </c>
      <c r="D17" s="14">
        <v>1242.1769999999999</v>
      </c>
      <c r="E17" s="12">
        <f t="shared" si="22"/>
        <v>44.0934554224321</v>
      </c>
      <c r="F17" s="12">
        <f t="shared" si="1"/>
        <v>0.9285380855750347</v>
      </c>
      <c r="G17" s="12">
        <f t="shared" si="23"/>
        <v>1.6516794483191839</v>
      </c>
      <c r="H17" s="12">
        <f t="shared" si="24"/>
        <v>21.462454851437702</v>
      </c>
      <c r="I17" s="12">
        <f t="shared" si="4"/>
        <v>1.3046009232677673</v>
      </c>
      <c r="J17" s="12">
        <f t="shared" si="25"/>
        <v>25.026022512776599</v>
      </c>
      <c r="K17" s="13">
        <f t="shared" si="26"/>
        <v>3.5496918251128544E-2</v>
      </c>
      <c r="L17" s="13">
        <f t="shared" si="27"/>
        <v>53.201313420606752</v>
      </c>
      <c r="M17" s="13">
        <f t="shared" si="28"/>
        <v>1.3296651349358297E-3</v>
      </c>
      <c r="N17" s="13">
        <f t="shared" si="29"/>
        <v>1.7278097124192208E-2</v>
      </c>
      <c r="O17" s="13">
        <f t="shared" si="30"/>
        <v>74.748126852113629</v>
      </c>
      <c r="P17" s="13">
        <f t="shared" si="31"/>
        <v>2.0146905402995387E-2</v>
      </c>
      <c r="Q17" s="38">
        <v>774.69</v>
      </c>
      <c r="R17" s="38">
        <v>74.466800000000006</v>
      </c>
      <c r="S17" s="38">
        <v>766.14599999999996</v>
      </c>
      <c r="T17" s="38">
        <v>54.778300000000002</v>
      </c>
      <c r="U17" s="38">
        <v>739.58500000000004</v>
      </c>
      <c r="V17" s="38">
        <v>90.626199999999997</v>
      </c>
      <c r="W17" s="38">
        <v>731.22699999999998</v>
      </c>
      <c r="X17" s="38">
        <v>67.037099999999995</v>
      </c>
      <c r="Y17" s="38">
        <v>750.447</v>
      </c>
      <c r="Z17" s="38">
        <v>72.364400000000003</v>
      </c>
      <c r="AA17" s="38">
        <v>750.66800000000001</v>
      </c>
      <c r="AB17" s="38">
        <v>73.173299999999998</v>
      </c>
      <c r="AC17" s="38">
        <v>750.19</v>
      </c>
      <c r="AD17" s="38">
        <v>71.592299999999994</v>
      </c>
      <c r="AE17" s="14" t="s">
        <v>216</v>
      </c>
      <c r="AF17" s="14" t="s">
        <v>211</v>
      </c>
      <c r="AG17" s="14" t="s">
        <v>222</v>
      </c>
      <c r="AH17" s="14" t="s">
        <v>222</v>
      </c>
      <c r="AI17" s="51" t="s">
        <v>222</v>
      </c>
      <c r="AJ17" s="51">
        <v>1.32487345551342E-4</v>
      </c>
      <c r="AK17" s="51">
        <v>1.48847796055108E-4</v>
      </c>
      <c r="AL17" s="51">
        <v>1.6098944633640501E-4</v>
      </c>
      <c r="AM17" s="51">
        <v>1.46659822914494E-4</v>
      </c>
      <c r="AN17" s="51">
        <v>1.0935330278833699</v>
      </c>
    </row>
    <row r="18" spans="1:40" x14ac:dyDescent="0.35">
      <c r="A18" s="38" t="s">
        <v>114</v>
      </c>
      <c r="B18" s="14">
        <v>1</v>
      </c>
      <c r="C18" s="38">
        <v>70</v>
      </c>
      <c r="D18" s="14">
        <v>1242.1769999999999</v>
      </c>
      <c r="E18" s="12">
        <f t="shared" si="22"/>
        <v>44.28336618201017</v>
      </c>
      <c r="F18" s="12">
        <f t="shared" si="1"/>
        <v>1.0978102682513036</v>
      </c>
      <c r="G18" s="12">
        <f t="shared" si="23"/>
        <v>1.0149990591128524</v>
      </c>
      <c r="H18" s="12">
        <f t="shared" si="24"/>
        <v>23.468094349906224</v>
      </c>
      <c r="I18" s="12">
        <f t="shared" si="4"/>
        <v>1.1879816343596603</v>
      </c>
      <c r="J18" s="12">
        <f t="shared" si="25"/>
        <v>24.539158148559199</v>
      </c>
      <c r="K18" s="13">
        <f t="shared" si="26"/>
        <v>3.5649803676939901E-2</v>
      </c>
      <c r="L18" s="13">
        <f t="shared" si="27"/>
        <v>62.899895076924444</v>
      </c>
      <c r="M18" s="13">
        <f t="shared" si="28"/>
        <v>8.1711306771325857E-4</v>
      </c>
      <c r="N18" s="13">
        <f t="shared" si="29"/>
        <v>1.8892713638963068E-2</v>
      </c>
      <c r="O18" s="13">
        <f t="shared" si="30"/>
        <v>68.066333787862277</v>
      </c>
      <c r="P18" s="13">
        <f t="shared" si="31"/>
        <v>1.9754960966560483E-2</v>
      </c>
      <c r="Q18" s="38">
        <v>887.47400000000005</v>
      </c>
      <c r="R18" s="38">
        <v>32.572299999999998</v>
      </c>
      <c r="S18" s="38">
        <v>881.33600000000001</v>
      </c>
      <c r="T18" s="38">
        <v>9.9211100000000005</v>
      </c>
      <c r="U18" s="38">
        <v>852.69299999999998</v>
      </c>
      <c r="V18" s="38">
        <v>43.970999999999997</v>
      </c>
      <c r="W18" s="38">
        <v>844.80200000000002</v>
      </c>
      <c r="X18" s="38">
        <v>20.735199999999999</v>
      </c>
      <c r="Y18" s="38">
        <v>866.01700000000005</v>
      </c>
      <c r="Z18" s="38">
        <v>26.712800000000001</v>
      </c>
      <c r="AA18" s="38">
        <v>866.11599999999999</v>
      </c>
      <c r="AB18" s="38">
        <v>27.235399999999998</v>
      </c>
      <c r="AC18" s="38">
        <v>865.91700000000003</v>
      </c>
      <c r="AD18" s="38">
        <v>26.240100000000002</v>
      </c>
      <c r="AE18" s="14" t="s">
        <v>216</v>
      </c>
      <c r="AF18" s="14" t="s">
        <v>211</v>
      </c>
      <c r="AG18" s="14" t="s">
        <v>222</v>
      </c>
      <c r="AH18" s="14" t="s">
        <v>222</v>
      </c>
      <c r="AI18" s="51" t="s">
        <v>222</v>
      </c>
      <c r="AJ18" s="51">
        <v>1.4445145387333001E-4</v>
      </c>
      <c r="AK18" s="51">
        <v>1.4583923973277401E-4</v>
      </c>
      <c r="AL18" s="51">
        <v>1.5099186875009799E-4</v>
      </c>
      <c r="AM18" s="51">
        <v>1.5164248188889799E-4</v>
      </c>
      <c r="AN18" s="51">
        <v>1.04252171118389</v>
      </c>
    </row>
    <row r="19" spans="1:40" x14ac:dyDescent="0.35">
      <c r="A19" s="38" t="s">
        <v>114</v>
      </c>
      <c r="B19" s="14">
        <v>1</v>
      </c>
      <c r="C19" s="38">
        <v>80</v>
      </c>
      <c r="D19" s="14">
        <v>1242.1769999999999</v>
      </c>
      <c r="E19" s="12">
        <f t="shared" si="22"/>
        <v>43.075245564574473</v>
      </c>
      <c r="F19" s="12">
        <f t="shared" si="1"/>
        <v>1.054343101965717</v>
      </c>
      <c r="G19" s="12">
        <f t="shared" si="23"/>
        <v>0.84041526045164283</v>
      </c>
      <c r="H19" s="12">
        <f t="shared" si="24"/>
        <v>21.970019919198982</v>
      </c>
      <c r="I19" s="12">
        <f t="shared" si="4"/>
        <v>1.1771004546575812</v>
      </c>
      <c r="J19" s="12">
        <f t="shared" si="25"/>
        <v>23.314507097865054</v>
      </c>
      <c r="K19" s="13">
        <f t="shared" si="26"/>
        <v>3.4677220367608223E-2</v>
      </c>
      <c r="L19" s="13">
        <f t="shared" si="27"/>
        <v>60.409409901366992</v>
      </c>
      <c r="M19" s="13">
        <f t="shared" si="28"/>
        <v>6.7656643171757562E-4</v>
      </c>
      <c r="N19" s="13">
        <f t="shared" si="29"/>
        <v>1.7686706418810674E-2</v>
      </c>
      <c r="O19" s="13">
        <f t="shared" si="30"/>
        <v>67.442888114809733</v>
      </c>
      <c r="P19" s="13">
        <f t="shared" si="31"/>
        <v>1.8769070026143662E-2</v>
      </c>
      <c r="Q19" s="38">
        <v>1000.29</v>
      </c>
      <c r="R19" s="38">
        <v>11.315799999999999</v>
      </c>
      <c r="S19" s="38">
        <v>997.18499999999995</v>
      </c>
      <c r="T19" s="38">
        <v>-10.4337</v>
      </c>
      <c r="U19" s="38">
        <v>964.29600000000005</v>
      </c>
      <c r="V19" s="38">
        <v>16.544599999999999</v>
      </c>
      <c r="W19" s="38">
        <v>961.09400000000005</v>
      </c>
      <c r="X19" s="38">
        <v>-6.5489800000000002</v>
      </c>
      <c r="Y19" s="38">
        <v>979.99300000000005</v>
      </c>
      <c r="Z19" s="38">
        <v>2.5872899999999999</v>
      </c>
      <c r="AA19" s="38">
        <v>980.01700000000005</v>
      </c>
      <c r="AB19" s="38">
        <v>2.1444299999999998</v>
      </c>
      <c r="AC19" s="38">
        <v>979.97</v>
      </c>
      <c r="AD19" s="38">
        <v>2.98353</v>
      </c>
      <c r="AE19" s="14" t="s">
        <v>216</v>
      </c>
      <c r="AF19" s="14" t="s">
        <v>211</v>
      </c>
      <c r="AG19" s="14" t="s">
        <v>222</v>
      </c>
      <c r="AH19" s="14" t="s">
        <v>222</v>
      </c>
      <c r="AI19" s="51" t="s">
        <v>222</v>
      </c>
      <c r="AJ19" s="51">
        <v>1.3194758770088301E-4</v>
      </c>
      <c r="AK19" s="51">
        <v>1.3426655364798701E-4</v>
      </c>
      <c r="AL19" s="51">
        <v>1.31613729298454E-4</v>
      </c>
      <c r="AM19" s="51">
        <v>1.2549043694399701E-4</v>
      </c>
      <c r="AN19" s="51">
        <v>0.96577952222875796</v>
      </c>
    </row>
    <row r="20" spans="1:40" x14ac:dyDescent="0.35">
      <c r="A20" s="38" t="s">
        <v>114</v>
      </c>
      <c r="B20" s="14">
        <v>1</v>
      </c>
      <c r="C20" s="38">
        <v>90</v>
      </c>
      <c r="D20" s="14">
        <v>1242.1769999999999</v>
      </c>
      <c r="E20" s="12">
        <f t="shared" si="22"/>
        <v>35.725754026764903</v>
      </c>
      <c r="F20" s="12">
        <f t="shared" si="1"/>
        <v>1.1480537492216583</v>
      </c>
      <c r="G20" s="12">
        <f t="shared" si="23"/>
        <v>0.90270621139993323</v>
      </c>
      <c r="H20" s="12">
        <f t="shared" si="24"/>
        <v>19.918754227835134</v>
      </c>
      <c r="I20" s="12">
        <f t="shared" si="4"/>
        <v>1.1977998589276231</v>
      </c>
      <c r="J20" s="12">
        <f t="shared" si="25"/>
        <v>19.814762911326998</v>
      </c>
      <c r="K20" s="13">
        <f t="shared" si="26"/>
        <v>2.8760598551385918E-2</v>
      </c>
      <c r="L20" s="13">
        <f t="shared" si="27"/>
        <v>65.77863448457164</v>
      </c>
      <c r="M20" s="13">
        <f t="shared" si="28"/>
        <v>7.2671302994656425E-4</v>
      </c>
      <c r="N20" s="13">
        <f t="shared" si="29"/>
        <v>1.6035359073493662E-2</v>
      </c>
      <c r="O20" s="13">
        <f t="shared" si="30"/>
        <v>68.628876617918195</v>
      </c>
      <c r="P20" s="13">
        <f t="shared" si="31"/>
        <v>1.5951642085891945E-2</v>
      </c>
      <c r="Q20" s="38">
        <v>1135.9000000000001</v>
      </c>
      <c r="R20" s="38">
        <v>1.75363</v>
      </c>
      <c r="S20" s="38">
        <v>1136.03</v>
      </c>
      <c r="T20" s="38">
        <v>-18.1647</v>
      </c>
      <c r="U20" s="38">
        <v>1106.6199999999999</v>
      </c>
      <c r="V20" s="38">
        <v>2.67699</v>
      </c>
      <c r="W20" s="38">
        <v>1105.56</v>
      </c>
      <c r="X20" s="38">
        <v>-17.109400000000001</v>
      </c>
      <c r="Y20" s="38">
        <v>1120.5999999999999</v>
      </c>
      <c r="Z20" s="38">
        <v>-7.3481199999999998</v>
      </c>
      <c r="AA20" s="38">
        <v>1120.6300000000001</v>
      </c>
      <c r="AB20" s="38">
        <v>-7.7452199999999998</v>
      </c>
      <c r="AC20" s="38">
        <v>1120.57</v>
      </c>
      <c r="AD20" s="38">
        <v>-6.8445099999999996</v>
      </c>
      <c r="AE20" s="14" t="s">
        <v>216</v>
      </c>
      <c r="AF20" s="14" t="s">
        <v>211</v>
      </c>
      <c r="AG20" s="14" t="s">
        <v>222</v>
      </c>
      <c r="AH20" s="14" t="s">
        <v>222</v>
      </c>
      <c r="AI20" s="51" t="s">
        <v>222</v>
      </c>
      <c r="AJ20" s="55">
        <v>9.3078308537079599E-5</v>
      </c>
      <c r="AK20" s="55">
        <v>9.9135756004033795E-5</v>
      </c>
      <c r="AL20" s="55">
        <v>8.6165913962369802E-5</v>
      </c>
      <c r="AM20" s="55">
        <v>9.7611540312895904E-5</v>
      </c>
      <c r="AN20" s="51">
        <v>0.95610825729121796</v>
      </c>
    </row>
    <row r="21" spans="1:40" x14ac:dyDescent="0.35">
      <c r="A21" s="38" t="s">
        <v>115</v>
      </c>
      <c r="B21" s="14">
        <v>1</v>
      </c>
      <c r="C21" s="38">
        <v>40</v>
      </c>
      <c r="D21" s="14">
        <v>1061.317</v>
      </c>
      <c r="E21" s="12">
        <f t="shared" ref="E21:E26" si="32">DIST2(Q21,R21,W21,X21)</f>
        <v>31.591828896092732</v>
      </c>
      <c r="F21" s="12">
        <f t="shared" si="1"/>
        <v>1.2498446540695991</v>
      </c>
      <c r="G21" s="12">
        <f t="shared" ref="G21:G26" si="33">DIST2(AA21,AB21,AC21,AD21)</f>
        <v>0.72050607214651408</v>
      </c>
      <c r="H21" s="12">
        <f t="shared" ref="H21:H26" si="34">DIST2(Q21,R21,S21,T21)</f>
        <v>23.373922606186596</v>
      </c>
      <c r="I21" s="12">
        <f t="shared" si="4"/>
        <v>1.3587029437163385</v>
      </c>
      <c r="J21" s="12">
        <f t="shared" ref="J21:J26" si="35">DIST2(U21,V21,W21,X21)</f>
        <v>23.491200054488502</v>
      </c>
      <c r="K21" s="13">
        <f t="shared" ref="K21:K26" si="36">E21/D21</f>
        <v>2.9766628534257655E-2</v>
      </c>
      <c r="L21" s="13">
        <f t="shared" ref="L21:L26" si="37">F21*180/PI()</f>
        <v>71.610823725176402</v>
      </c>
      <c r="M21" s="13">
        <f t="shared" ref="M21:M26" si="38">G21/D21</f>
        <v>6.7887923414636166E-4</v>
      </c>
      <c r="N21" s="13">
        <f t="shared" ref="N21:N26" si="39">H21/D21</f>
        <v>2.2023507214325781E-2</v>
      </c>
      <c r="O21" s="13">
        <f t="shared" ref="O21:O26" si="40">I21*180/PI()</f>
        <v>77.847944286947239</v>
      </c>
      <c r="P21" s="13">
        <f t="shared" ref="P21:P26" si="41">J21/D21</f>
        <v>2.2134009023212199E-2</v>
      </c>
      <c r="Q21" s="38">
        <v>491.59800000000001</v>
      </c>
      <c r="R21" s="38">
        <v>-150.31200000000001</v>
      </c>
      <c r="S21" s="38">
        <v>488.46499999999997</v>
      </c>
      <c r="T21" s="38">
        <v>-127.149</v>
      </c>
      <c r="U21" s="38">
        <v>458.84699999999998</v>
      </c>
      <c r="V21" s="38">
        <v>-130.946</v>
      </c>
      <c r="W21" s="38">
        <v>460.27100000000002</v>
      </c>
      <c r="X21" s="38">
        <v>-154.39400000000001</v>
      </c>
      <c r="Y21" s="38">
        <v>474.036</v>
      </c>
      <c r="Z21" s="38">
        <v>-141.29400000000001</v>
      </c>
      <c r="AA21" s="38">
        <v>474.041</v>
      </c>
      <c r="AB21" s="38">
        <v>-141.643</v>
      </c>
      <c r="AC21" s="38">
        <v>474.01400000000001</v>
      </c>
      <c r="AD21" s="38">
        <v>-140.923</v>
      </c>
      <c r="AE21" s="14" t="s">
        <v>215</v>
      </c>
      <c r="AF21" s="14" t="s">
        <v>212</v>
      </c>
      <c r="AG21" s="14" t="s">
        <v>222</v>
      </c>
      <c r="AH21" s="14" t="s">
        <v>222</v>
      </c>
      <c r="AI21" s="51" t="s">
        <v>222</v>
      </c>
      <c r="AJ21" s="51">
        <v>1.5155273747623801E-4</v>
      </c>
      <c r="AK21" s="51">
        <v>1.68029698216206E-4</v>
      </c>
      <c r="AL21" s="55">
        <v>1.46629916411715E-5</v>
      </c>
      <c r="AM21" s="55">
        <v>6.9522561091502597E-6</v>
      </c>
      <c r="AN21" s="51">
        <v>6.7635906533748305E-2</v>
      </c>
    </row>
    <row r="22" spans="1:40" x14ac:dyDescent="0.35">
      <c r="A22" s="38" t="s">
        <v>115</v>
      </c>
      <c r="B22" s="14">
        <v>1</v>
      </c>
      <c r="C22" s="38">
        <v>50</v>
      </c>
      <c r="D22" s="14">
        <v>1061.317</v>
      </c>
      <c r="E22" s="12">
        <f t="shared" si="32"/>
        <v>42.838324301494339</v>
      </c>
      <c r="F22" s="12">
        <f t="shared" si="1"/>
        <v>1.0434102591671057</v>
      </c>
      <c r="G22" s="12">
        <f t="shared" si="33"/>
        <v>0.70669088008832381</v>
      </c>
      <c r="H22" s="12">
        <f t="shared" si="34"/>
        <v>22.734458783089618</v>
      </c>
      <c r="I22" s="12">
        <f t="shared" si="4"/>
        <v>1.2354966256550983</v>
      </c>
      <c r="J22" s="12">
        <f t="shared" si="35"/>
        <v>22.460697696198125</v>
      </c>
      <c r="K22" s="13">
        <f t="shared" si="36"/>
        <v>4.0363363916242123E-2</v>
      </c>
      <c r="L22" s="13">
        <f t="shared" si="37"/>
        <v>59.783004150926573</v>
      </c>
      <c r="M22" s="13">
        <f t="shared" si="38"/>
        <v>6.6586220713351794E-4</v>
      </c>
      <c r="N22" s="13">
        <f t="shared" si="39"/>
        <v>2.1420988058317748E-2</v>
      </c>
      <c r="O22" s="13">
        <f t="shared" si="40"/>
        <v>70.788742252691719</v>
      </c>
      <c r="P22" s="13">
        <f t="shared" si="41"/>
        <v>2.1163043366117875E-2</v>
      </c>
      <c r="Q22" s="38">
        <v>585.44200000000001</v>
      </c>
      <c r="R22" s="38">
        <v>-98.034599999999998</v>
      </c>
      <c r="S22" s="38">
        <v>594.61800000000005</v>
      </c>
      <c r="T22" s="38">
        <v>-118.83499999999999</v>
      </c>
      <c r="U22" s="38">
        <v>553.50800000000004</v>
      </c>
      <c r="V22" s="38">
        <v>-113.696</v>
      </c>
      <c r="W22" s="38">
        <v>562.56200000000001</v>
      </c>
      <c r="X22" s="38">
        <v>-134.251</v>
      </c>
      <c r="Y22" s="38">
        <v>572.30399999999997</v>
      </c>
      <c r="Z22" s="38">
        <v>-117.18</v>
      </c>
      <c r="AA22" s="38">
        <v>572.39200000000005</v>
      </c>
      <c r="AB22" s="38">
        <v>-117.533</v>
      </c>
      <c r="AC22" s="38">
        <v>572.18600000000004</v>
      </c>
      <c r="AD22" s="38">
        <v>-116.857</v>
      </c>
      <c r="AE22" s="14" t="s">
        <v>215</v>
      </c>
      <c r="AF22" s="14" t="s">
        <v>212</v>
      </c>
      <c r="AG22" s="14" t="s">
        <v>222</v>
      </c>
      <c r="AH22" s="14" t="s">
        <v>222</v>
      </c>
      <c r="AI22" s="51" t="s">
        <v>222</v>
      </c>
      <c r="AJ22" s="51">
        <v>1.57497161310644E-4</v>
      </c>
      <c r="AK22" s="51">
        <v>1.9928814228561999E-4</v>
      </c>
      <c r="AL22" s="51">
        <v>1.74657838187405E-4</v>
      </c>
      <c r="AM22" s="51">
        <v>1.7062102823427601E-4</v>
      </c>
      <c r="AN22" s="51">
        <v>0.96774968851406296</v>
      </c>
    </row>
    <row r="23" spans="1:40" x14ac:dyDescent="0.35">
      <c r="A23" s="38" t="s">
        <v>115</v>
      </c>
      <c r="B23" s="14">
        <v>1</v>
      </c>
      <c r="C23" s="38">
        <v>60</v>
      </c>
      <c r="D23" s="14">
        <v>1061.317</v>
      </c>
      <c r="E23" s="12">
        <f t="shared" si="32"/>
        <v>44.570851124473741</v>
      </c>
      <c r="F23" s="12">
        <f t="shared" si="1"/>
        <v>1.039858672657525</v>
      </c>
      <c r="G23" s="12">
        <f t="shared" si="33"/>
        <v>0.6157463844798462</v>
      </c>
      <c r="H23" s="12">
        <f t="shared" si="34"/>
        <v>23.309976351124888</v>
      </c>
      <c r="I23" s="12">
        <f t="shared" si="4"/>
        <v>1.1262620397100935</v>
      </c>
      <c r="J23" s="12">
        <f t="shared" si="35"/>
        <v>22.610849826797768</v>
      </c>
      <c r="K23" s="13">
        <f t="shared" si="36"/>
        <v>4.1995794964627665E-2</v>
      </c>
      <c r="L23" s="13">
        <f t="shared" si="37"/>
        <v>59.579513233351996</v>
      </c>
      <c r="M23" s="13">
        <f t="shared" si="38"/>
        <v>5.8017197922943494E-4</v>
      </c>
      <c r="N23" s="13">
        <f t="shared" si="39"/>
        <v>2.1963255418621288E-2</v>
      </c>
      <c r="O23" s="13">
        <f t="shared" si="40"/>
        <v>64.53006150118388</v>
      </c>
      <c r="P23" s="13">
        <f t="shared" si="41"/>
        <v>2.1304520540797678E-2</v>
      </c>
      <c r="Q23" s="38">
        <v>693.97</v>
      </c>
      <c r="R23" s="38">
        <v>-69.759600000000006</v>
      </c>
      <c r="S23" s="38">
        <v>683.31899999999996</v>
      </c>
      <c r="T23" s="38">
        <v>-49.025300000000001</v>
      </c>
      <c r="U23" s="38">
        <v>659.46</v>
      </c>
      <c r="V23" s="38">
        <v>-86.801500000000004</v>
      </c>
      <c r="W23" s="38">
        <v>649.51900000000001</v>
      </c>
      <c r="X23" s="38">
        <v>-66.493200000000002</v>
      </c>
      <c r="Y23" s="38">
        <v>670.48299999999995</v>
      </c>
      <c r="Z23" s="38">
        <v>-68.593000000000004</v>
      </c>
      <c r="AA23" s="38">
        <v>670.58699999999999</v>
      </c>
      <c r="AB23" s="38">
        <v>-68.853700000000003</v>
      </c>
      <c r="AC23" s="38">
        <v>670.375</v>
      </c>
      <c r="AD23" s="38">
        <v>-68.275599999999997</v>
      </c>
      <c r="AE23" s="14" t="s">
        <v>215</v>
      </c>
      <c r="AF23" s="14" t="s">
        <v>212</v>
      </c>
      <c r="AG23" s="14" t="s">
        <v>222</v>
      </c>
      <c r="AH23" s="14" t="s">
        <v>222</v>
      </c>
      <c r="AI23" s="51" t="s">
        <v>222</v>
      </c>
      <c r="AJ23" s="51">
        <v>1.7971916152664799E-4</v>
      </c>
      <c r="AK23" s="51">
        <v>2.1065503833918599E-4</v>
      </c>
      <c r="AL23" s="51">
        <v>2.0122468747914201E-4</v>
      </c>
      <c r="AM23" s="51">
        <v>1.9877534275398E-4</v>
      </c>
      <c r="AN23" s="51">
        <v>1.02465795734092</v>
      </c>
    </row>
    <row r="24" spans="1:40" x14ac:dyDescent="0.35">
      <c r="A24" s="38" t="s">
        <v>115</v>
      </c>
      <c r="B24" s="14">
        <v>1</v>
      </c>
      <c r="C24" s="38">
        <v>70</v>
      </c>
      <c r="D24" s="14">
        <v>1061.317</v>
      </c>
      <c r="E24" s="12">
        <f t="shared" si="32"/>
        <v>41.536730649992123</v>
      </c>
      <c r="F24" s="12">
        <f t="shared" si="1"/>
        <v>1.0099759489377922</v>
      </c>
      <c r="G24" s="12">
        <f t="shared" si="33"/>
        <v>1.3815874528961452</v>
      </c>
      <c r="H24" s="12">
        <f t="shared" si="34"/>
        <v>21.303353274357981</v>
      </c>
      <c r="I24" s="12">
        <f t="shared" si="4"/>
        <v>1.1794506548551511</v>
      </c>
      <c r="J24" s="12">
        <f t="shared" si="35"/>
        <v>22.989595164769607</v>
      </c>
      <c r="K24" s="13">
        <f t="shared" si="36"/>
        <v>3.9136969114781088E-2</v>
      </c>
      <c r="L24" s="13">
        <f t="shared" si="37"/>
        <v>57.867359283855826</v>
      </c>
      <c r="M24" s="13">
        <f t="shared" si="38"/>
        <v>1.3017670054245292E-3</v>
      </c>
      <c r="N24" s="13">
        <f t="shared" si="39"/>
        <v>2.0072563875221053E-2</v>
      </c>
      <c r="O24" s="13">
        <f t="shared" si="40"/>
        <v>67.577544667141296</v>
      </c>
      <c r="P24" s="13">
        <f t="shared" si="41"/>
        <v>2.1661384077301699E-2</v>
      </c>
      <c r="Q24" s="38">
        <v>795.23099999999999</v>
      </c>
      <c r="R24" s="38">
        <v>-17.529299999999999</v>
      </c>
      <c r="S24" s="38">
        <v>787.06500000000005</v>
      </c>
      <c r="T24" s="38">
        <v>2.1468099999999999</v>
      </c>
      <c r="U24" s="38">
        <v>764.29499999999996</v>
      </c>
      <c r="V24" s="38">
        <v>-35.0762</v>
      </c>
      <c r="W24" s="38">
        <v>753.79600000000005</v>
      </c>
      <c r="X24" s="38">
        <v>-14.624000000000001</v>
      </c>
      <c r="Y24" s="38">
        <v>774.15300000000002</v>
      </c>
      <c r="Z24" s="38">
        <v>-16.677299999999999</v>
      </c>
      <c r="AA24" s="38">
        <v>774.36800000000005</v>
      </c>
      <c r="AB24" s="38">
        <v>-17.2683</v>
      </c>
      <c r="AC24" s="38">
        <v>774.04499999999996</v>
      </c>
      <c r="AD24" s="38">
        <v>-15.925000000000001</v>
      </c>
      <c r="AE24" s="14" t="s">
        <v>215</v>
      </c>
      <c r="AF24" s="14" t="s">
        <v>212</v>
      </c>
      <c r="AG24" s="14" t="s">
        <v>222</v>
      </c>
      <c r="AH24" s="14" t="s">
        <v>222</v>
      </c>
      <c r="AI24" s="51" t="s">
        <v>222</v>
      </c>
      <c r="AJ24" s="51">
        <v>1.7524414979970001E-4</v>
      </c>
      <c r="AK24" s="51">
        <v>1.8100935206473E-4</v>
      </c>
      <c r="AL24" s="51">
        <v>1.8704793019260201E-4</v>
      </c>
      <c r="AM24" s="51">
        <v>1.9219846994290599E-4</v>
      </c>
      <c r="AN24" s="51">
        <v>1.0645408344079299</v>
      </c>
    </row>
    <row r="25" spans="1:40" x14ac:dyDescent="0.35">
      <c r="A25" s="38" t="s">
        <v>115</v>
      </c>
      <c r="B25" s="14">
        <v>1</v>
      </c>
      <c r="C25" s="38">
        <v>80</v>
      </c>
      <c r="D25" s="14">
        <v>1061.317</v>
      </c>
      <c r="E25" s="12">
        <f t="shared" si="32"/>
        <v>35.515140808393248</v>
      </c>
      <c r="F25" s="12">
        <f t="shared" si="1"/>
        <v>1.1702308395123868</v>
      </c>
      <c r="G25" s="12">
        <f t="shared" si="33"/>
        <v>1.0782000000000025</v>
      </c>
      <c r="H25" s="12">
        <f t="shared" si="34"/>
        <v>23.66714798703044</v>
      </c>
      <c r="I25" s="12">
        <f t="shared" si="4"/>
        <v>1.1799823002879375</v>
      </c>
      <c r="J25" s="12">
        <f t="shared" si="35"/>
        <v>24.083196997907059</v>
      </c>
      <c r="K25" s="13">
        <f t="shared" si="36"/>
        <v>3.3463273280644003E-2</v>
      </c>
      <c r="L25" s="13">
        <f t="shared" si="37"/>
        <v>67.049288160110933</v>
      </c>
      <c r="M25" s="13">
        <f t="shared" si="38"/>
        <v>1.0159075940553129E-3</v>
      </c>
      <c r="N25" s="13">
        <f t="shared" si="39"/>
        <v>2.2299791661709405E-2</v>
      </c>
      <c r="O25" s="13">
        <f t="shared" si="40"/>
        <v>67.608005706637371</v>
      </c>
      <c r="P25" s="13">
        <f t="shared" si="41"/>
        <v>2.2691803672142311E-2</v>
      </c>
      <c r="Q25" s="38">
        <v>934.09699999999998</v>
      </c>
      <c r="R25" s="38">
        <v>35.234900000000003</v>
      </c>
      <c r="S25" s="38">
        <v>927.58</v>
      </c>
      <c r="T25" s="38">
        <v>57.987099999999998</v>
      </c>
      <c r="U25" s="38">
        <v>892.93700000000001</v>
      </c>
      <c r="V25" s="38">
        <v>47.811500000000002</v>
      </c>
      <c r="W25" s="38">
        <v>900.14</v>
      </c>
      <c r="X25" s="38">
        <v>24.8307</v>
      </c>
      <c r="Y25" s="38">
        <v>913.92499999999995</v>
      </c>
      <c r="Z25" s="38">
        <v>40.892200000000003</v>
      </c>
      <c r="AA25" s="38">
        <v>913.92499999999995</v>
      </c>
      <c r="AB25" s="38">
        <v>40.423400000000001</v>
      </c>
      <c r="AC25" s="38">
        <v>913.92499999999995</v>
      </c>
      <c r="AD25" s="38">
        <v>41.501600000000003</v>
      </c>
      <c r="AE25" s="14" t="s">
        <v>215</v>
      </c>
      <c r="AF25" s="14" t="s">
        <v>212</v>
      </c>
      <c r="AG25" s="14" t="s">
        <v>222</v>
      </c>
      <c r="AH25" s="14" t="s">
        <v>222</v>
      </c>
      <c r="AI25" s="51" t="s">
        <v>222</v>
      </c>
      <c r="AJ25" s="51">
        <v>1.9197607546090999E-4</v>
      </c>
      <c r="AK25" s="51">
        <v>1.8736287604727099E-4</v>
      </c>
      <c r="AL25" s="55">
        <v>1.8830878224287199E-6</v>
      </c>
      <c r="AM25" s="55">
        <v>1.2960514635853601E-5</v>
      </c>
      <c r="AN25" s="51">
        <v>3.9130182648702098E-2</v>
      </c>
    </row>
    <row r="26" spans="1:40" x14ac:dyDescent="0.35">
      <c r="A26" s="38" t="s">
        <v>115</v>
      </c>
      <c r="B26" s="14">
        <v>1</v>
      </c>
      <c r="C26" s="38">
        <v>90</v>
      </c>
      <c r="D26" s="14">
        <v>1061.317</v>
      </c>
      <c r="E26" s="12">
        <f t="shared" si="32"/>
        <v>42.582952492282651</v>
      </c>
      <c r="F26" s="12">
        <f t="shared" si="1"/>
        <v>1.1657110603013625</v>
      </c>
      <c r="G26" s="12">
        <f t="shared" si="33"/>
        <v>0.96421350851354082</v>
      </c>
      <c r="H26" s="12">
        <f t="shared" si="34"/>
        <v>23.509543939642899</v>
      </c>
      <c r="I26" s="12">
        <f t="shared" si="4"/>
        <v>1.1414242080238548</v>
      </c>
      <c r="J26" s="12">
        <f t="shared" si="35"/>
        <v>23.0367718287524</v>
      </c>
      <c r="K26" s="13">
        <f t="shared" si="36"/>
        <v>4.0122746071421307E-2</v>
      </c>
      <c r="L26" s="13">
        <f t="shared" si="37"/>
        <v>66.790323886988276</v>
      </c>
      <c r="M26" s="13">
        <f t="shared" si="38"/>
        <v>9.0850660878280553E-4</v>
      </c>
      <c r="N26" s="13">
        <f t="shared" si="39"/>
        <v>2.2151293100593789E-2</v>
      </c>
      <c r="O26" s="13">
        <f t="shared" si="40"/>
        <v>65.398789753829405</v>
      </c>
      <c r="P26" s="13">
        <f t="shared" si="41"/>
        <v>2.1705835135734562E-2</v>
      </c>
      <c r="Q26" s="38">
        <v>1004.38</v>
      </c>
      <c r="R26" s="38">
        <v>71.318200000000004</v>
      </c>
      <c r="S26" s="38">
        <v>1007.3</v>
      </c>
      <c r="T26" s="38">
        <v>47.990699999999997</v>
      </c>
      <c r="U26" s="38">
        <v>968.726</v>
      </c>
      <c r="V26" s="38">
        <v>66.414100000000005</v>
      </c>
      <c r="W26" s="38">
        <v>972.03899999999999</v>
      </c>
      <c r="X26" s="38">
        <v>43.616799999999998</v>
      </c>
      <c r="Y26" s="38">
        <v>988.21</v>
      </c>
      <c r="Z26" s="38">
        <v>57.003599999999999</v>
      </c>
      <c r="AA26" s="38">
        <v>988.24099999999999</v>
      </c>
      <c r="AB26" s="38">
        <v>56.587899999999998</v>
      </c>
      <c r="AC26" s="38">
        <v>988.09900000000005</v>
      </c>
      <c r="AD26" s="38">
        <v>57.541600000000003</v>
      </c>
      <c r="AE26" s="14" t="s">
        <v>215</v>
      </c>
      <c r="AF26" s="14" t="s">
        <v>212</v>
      </c>
      <c r="AG26" s="14" t="s">
        <v>222</v>
      </c>
      <c r="AH26" s="14" t="s">
        <v>222</v>
      </c>
      <c r="AI26" s="51" t="s">
        <v>222</v>
      </c>
      <c r="AJ26" s="51">
        <v>1.8333091679566699E-4</v>
      </c>
      <c r="AK26" s="51">
        <v>1.85993706858902E-4</v>
      </c>
      <c r="AL26" s="51">
        <v>1.8259477884925799E-4</v>
      </c>
      <c r="AM26" s="51">
        <v>1.7156878795576699E-4</v>
      </c>
      <c r="AN26" s="51">
        <v>0.95894923902034801</v>
      </c>
    </row>
    <row r="27" spans="1:40" x14ac:dyDescent="0.35">
      <c r="A27" s="38" t="s">
        <v>116</v>
      </c>
      <c r="B27" s="14">
        <v>1</v>
      </c>
      <c r="C27" s="38">
        <v>40</v>
      </c>
      <c r="D27" s="14">
        <v>1306</v>
      </c>
      <c r="E27" s="12">
        <f t="shared" ref="E27:E32" si="42">DIST2(Q27,R27,W27,X27)</f>
        <v>30.775732663902584</v>
      </c>
      <c r="F27" s="12">
        <f t="shared" si="1"/>
        <v>1.4521431246555485</v>
      </c>
      <c r="G27" s="12">
        <f t="shared" ref="G27:G32" si="43">DIST2(AA27,AB27,AC27,AD27)</f>
        <v>2.634779876953675</v>
      </c>
      <c r="H27" s="12">
        <f t="shared" ref="H27:H32" si="44">DIST2(Q27,R27,S27,T27)</f>
        <v>22.308069974787127</v>
      </c>
      <c r="I27" s="12">
        <f t="shared" si="4"/>
        <v>1.7624655730808609</v>
      </c>
      <c r="J27" s="12">
        <f t="shared" ref="J27:J32" si="45">DIST2(U27,V27,W27,X27)</f>
        <v>22.116161737516716</v>
      </c>
      <c r="K27" s="13">
        <f t="shared" ref="K27:K32" si="46">E27/D27</f>
        <v>2.3564879528256189E-2</v>
      </c>
      <c r="L27" s="13">
        <f t="shared" ref="L27:L32" si="47">F27*180/PI()</f>
        <v>83.201672291702721</v>
      </c>
      <c r="M27" s="13">
        <f t="shared" ref="M27:M32" si="48">G27/D27</f>
        <v>2.017442478525019E-3</v>
      </c>
      <c r="N27" s="13">
        <f t="shared" ref="N27:N32" si="49">H27/D27</f>
        <v>1.7081217438581261E-2</v>
      </c>
      <c r="O27" s="13">
        <f t="shared" ref="O27:O32" si="50">I27*180/PI()</f>
        <v>100.98183887463929</v>
      </c>
      <c r="P27" s="13">
        <f t="shared" ref="P27:P32" si="51">J27/D27</f>
        <v>1.6934273918466091E-2</v>
      </c>
      <c r="Q27" s="14">
        <v>573.69200000000001</v>
      </c>
      <c r="R27" s="14">
        <v>270.70999999999998</v>
      </c>
      <c r="S27" s="14">
        <v>577.197</v>
      </c>
      <c r="T27" s="14">
        <v>248.679</v>
      </c>
      <c r="U27" s="38">
        <v>551.76</v>
      </c>
      <c r="V27" s="38">
        <v>266.90499999999997</v>
      </c>
      <c r="W27" s="14">
        <v>556.36699999999996</v>
      </c>
      <c r="X27" s="14">
        <v>245.274</v>
      </c>
      <c r="Y27" s="14">
        <v>563.05700000000002</v>
      </c>
      <c r="Z27" s="14">
        <v>257.60399999999998</v>
      </c>
      <c r="AA27" s="14">
        <v>563.11</v>
      </c>
      <c r="AB27" s="14">
        <v>256.31200000000001</v>
      </c>
      <c r="AC27" s="14">
        <v>562.98900000000003</v>
      </c>
      <c r="AD27" s="14">
        <v>258.94400000000002</v>
      </c>
      <c r="AE27" s="14" t="s">
        <v>215</v>
      </c>
      <c r="AF27" s="14" t="s">
        <v>214</v>
      </c>
      <c r="AG27" s="14" t="s">
        <v>223</v>
      </c>
      <c r="AH27" s="14" t="s">
        <v>223</v>
      </c>
      <c r="AI27" s="51" t="s">
        <v>223</v>
      </c>
      <c r="AJ27" s="55">
        <v>5.9073477576692997E-5</v>
      </c>
      <c r="AK27" s="55">
        <v>8.2150064550701201E-5</v>
      </c>
      <c r="AL27" s="55">
        <v>6.3708492609208301E-5</v>
      </c>
      <c r="AM27" s="55">
        <v>6.06699275226369E-5</v>
      </c>
      <c r="AN27" s="51">
        <v>0.88072015655609803</v>
      </c>
    </row>
    <row r="28" spans="1:40" x14ac:dyDescent="0.35">
      <c r="A28" s="38" t="s">
        <v>116</v>
      </c>
      <c r="B28" s="14">
        <v>1</v>
      </c>
      <c r="C28" s="38">
        <v>50</v>
      </c>
      <c r="D28" s="14">
        <v>1306</v>
      </c>
      <c r="E28" s="12">
        <f t="shared" si="42"/>
        <v>31.050057970960399</v>
      </c>
      <c r="F28" s="12">
        <f t="shared" si="1"/>
        <v>1.5077925655338382</v>
      </c>
      <c r="G28" s="12">
        <f t="shared" si="43"/>
        <v>2.7054014489535705</v>
      </c>
      <c r="H28" s="12">
        <f t="shared" si="44"/>
        <v>21.659748775089714</v>
      </c>
      <c r="I28" s="12">
        <f t="shared" si="4"/>
        <v>1.5566510293764282</v>
      </c>
      <c r="J28" s="12">
        <f t="shared" si="45"/>
        <v>21.7277232125228</v>
      </c>
      <c r="K28" s="13">
        <f t="shared" si="46"/>
        <v>2.3774929533660335E-2</v>
      </c>
      <c r="L28" s="13">
        <f t="shared" si="47"/>
        <v>86.390150386291509</v>
      </c>
      <c r="M28" s="13">
        <f t="shared" si="48"/>
        <v>2.0715171890915546E-3</v>
      </c>
      <c r="N28" s="13">
        <f t="shared" si="49"/>
        <v>1.6584799980926275E-2</v>
      </c>
      <c r="O28" s="13">
        <f t="shared" si="50"/>
        <v>89.189534157964459</v>
      </c>
      <c r="P28" s="13">
        <f t="shared" si="51"/>
        <v>1.6636847789067995E-2</v>
      </c>
      <c r="Q28" s="14">
        <v>690.03899999999999</v>
      </c>
      <c r="R28" s="14">
        <v>287.40600000000001</v>
      </c>
      <c r="S28" s="14">
        <v>693.45299999999997</v>
      </c>
      <c r="T28" s="14">
        <v>266.017</v>
      </c>
      <c r="U28" s="38">
        <v>667.54499999999996</v>
      </c>
      <c r="V28" s="38">
        <v>283.99200000000002</v>
      </c>
      <c r="W28" s="14">
        <v>671.36099999999999</v>
      </c>
      <c r="X28" s="14">
        <v>262.60199999999998</v>
      </c>
      <c r="Y28" s="14">
        <v>680.33699999999999</v>
      </c>
      <c r="Z28" s="14">
        <v>275.01400000000001</v>
      </c>
      <c r="AA28" s="14">
        <v>680.46100000000001</v>
      </c>
      <c r="AB28" s="14">
        <v>273.68</v>
      </c>
      <c r="AC28" s="14">
        <v>680.27499999999998</v>
      </c>
      <c r="AD28" s="14">
        <v>276.37900000000002</v>
      </c>
      <c r="AE28" s="14" t="s">
        <v>215</v>
      </c>
      <c r="AF28" s="14" t="s">
        <v>214</v>
      </c>
      <c r="AG28" s="14" t="s">
        <v>223</v>
      </c>
      <c r="AH28" s="14" t="s">
        <v>223</v>
      </c>
      <c r="AI28" s="51" t="s">
        <v>223</v>
      </c>
      <c r="AJ28" s="55">
        <v>7.0167618413307699E-5</v>
      </c>
      <c r="AK28" s="55">
        <v>7.3234372984622704E-5</v>
      </c>
      <c r="AL28" s="55">
        <v>6.2940463850434696E-5</v>
      </c>
      <c r="AM28" s="55">
        <v>6.2633139778944693E-5</v>
      </c>
      <c r="AN28" s="51">
        <v>0.875675451960228</v>
      </c>
    </row>
    <row r="29" spans="1:40" x14ac:dyDescent="0.35">
      <c r="A29" s="38" t="s">
        <v>116</v>
      </c>
      <c r="B29" s="14">
        <v>1</v>
      </c>
      <c r="C29" s="38">
        <v>60</v>
      </c>
      <c r="D29" s="14">
        <v>1306</v>
      </c>
      <c r="E29" s="12">
        <f t="shared" si="42"/>
        <v>31.324571968344681</v>
      </c>
      <c r="F29" s="12">
        <f t="shared" si="1"/>
        <v>1.5463907604836942</v>
      </c>
      <c r="G29" s="12">
        <f t="shared" si="43"/>
        <v>2.8321444172217167</v>
      </c>
      <c r="H29" s="12">
        <f t="shared" si="44"/>
        <v>21.639068602876595</v>
      </c>
      <c r="I29" s="12">
        <f t="shared" si="4"/>
        <v>1.550855310705054</v>
      </c>
      <c r="J29" s="12">
        <f t="shared" si="45"/>
        <v>21.77977219807407</v>
      </c>
      <c r="K29" s="13">
        <f t="shared" si="46"/>
        <v>2.3985124018640645E-2</v>
      </c>
      <c r="L29" s="13">
        <f t="shared" si="47"/>
        <v>88.60166405374143</v>
      </c>
      <c r="M29" s="13">
        <f t="shared" si="48"/>
        <v>2.168563872298405E-3</v>
      </c>
      <c r="N29" s="13">
        <f t="shared" si="49"/>
        <v>1.6568965239568603E-2</v>
      </c>
      <c r="O29" s="13">
        <f t="shared" si="50"/>
        <v>88.857463938849548</v>
      </c>
      <c r="P29" s="13">
        <f t="shared" si="51"/>
        <v>1.6676701529918889E-2</v>
      </c>
      <c r="Q29" s="14">
        <v>835.33900000000006</v>
      </c>
      <c r="R29" s="14">
        <v>301.79000000000002</v>
      </c>
      <c r="S29" s="14">
        <v>836.62199999999996</v>
      </c>
      <c r="T29" s="14">
        <v>280.18900000000002</v>
      </c>
      <c r="U29" s="38">
        <v>812.95</v>
      </c>
      <c r="V29" s="38">
        <v>299.81700000000001</v>
      </c>
      <c r="W29" s="14">
        <v>814.82399999999996</v>
      </c>
      <c r="X29" s="14">
        <v>278.11799999999999</v>
      </c>
      <c r="Y29" s="14">
        <v>824.97500000000002</v>
      </c>
      <c r="Z29" s="14">
        <v>289.65300000000002</v>
      </c>
      <c r="AA29" s="14">
        <v>825.07600000000002</v>
      </c>
      <c r="AB29" s="14">
        <v>288.37599999999998</v>
      </c>
      <c r="AC29" s="14">
        <v>824.82500000000005</v>
      </c>
      <c r="AD29" s="14">
        <v>291.197</v>
      </c>
      <c r="AE29" s="14" t="s">
        <v>215</v>
      </c>
      <c r="AF29" s="14" t="s">
        <v>214</v>
      </c>
      <c r="AG29" s="14" t="s">
        <v>223</v>
      </c>
      <c r="AH29" s="14" t="s">
        <v>223</v>
      </c>
      <c r="AI29" s="51" t="s">
        <v>223</v>
      </c>
      <c r="AJ29" s="55">
        <v>7.0907022072704996E-5</v>
      </c>
      <c r="AK29" s="55">
        <v>7.0192155594745795E-5</v>
      </c>
      <c r="AL29" s="55">
        <v>6.3443359251329201E-5</v>
      </c>
      <c r="AM29" s="55">
        <v>5.9324495965141199E-5</v>
      </c>
      <c r="AN29" s="51">
        <v>0.87008200363729604</v>
      </c>
    </row>
    <row r="30" spans="1:40" x14ac:dyDescent="0.35">
      <c r="A30" s="38" t="s">
        <v>116</v>
      </c>
      <c r="B30" s="14">
        <v>1</v>
      </c>
      <c r="C30" s="38">
        <v>70</v>
      </c>
      <c r="D30" s="14">
        <v>1306</v>
      </c>
      <c r="E30" s="12">
        <f t="shared" si="42"/>
        <v>32.477391305337356</v>
      </c>
      <c r="F30" s="12">
        <f t="shared" si="1"/>
        <v>1.5475203453992665</v>
      </c>
      <c r="G30" s="12">
        <f t="shared" si="43"/>
        <v>3.3676686297793461</v>
      </c>
      <c r="H30" s="12">
        <f t="shared" si="44"/>
        <v>22.080328303718705</v>
      </c>
      <c r="I30" s="12">
        <f t="shared" si="4"/>
        <v>1.5498807847514708</v>
      </c>
      <c r="J30" s="12">
        <f t="shared" si="45"/>
        <v>23.201727715840423</v>
      </c>
      <c r="K30" s="13">
        <f t="shared" si="46"/>
        <v>2.4867834077593687E-2</v>
      </c>
      <c r="L30" s="13">
        <f t="shared" si="47"/>
        <v>88.666384502005371</v>
      </c>
      <c r="M30" s="13">
        <f t="shared" si="48"/>
        <v>2.5786130396472789E-3</v>
      </c>
      <c r="N30" s="13">
        <f t="shared" si="49"/>
        <v>1.6906836373444645E-2</v>
      </c>
      <c r="O30" s="13">
        <f t="shared" si="50"/>
        <v>88.801627714683278</v>
      </c>
      <c r="P30" s="13">
        <f t="shared" si="51"/>
        <v>1.7765488296968165E-2</v>
      </c>
      <c r="Q30" s="14">
        <v>957.44</v>
      </c>
      <c r="R30" s="14">
        <v>312.16800000000001</v>
      </c>
      <c r="S30" s="14">
        <v>959.16300000000001</v>
      </c>
      <c r="T30" s="14">
        <v>290.15499999999997</v>
      </c>
      <c r="U30" s="38">
        <v>934.56500000000005</v>
      </c>
      <c r="V30" s="38">
        <v>311.02</v>
      </c>
      <c r="W30" s="14">
        <v>935.90499999999997</v>
      </c>
      <c r="X30" s="14">
        <v>287.85700000000003</v>
      </c>
      <c r="Y30" s="14">
        <v>947.072</v>
      </c>
      <c r="Z30" s="14">
        <v>299.90100000000001</v>
      </c>
      <c r="AA30" s="14">
        <v>947.29600000000005</v>
      </c>
      <c r="AB30" s="14">
        <v>298.37700000000001</v>
      </c>
      <c r="AC30" s="14">
        <v>947.19</v>
      </c>
      <c r="AD30" s="14">
        <v>301.74299999999999</v>
      </c>
      <c r="AE30" s="14" t="s">
        <v>215</v>
      </c>
      <c r="AF30" s="14" t="s">
        <v>214</v>
      </c>
      <c r="AG30" s="14" t="s">
        <v>223</v>
      </c>
      <c r="AH30" s="14" t="s">
        <v>223</v>
      </c>
      <c r="AI30" s="51" t="s">
        <v>223</v>
      </c>
      <c r="AJ30" s="55">
        <v>8.0556514109692595E-5</v>
      </c>
      <c r="AK30" s="55">
        <v>7.3100833061685202E-5</v>
      </c>
      <c r="AL30" s="55">
        <v>6.6457577994366904E-5</v>
      </c>
      <c r="AM30" s="55">
        <v>6.4051662253845594E-5</v>
      </c>
      <c r="AN30" s="51">
        <v>0.84935242375785902</v>
      </c>
    </row>
    <row r="31" spans="1:40" x14ac:dyDescent="0.35">
      <c r="A31" s="38" t="s">
        <v>116</v>
      </c>
      <c r="B31" s="14">
        <v>1</v>
      </c>
      <c r="C31" s="38">
        <v>80</v>
      </c>
      <c r="D31" s="14">
        <v>1306</v>
      </c>
      <c r="E31" s="12">
        <f t="shared" si="42"/>
        <v>31.032952502138858</v>
      </c>
      <c r="F31" s="12">
        <f t="shared" si="1"/>
        <v>1.5695591196292904</v>
      </c>
      <c r="G31" s="12">
        <f t="shared" si="43"/>
        <v>3.3812762383455288</v>
      </c>
      <c r="H31" s="12">
        <f t="shared" si="44"/>
        <v>21.587740525585325</v>
      </c>
      <c r="I31" s="12">
        <f t="shared" si="4"/>
        <v>1.5771646936096904</v>
      </c>
      <c r="J31" s="12">
        <f t="shared" si="45"/>
        <v>21.892029234403992</v>
      </c>
      <c r="K31" s="13">
        <f t="shared" si="46"/>
        <v>2.3761831931193612E-2</v>
      </c>
      <c r="L31" s="13">
        <f t="shared" si="47"/>
        <v>89.929113251027431</v>
      </c>
      <c r="M31" s="13">
        <f t="shared" si="48"/>
        <v>2.5890323417653359E-3</v>
      </c>
      <c r="N31" s="13">
        <f t="shared" si="49"/>
        <v>1.6529663495854E-2</v>
      </c>
      <c r="O31" s="13">
        <f t="shared" si="50"/>
        <v>90.364880540878858</v>
      </c>
      <c r="P31" s="13">
        <f t="shared" si="51"/>
        <v>1.6762656381626335E-2</v>
      </c>
      <c r="Q31" s="14">
        <v>1091.8800000000001</v>
      </c>
      <c r="R31" s="14">
        <v>317.89</v>
      </c>
      <c r="S31" s="14">
        <v>1091.03</v>
      </c>
      <c r="T31" s="14">
        <v>296.31900000000002</v>
      </c>
      <c r="U31" s="38">
        <v>1069.99</v>
      </c>
      <c r="V31" s="38">
        <v>318.20699999999999</v>
      </c>
      <c r="W31" s="14">
        <v>1069.57</v>
      </c>
      <c r="X31" s="14">
        <v>296.31900000000002</v>
      </c>
      <c r="Y31" s="14">
        <v>1080.6500000000001</v>
      </c>
      <c r="Z31" s="14">
        <v>306.88600000000002</v>
      </c>
      <c r="AA31" s="14">
        <v>1080.6099999999999</v>
      </c>
      <c r="AB31" s="14">
        <v>305.29899999999998</v>
      </c>
      <c r="AC31" s="14">
        <v>1080.78</v>
      </c>
      <c r="AD31" s="14">
        <v>308.67599999999999</v>
      </c>
      <c r="AE31" s="14" t="s">
        <v>215</v>
      </c>
      <c r="AF31" s="14" t="s">
        <v>214</v>
      </c>
      <c r="AG31" s="14" t="s">
        <v>223</v>
      </c>
      <c r="AH31" s="14" t="s">
        <v>223</v>
      </c>
      <c r="AI31" s="51" t="s">
        <v>223</v>
      </c>
      <c r="AJ31" s="55">
        <v>6.97924117455314E-5</v>
      </c>
      <c r="AK31" s="55">
        <v>6.8270407636798999E-5</v>
      </c>
      <c r="AL31" s="55">
        <v>6.0157372381915302E-5</v>
      </c>
      <c r="AM31" s="55">
        <v>5.6492358275739799E-5</v>
      </c>
      <c r="AN31" s="51">
        <v>0.84490329242533402</v>
      </c>
    </row>
    <row r="32" spans="1:40" x14ac:dyDescent="0.35">
      <c r="A32" s="38" t="s">
        <v>116</v>
      </c>
      <c r="B32" s="14">
        <v>1</v>
      </c>
      <c r="C32" s="38">
        <v>90</v>
      </c>
      <c r="D32" s="14">
        <v>1306</v>
      </c>
      <c r="E32" s="12">
        <f t="shared" si="42"/>
        <v>29.018591006456525</v>
      </c>
      <c r="F32" s="12">
        <f t="shared" si="1"/>
        <v>1.5110867918784749</v>
      </c>
      <c r="G32" s="12">
        <f t="shared" si="43"/>
        <v>3.372287650838806</v>
      </c>
      <c r="H32" s="12">
        <f t="shared" si="44"/>
        <v>20.199676829098046</v>
      </c>
      <c r="I32" s="12">
        <f t="shared" si="4"/>
        <v>1.5167398187227807</v>
      </c>
      <c r="J32" s="12">
        <f t="shared" si="45"/>
        <v>20.011504915922753</v>
      </c>
      <c r="K32" s="13">
        <f t="shared" si="46"/>
        <v>2.221944181198815E-2</v>
      </c>
      <c r="L32" s="13">
        <f t="shared" si="47"/>
        <v>86.578895652600011</v>
      </c>
      <c r="M32" s="13">
        <f t="shared" si="48"/>
        <v>2.5821498092180751E-3</v>
      </c>
      <c r="N32" s="13">
        <f t="shared" si="49"/>
        <v>1.5466827587364507E-2</v>
      </c>
      <c r="O32" s="13">
        <f t="shared" si="50"/>
        <v>86.902790232252897</v>
      </c>
      <c r="P32" s="13">
        <f t="shared" si="51"/>
        <v>1.5322744958593227E-2</v>
      </c>
      <c r="Q32" s="14">
        <v>1211.6199999999999</v>
      </c>
      <c r="R32" s="14">
        <v>310.36</v>
      </c>
      <c r="S32" s="14">
        <v>1209.74</v>
      </c>
      <c r="T32" s="14">
        <v>290.24799999999999</v>
      </c>
      <c r="U32" s="38">
        <v>1190.48</v>
      </c>
      <c r="V32" s="38">
        <v>312.61500000000001</v>
      </c>
      <c r="W32" s="14">
        <v>1188.5999999999999</v>
      </c>
      <c r="X32" s="14">
        <v>292.69200000000001</v>
      </c>
      <c r="Y32" s="14">
        <v>1199.99</v>
      </c>
      <c r="Z32" s="14">
        <v>301.12599999999998</v>
      </c>
      <c r="AA32" s="14">
        <v>1199.94</v>
      </c>
      <c r="AB32" s="14">
        <v>299.47899999999998</v>
      </c>
      <c r="AC32" s="14">
        <v>1200.1099999999999</v>
      </c>
      <c r="AD32" s="14">
        <v>302.84699999999998</v>
      </c>
      <c r="AE32" s="14" t="s">
        <v>215</v>
      </c>
      <c r="AF32" s="14" t="s">
        <v>214</v>
      </c>
      <c r="AG32" s="14" t="s">
        <v>223</v>
      </c>
      <c r="AH32" s="14" t="s">
        <v>223</v>
      </c>
      <c r="AI32" s="51" t="s">
        <v>223</v>
      </c>
      <c r="AJ32" s="55">
        <v>6.1873415547045499E-5</v>
      </c>
      <c r="AK32" s="55">
        <v>6.3478561662628805E-5</v>
      </c>
      <c r="AL32" s="55">
        <v>5.4167439594379898E-5</v>
      </c>
      <c r="AM32" s="55">
        <v>5.0184253850176901E-5</v>
      </c>
      <c r="AN32" s="51">
        <v>0.83246946532011601</v>
      </c>
    </row>
    <row r="33" spans="1:40" x14ac:dyDescent="0.35">
      <c r="A33" s="38" t="s">
        <v>117</v>
      </c>
      <c r="B33" s="14">
        <v>1</v>
      </c>
      <c r="C33" s="38">
        <v>30</v>
      </c>
      <c r="D33" s="14">
        <v>1316</v>
      </c>
      <c r="E33" s="12">
        <f t="shared" ref="E33:E39" si="52">DIST2(Q33,R33,W33,X33)</f>
        <v>43.265802153664097</v>
      </c>
      <c r="F33" s="12">
        <f t="shared" si="1"/>
        <v>1.6797526583142004</v>
      </c>
      <c r="G33" s="12">
        <f t="shared" ref="G33:G39" si="53">DIST2(AA33,AB33,AC33,AD33)</f>
        <v>0.33539379839227207</v>
      </c>
      <c r="H33" s="12">
        <f t="shared" ref="H33:H39" si="54">DIST2(Q33,R33,S33,T33)</f>
        <v>36.286809187361726</v>
      </c>
      <c r="I33" s="12">
        <f t="shared" si="4"/>
        <v>1.165528028035475</v>
      </c>
      <c r="J33" s="12">
        <f t="shared" ref="J33:J39" si="55">DIST2(U33,V33,W33,X33)</f>
        <v>23.307988094213538</v>
      </c>
      <c r="K33" s="13">
        <f t="shared" ref="K33:K39" si="56">E33/D33</f>
        <v>3.2876749356887613E-2</v>
      </c>
      <c r="L33" s="13">
        <f t="shared" ref="L33:L39" si="57">F33*180/PI()</f>
        <v>96.24273794728434</v>
      </c>
      <c r="M33" s="13">
        <f t="shared" ref="M33:M39" si="58">G33/D33</f>
        <v>2.5485850941662011E-4</v>
      </c>
      <c r="N33" s="13">
        <f t="shared" ref="N33:N39" si="59">H33/D33</f>
        <v>2.7573563212280945E-2</v>
      </c>
      <c r="O33" s="13">
        <f t="shared" ref="O33:O39" si="60">I33*180/PI()</f>
        <v>66.77983691063821</v>
      </c>
      <c r="P33" s="13">
        <f t="shared" ref="P33:P39" si="61">J33/D33</f>
        <v>1.7711237153657702E-2</v>
      </c>
      <c r="Q33" s="14">
        <v>1320.11</v>
      </c>
      <c r="R33" s="14">
        <v>-120.92700000000001</v>
      </c>
      <c r="S33" s="14">
        <v>1309.3699999999999</v>
      </c>
      <c r="T33" s="14">
        <v>-155.58799999999999</v>
      </c>
      <c r="U33" s="38">
        <v>1351.69</v>
      </c>
      <c r="V33" s="38">
        <v>-135.28</v>
      </c>
      <c r="W33" s="14">
        <v>1343.72</v>
      </c>
      <c r="X33" s="14">
        <v>-157.18299999999999</v>
      </c>
      <c r="Y33" s="14">
        <v>1330.68</v>
      </c>
      <c r="Z33" s="14">
        <v>-141.54400000000001</v>
      </c>
      <c r="AA33" s="14">
        <v>1330.7</v>
      </c>
      <c r="AB33" s="14">
        <v>-141.36699999999999</v>
      </c>
      <c r="AC33" s="14">
        <v>1330.66</v>
      </c>
      <c r="AD33" s="14">
        <v>-141.69999999999999</v>
      </c>
      <c r="AE33" s="14" t="s">
        <v>215</v>
      </c>
      <c r="AF33" s="14" t="s">
        <v>212</v>
      </c>
      <c r="AG33" s="14" t="s">
        <v>224</v>
      </c>
      <c r="AH33" s="14" t="s">
        <v>224</v>
      </c>
      <c r="AI33" s="51" t="s">
        <v>224</v>
      </c>
      <c r="AJ33" s="51">
        <v>1.18444590658807E-4</v>
      </c>
      <c r="AK33" s="51">
        <v>1.6970041100414999E-4</v>
      </c>
      <c r="AL33" s="51">
        <v>1.4567815973152499E-4</v>
      </c>
      <c r="AM33" s="51">
        <v>1.5085339081309399E-4</v>
      </c>
      <c r="AN33" s="51">
        <v>1.0291053075127501</v>
      </c>
    </row>
    <row r="34" spans="1:40" x14ac:dyDescent="0.35">
      <c r="A34" s="38" t="s">
        <v>117</v>
      </c>
      <c r="B34" s="14">
        <v>1</v>
      </c>
      <c r="C34" s="38">
        <v>40</v>
      </c>
      <c r="D34" s="14">
        <v>1316</v>
      </c>
      <c r="E34" s="12">
        <f t="shared" si="52"/>
        <v>53.761691649351924</v>
      </c>
      <c r="F34" s="12">
        <f t="shared" si="1"/>
        <v>0.96412235676179148</v>
      </c>
      <c r="G34" s="12">
        <f t="shared" si="53"/>
        <v>1.1861117148060107</v>
      </c>
      <c r="H34" s="12">
        <f t="shared" si="54"/>
        <v>27.627013754656886</v>
      </c>
      <c r="I34" s="12">
        <f t="shared" si="4"/>
        <v>1.3626186210779552</v>
      </c>
      <c r="J34" s="12">
        <f t="shared" si="55"/>
        <v>30.157998673652045</v>
      </c>
      <c r="K34" s="13">
        <f t="shared" si="56"/>
        <v>4.0852349277623046E-2</v>
      </c>
      <c r="L34" s="13">
        <f t="shared" si="57"/>
        <v>55.240141976656901</v>
      </c>
      <c r="M34" s="13">
        <f t="shared" si="58"/>
        <v>9.0130069514134559E-4</v>
      </c>
      <c r="N34" s="13">
        <f t="shared" si="59"/>
        <v>2.0993171546091857E-2</v>
      </c>
      <c r="O34" s="13">
        <f t="shared" si="60"/>
        <v>78.072296073702788</v>
      </c>
      <c r="P34" s="13">
        <f t="shared" si="61"/>
        <v>2.2916412365996994E-2</v>
      </c>
      <c r="Q34" s="14">
        <v>1196.9100000000001</v>
      </c>
      <c r="R34" s="14">
        <v>-103.572</v>
      </c>
      <c r="S34" s="14">
        <v>1193.51</v>
      </c>
      <c r="T34" s="14">
        <v>-130.989</v>
      </c>
      <c r="U34" s="38">
        <v>1241.79</v>
      </c>
      <c r="V34" s="38">
        <v>-108.727</v>
      </c>
      <c r="W34" s="14">
        <v>1237.69</v>
      </c>
      <c r="X34" s="14">
        <v>-138.60499999999999</v>
      </c>
      <c r="Y34" s="14">
        <v>1221.29</v>
      </c>
      <c r="Z34" s="14">
        <v>-121.334</v>
      </c>
      <c r="AA34" s="14">
        <v>1221.29</v>
      </c>
      <c r="AB34" s="14">
        <v>-121.89100000000001</v>
      </c>
      <c r="AC34" s="14">
        <v>1221.4000000000001</v>
      </c>
      <c r="AD34" s="14">
        <v>-120.71</v>
      </c>
      <c r="AE34" s="14" t="s">
        <v>215</v>
      </c>
      <c r="AF34" s="14" t="s">
        <v>212</v>
      </c>
      <c r="AG34" s="14" t="s">
        <v>224</v>
      </c>
      <c r="AH34" s="14" t="s">
        <v>224</v>
      </c>
      <c r="AI34" s="51" t="s">
        <v>224</v>
      </c>
      <c r="AJ34" s="51">
        <v>1.6191019923134499E-4</v>
      </c>
      <c r="AK34" s="51">
        <v>2.1041508647370199E-4</v>
      </c>
      <c r="AL34" s="51">
        <v>1.8561228242994701E-4</v>
      </c>
      <c r="AM34" s="51">
        <v>1.7712850260067801E-4</v>
      </c>
      <c r="AN34" s="51">
        <v>0.97425772290412105</v>
      </c>
    </row>
    <row r="35" spans="1:40" x14ac:dyDescent="0.35">
      <c r="A35" s="38" t="s">
        <v>117</v>
      </c>
      <c r="B35" s="14">
        <v>1</v>
      </c>
      <c r="C35" s="38">
        <v>50</v>
      </c>
      <c r="D35" s="14">
        <v>1316</v>
      </c>
      <c r="E35" s="12">
        <f t="shared" si="52"/>
        <v>53.92925959996122</v>
      </c>
      <c r="F35" s="12">
        <f t="shared" si="1"/>
        <v>0.96684763350460801</v>
      </c>
      <c r="G35" s="12">
        <f t="shared" si="53"/>
        <v>2.4027517558000091</v>
      </c>
      <c r="H35" s="12">
        <f t="shared" si="54"/>
        <v>23.195726438290304</v>
      </c>
      <c r="I35" s="12">
        <f t="shared" si="4"/>
        <v>0.98927570041979351</v>
      </c>
      <c r="J35" s="12">
        <f t="shared" si="55"/>
        <v>27.628903416531031</v>
      </c>
      <c r="K35" s="13">
        <f t="shared" si="56"/>
        <v>4.0979680547082994E-2</v>
      </c>
      <c r="L35" s="13">
        <f t="shared" si="57"/>
        <v>55.396288832025448</v>
      </c>
      <c r="M35" s="13">
        <f t="shared" si="58"/>
        <v>1.8257992065349614E-3</v>
      </c>
      <c r="N35" s="13">
        <f t="shared" si="59"/>
        <v>1.7625931943989592E-2</v>
      </c>
      <c r="O35" s="13">
        <f t="shared" si="60"/>
        <v>56.681322408902574</v>
      </c>
      <c r="P35" s="13">
        <f t="shared" si="61"/>
        <v>2.0994607459370086E-2</v>
      </c>
      <c r="Q35" s="14">
        <v>1050.78</v>
      </c>
      <c r="R35" s="14">
        <v>-100.694</v>
      </c>
      <c r="S35" s="14">
        <v>1048.97</v>
      </c>
      <c r="T35" s="14">
        <v>-123.819</v>
      </c>
      <c r="U35" s="38">
        <v>1098.48</v>
      </c>
      <c r="V35" s="38">
        <v>-101.871</v>
      </c>
      <c r="W35" s="14">
        <v>1096.42</v>
      </c>
      <c r="X35" s="14">
        <v>-129.423</v>
      </c>
      <c r="Y35" s="14">
        <v>1071.8800000000001</v>
      </c>
      <c r="Z35" s="14">
        <v>-114.212</v>
      </c>
      <c r="AA35" s="14">
        <v>1071.8399999999999</v>
      </c>
      <c r="AB35" s="14">
        <v>-115.339</v>
      </c>
      <c r="AC35" s="14">
        <v>1072.02</v>
      </c>
      <c r="AD35" s="14">
        <v>-112.943</v>
      </c>
      <c r="AE35" s="14" t="s">
        <v>215</v>
      </c>
      <c r="AF35" s="14" t="s">
        <v>212</v>
      </c>
      <c r="AG35" s="14" t="s">
        <v>224</v>
      </c>
      <c r="AH35" s="14" t="s">
        <v>224</v>
      </c>
      <c r="AI35" s="51" t="s">
        <v>224</v>
      </c>
      <c r="AJ35" s="51">
        <v>2.0424929670827101E-4</v>
      </c>
      <c r="AK35" s="51">
        <v>1.47935244038766E-4</v>
      </c>
      <c r="AL35" s="51">
        <v>1.61467760599034E-4</v>
      </c>
      <c r="AM35" s="51">
        <v>1.5317078325218701E-4</v>
      </c>
      <c r="AN35" s="51">
        <v>0.89339112723069802</v>
      </c>
    </row>
    <row r="36" spans="1:40" x14ac:dyDescent="0.35">
      <c r="A36" s="38" t="s">
        <v>117</v>
      </c>
      <c r="B36" s="14">
        <v>1</v>
      </c>
      <c r="C36" s="38">
        <v>60</v>
      </c>
      <c r="D36" s="14">
        <v>1316</v>
      </c>
      <c r="E36" s="12">
        <f t="shared" si="52"/>
        <v>51.410889358578444</v>
      </c>
      <c r="F36" s="12">
        <f t="shared" si="1"/>
        <v>1.0405372620376507</v>
      </c>
      <c r="G36" s="12">
        <f t="shared" si="53"/>
        <v>3.7641266928731247</v>
      </c>
      <c r="H36" s="12">
        <f t="shared" si="54"/>
        <v>25.025342228229373</v>
      </c>
      <c r="I36" s="12">
        <f t="shared" si="4"/>
        <v>1.1136800337292307</v>
      </c>
      <c r="J36" s="12">
        <f t="shared" si="55"/>
        <v>28.114320726099731</v>
      </c>
      <c r="K36" s="13">
        <f t="shared" si="56"/>
        <v>3.9066025348463866E-2</v>
      </c>
      <c r="L36" s="13">
        <f t="shared" si="57"/>
        <v>59.618393540855607</v>
      </c>
      <c r="M36" s="13">
        <f t="shared" si="58"/>
        <v>2.8602786420008548E-3</v>
      </c>
      <c r="N36" s="13">
        <f t="shared" si="59"/>
        <v>1.901621749865454E-2</v>
      </c>
      <c r="O36" s="13">
        <f t="shared" si="60"/>
        <v>63.809165660672093</v>
      </c>
      <c r="P36" s="13">
        <f t="shared" si="61"/>
        <v>2.1363465597340221E-2</v>
      </c>
      <c r="Q36" s="14">
        <v>923.74300000000005</v>
      </c>
      <c r="R36" s="14">
        <v>-79.509799999999998</v>
      </c>
      <c r="S36" s="14">
        <v>918.42700000000002</v>
      </c>
      <c r="T36" s="14">
        <v>-103.964</v>
      </c>
      <c r="U36" s="38">
        <v>967.69</v>
      </c>
      <c r="V36" s="38">
        <v>-87.070700000000002</v>
      </c>
      <c r="W36" s="14">
        <v>961.42899999999997</v>
      </c>
      <c r="X36" s="14">
        <v>-114.479</v>
      </c>
      <c r="Y36" s="14">
        <v>942.55600000000004</v>
      </c>
      <c r="Z36" s="14">
        <v>-95.706299999999999</v>
      </c>
      <c r="AA36" s="14">
        <v>942.28399999999999</v>
      </c>
      <c r="AB36" s="14">
        <v>-97.701099999999997</v>
      </c>
      <c r="AC36" s="14">
        <v>942.87400000000002</v>
      </c>
      <c r="AD36" s="14">
        <v>-93.983500000000006</v>
      </c>
      <c r="AE36" s="14" t="s">
        <v>215</v>
      </c>
      <c r="AF36" s="14" t="s">
        <v>212</v>
      </c>
      <c r="AG36" s="14" t="s">
        <v>224</v>
      </c>
      <c r="AH36" s="14" t="s">
        <v>224</v>
      </c>
      <c r="AI36" s="51" t="s">
        <v>224</v>
      </c>
      <c r="AJ36" s="51">
        <v>1.8327526093393399E-4</v>
      </c>
      <c r="AK36" s="51">
        <v>1.57679812467087E-4</v>
      </c>
      <c r="AL36" s="51">
        <v>1.4187903497750399E-4</v>
      </c>
      <c r="AM36" s="51">
        <v>1.5017806930830299E-4</v>
      </c>
      <c r="AN36" s="51">
        <v>0.85658530132002897</v>
      </c>
    </row>
    <row r="37" spans="1:40" x14ac:dyDescent="0.35">
      <c r="A37" s="38" t="s">
        <v>117</v>
      </c>
      <c r="B37" s="14">
        <v>1</v>
      </c>
      <c r="C37" s="38">
        <v>70</v>
      </c>
      <c r="D37" s="14">
        <v>1316</v>
      </c>
      <c r="E37" s="12">
        <f t="shared" si="52"/>
        <v>49.55278753420437</v>
      </c>
      <c r="F37" s="12">
        <f t="shared" si="1"/>
        <v>1.1184012771533627</v>
      </c>
      <c r="G37" s="12">
        <f t="shared" si="53"/>
        <v>3.2007014871743227</v>
      </c>
      <c r="H37" s="12">
        <f t="shared" si="54"/>
        <v>25.746116041842129</v>
      </c>
      <c r="I37" s="12">
        <f t="shared" si="4"/>
        <v>1.1789604482744553</v>
      </c>
      <c r="J37" s="12">
        <f t="shared" si="55"/>
        <v>27.813189242515858</v>
      </c>
      <c r="K37" s="13">
        <f t="shared" si="56"/>
        <v>3.7654093870975965E-2</v>
      </c>
      <c r="L37" s="13">
        <f t="shared" si="57"/>
        <v>64.079672982928741</v>
      </c>
      <c r="M37" s="13">
        <f t="shared" si="58"/>
        <v>2.4321439872145309E-3</v>
      </c>
      <c r="N37" s="13">
        <f t="shared" si="59"/>
        <v>1.9563917964925629E-2</v>
      </c>
      <c r="O37" s="13">
        <f t="shared" si="60"/>
        <v>67.549457898977892</v>
      </c>
      <c r="P37" s="13">
        <f t="shared" si="61"/>
        <v>2.1134642281547003E-2</v>
      </c>
      <c r="Q37" s="14">
        <v>796.851</v>
      </c>
      <c r="R37" s="14">
        <v>-49.826799999999999</v>
      </c>
      <c r="S37" s="14">
        <v>790.87599999999998</v>
      </c>
      <c r="T37" s="14">
        <v>-74.87</v>
      </c>
      <c r="U37" s="38">
        <v>837.149</v>
      </c>
      <c r="V37" s="38">
        <v>-58.852499999999999</v>
      </c>
      <c r="W37" s="14">
        <v>830.79300000000001</v>
      </c>
      <c r="X37" s="14">
        <v>-85.929699999999997</v>
      </c>
      <c r="Y37" s="14">
        <v>813.68899999999996</v>
      </c>
      <c r="Z37" s="14">
        <v>-67.809799999999996</v>
      </c>
      <c r="AA37" s="14">
        <v>813.40800000000002</v>
      </c>
      <c r="AB37" s="14">
        <v>-69.339100000000002</v>
      </c>
      <c r="AC37" s="14">
        <v>814.00199999999995</v>
      </c>
      <c r="AD37" s="14">
        <v>-66.194000000000003</v>
      </c>
      <c r="AE37" s="14" t="s">
        <v>215</v>
      </c>
      <c r="AF37" s="14" t="s">
        <v>212</v>
      </c>
      <c r="AG37" s="14" t="s">
        <v>224</v>
      </c>
      <c r="AH37" s="14" t="s">
        <v>224</v>
      </c>
      <c r="AI37" s="51" t="s">
        <v>224</v>
      </c>
      <c r="AJ37" s="51">
        <v>1.66959179400597E-4</v>
      </c>
      <c r="AK37" s="51">
        <v>1.5276265076311199E-4</v>
      </c>
      <c r="AL37" s="51">
        <v>1.45729681018514E-4</v>
      </c>
      <c r="AM37" s="51">
        <v>1.3568509613385901E-4</v>
      </c>
      <c r="AN37" s="51">
        <v>0.88018630760457905</v>
      </c>
    </row>
    <row r="38" spans="1:40" x14ac:dyDescent="0.35">
      <c r="A38" s="38" t="s">
        <v>117</v>
      </c>
      <c r="B38" s="14">
        <v>1</v>
      </c>
      <c r="C38" s="38">
        <v>80</v>
      </c>
      <c r="D38" s="14">
        <v>1316</v>
      </c>
      <c r="E38" s="12">
        <f t="shared" si="52"/>
        <v>46.332792838765904</v>
      </c>
      <c r="F38" s="12">
        <f t="shared" si="1"/>
        <v>1.0760004222544053</v>
      </c>
      <c r="G38" s="12">
        <f t="shared" si="53"/>
        <v>3.2251800089297511</v>
      </c>
      <c r="H38" s="12">
        <f t="shared" si="54"/>
        <v>23.461884255958637</v>
      </c>
      <c r="I38" s="12">
        <f t="shared" si="4"/>
        <v>1.0277452302311763</v>
      </c>
      <c r="J38" s="12">
        <f t="shared" si="55"/>
        <v>23.480469855605534</v>
      </c>
      <c r="K38" s="13">
        <f t="shared" si="56"/>
        <v>3.5207289391159503E-2</v>
      </c>
      <c r="L38" s="13">
        <f t="shared" si="57"/>
        <v>61.650282949471887</v>
      </c>
      <c r="M38" s="13">
        <f t="shared" si="58"/>
        <v>2.4507446876365891E-3</v>
      </c>
      <c r="N38" s="13">
        <f t="shared" si="59"/>
        <v>1.7828179525804434E-2</v>
      </c>
      <c r="O38" s="13">
        <f t="shared" si="60"/>
        <v>58.885464106947502</v>
      </c>
      <c r="P38" s="13">
        <f t="shared" si="61"/>
        <v>1.7842302321888704E-2</v>
      </c>
      <c r="Q38" s="14">
        <v>667.93299999999999</v>
      </c>
      <c r="R38" s="14">
        <v>-29.287700000000001</v>
      </c>
      <c r="S38" s="14">
        <v>664.29300000000001</v>
      </c>
      <c r="T38" s="14">
        <v>-52.465499999999999</v>
      </c>
      <c r="U38" s="38">
        <v>707.73599999999999</v>
      </c>
      <c r="V38" s="38">
        <v>-34.020299999999999</v>
      </c>
      <c r="W38" s="14">
        <v>704.82399999999996</v>
      </c>
      <c r="X38" s="14">
        <v>-57.319499999999998</v>
      </c>
      <c r="Y38" s="14">
        <v>685.62699999999995</v>
      </c>
      <c r="Z38" s="14">
        <v>-43.209000000000003</v>
      </c>
      <c r="AA38" s="14">
        <v>685.50699999999995</v>
      </c>
      <c r="AB38" s="14">
        <v>-44.692700000000002</v>
      </c>
      <c r="AC38" s="14">
        <v>685.94500000000005</v>
      </c>
      <c r="AD38" s="14">
        <v>-41.497399999999999</v>
      </c>
      <c r="AE38" s="14" t="s">
        <v>215</v>
      </c>
      <c r="AF38" s="14" t="s">
        <v>212</v>
      </c>
      <c r="AG38" s="14" t="s">
        <v>224</v>
      </c>
      <c r="AH38" s="14" t="s">
        <v>224</v>
      </c>
      <c r="AI38" s="51" t="s">
        <v>224</v>
      </c>
      <c r="AJ38" s="51">
        <v>1.4099455104812399E-4</v>
      </c>
      <c r="AK38" s="51">
        <v>1.3303113111020701E-4</v>
      </c>
      <c r="AL38" s="51">
        <v>1.15696425655482E-4</v>
      </c>
      <c r="AM38" s="51">
        <v>1.20683276438688E-4</v>
      </c>
      <c r="AN38" s="51">
        <v>0.862618788984856</v>
      </c>
    </row>
    <row r="39" spans="1:40" x14ac:dyDescent="0.35">
      <c r="A39" s="38" t="s">
        <v>117</v>
      </c>
      <c r="B39" s="14">
        <v>1</v>
      </c>
      <c r="C39" s="38">
        <v>90</v>
      </c>
      <c r="D39" s="14">
        <v>1316</v>
      </c>
      <c r="E39" s="12">
        <f t="shared" si="52"/>
        <v>48.282465384029486</v>
      </c>
      <c r="F39" s="12">
        <f t="shared" si="1"/>
        <v>0.97026762733716609</v>
      </c>
      <c r="G39" s="12">
        <f t="shared" si="53"/>
        <v>2.9377159171710265</v>
      </c>
      <c r="H39" s="12">
        <f t="shared" si="54"/>
        <v>22.028083694456949</v>
      </c>
      <c r="I39" s="12">
        <f t="shared" si="4"/>
        <v>1.0104212828374375</v>
      </c>
      <c r="J39" s="12">
        <f t="shared" si="55"/>
        <v>23.831568702248699</v>
      </c>
      <c r="K39" s="13">
        <f t="shared" si="56"/>
        <v>3.6688803483305082E-2</v>
      </c>
      <c r="L39" s="13">
        <f t="shared" si="57"/>
        <v>55.59224004459179</v>
      </c>
      <c r="M39" s="13">
        <f t="shared" si="58"/>
        <v>2.2323069279415095E-3</v>
      </c>
      <c r="N39" s="13">
        <f t="shared" si="59"/>
        <v>1.6738665421319871E-2</v>
      </c>
      <c r="O39" s="13">
        <f t="shared" si="60"/>
        <v>57.892875036779614</v>
      </c>
      <c r="P39" s="13">
        <f t="shared" si="61"/>
        <v>1.8109094758547644E-2</v>
      </c>
      <c r="Q39" s="14">
        <v>534.55399999999997</v>
      </c>
      <c r="R39" s="14">
        <v>-17.655999999999999</v>
      </c>
      <c r="S39" s="14">
        <v>532.755</v>
      </c>
      <c r="T39" s="14">
        <v>-39.610500000000002</v>
      </c>
      <c r="U39" s="38">
        <v>576.904</v>
      </c>
      <c r="V39" s="38">
        <v>-20.295300000000001</v>
      </c>
      <c r="W39" s="14">
        <v>574.98400000000004</v>
      </c>
      <c r="X39" s="14">
        <v>-44.049399999999999</v>
      </c>
      <c r="Y39" s="14">
        <v>554.471</v>
      </c>
      <c r="Z39" s="14">
        <v>-30.423300000000001</v>
      </c>
      <c r="AA39" s="14">
        <v>554.40499999999997</v>
      </c>
      <c r="AB39" s="14">
        <v>-31.855499999999999</v>
      </c>
      <c r="AC39" s="14">
        <v>554.60500000000002</v>
      </c>
      <c r="AD39" s="14">
        <v>-28.924600000000002</v>
      </c>
      <c r="AE39" s="14" t="s">
        <v>215</v>
      </c>
      <c r="AF39" s="14" t="s">
        <v>212</v>
      </c>
      <c r="AG39" s="14" t="s">
        <v>224</v>
      </c>
      <c r="AH39" s="14" t="s">
        <v>224</v>
      </c>
      <c r="AI39" s="51" t="s">
        <v>224</v>
      </c>
      <c r="AJ39" s="51">
        <v>1.48231136220332E-4</v>
      </c>
      <c r="AK39" s="51">
        <v>1.32873676910783E-4</v>
      </c>
      <c r="AL39" s="51">
        <v>1.2249996700072099E-4</v>
      </c>
      <c r="AM39" s="51">
        <v>1.22293100581111E-4</v>
      </c>
      <c r="AN39" s="51">
        <v>0.87082488860713003</v>
      </c>
    </row>
    <row r="40" spans="1:40" x14ac:dyDescent="0.35">
      <c r="A40" s="38" t="s">
        <v>118</v>
      </c>
      <c r="B40" s="14">
        <v>1</v>
      </c>
      <c r="C40" s="38">
        <v>50</v>
      </c>
      <c r="D40" s="14">
        <v>861</v>
      </c>
      <c r="E40" s="12">
        <f t="shared" ref="E40:E44" si="62">DIST2(Q40,R40,W40,X40)</f>
        <v>26.081470913274803</v>
      </c>
      <c r="F40" s="12">
        <f t="shared" si="1"/>
        <v>0.88173209073988379</v>
      </c>
      <c r="G40" s="12">
        <f t="shared" ref="G40:G44" si="63">DIST2(AA40,AB40,AC40,AD40)</f>
        <v>0.59754581414314389</v>
      </c>
      <c r="H40" s="12">
        <f t="shared" ref="H40:H44" si="64">DIST2(Q40,R40,S40,T40)</f>
        <v>14.099293776640003</v>
      </c>
      <c r="I40" s="12">
        <f t="shared" si="4"/>
        <v>1.3303826804314267</v>
      </c>
      <c r="J40" s="12">
        <f t="shared" ref="J40:J44" si="65">DIST2(U40,V40,W40,X40)</f>
        <v>13.16812382232183</v>
      </c>
      <c r="K40" s="13">
        <f t="shared" ref="K40:K44" si="66">E40/D40</f>
        <v>3.0292068424244836E-2</v>
      </c>
      <c r="L40" s="13">
        <f t="shared" ref="L40:L44" si="67">F40*180/PI()</f>
        <v>50.519527460641477</v>
      </c>
      <c r="M40" s="13">
        <f t="shared" ref="M40:M44" si="68">G40/D40</f>
        <v>6.9401372142060852E-4</v>
      </c>
      <c r="N40" s="13">
        <f t="shared" ref="N40:N44" si="69">H40/D40</f>
        <v>1.6375486384018586E-2</v>
      </c>
      <c r="O40" s="13">
        <f t="shared" ref="O40:O44" si="70">I40*180/PI()</f>
        <v>76.225312726022494</v>
      </c>
      <c r="P40" s="13">
        <f t="shared" ref="P40:P44" si="71">J40/D40</f>
        <v>1.5293988179235574E-2</v>
      </c>
      <c r="Q40" s="14">
        <v>497.00099999999998</v>
      </c>
      <c r="R40" s="14">
        <v>-249.035</v>
      </c>
      <c r="S40" s="14">
        <v>496.81</v>
      </c>
      <c r="T40" s="14">
        <v>-263.13299999999998</v>
      </c>
      <c r="U40" s="38">
        <v>474.13900000000001</v>
      </c>
      <c r="V40" s="38">
        <v>-246.93899999999999</v>
      </c>
      <c r="W40" s="14">
        <v>473.37599999999998</v>
      </c>
      <c r="X40" s="14">
        <v>-260.08499999999998</v>
      </c>
      <c r="Y40" s="14">
        <v>482.05900000000003</v>
      </c>
      <c r="Z40" s="14">
        <v>-254.7</v>
      </c>
      <c r="AA40" s="14">
        <v>482.09899999999999</v>
      </c>
      <c r="AB40" s="14">
        <v>-254.977</v>
      </c>
      <c r="AC40" s="14">
        <v>482.03399999999999</v>
      </c>
      <c r="AD40" s="14">
        <v>-254.38300000000001</v>
      </c>
      <c r="AE40" s="14" t="s">
        <v>216</v>
      </c>
      <c r="AF40" s="14" t="s">
        <v>214</v>
      </c>
      <c r="AG40" s="14" t="s">
        <v>223</v>
      </c>
      <c r="AH40" s="14" t="s">
        <v>223</v>
      </c>
      <c r="AI40" s="51" t="s">
        <v>223</v>
      </c>
      <c r="AJ40" s="55">
        <v>7.4217486756749298E-5</v>
      </c>
      <c r="AK40" s="51">
        <v>1.4134922725782701E-4</v>
      </c>
      <c r="AL40" s="51">
        <v>1.03623671796698E-4</v>
      </c>
      <c r="AM40" s="55">
        <v>9.8667497615742404E-5</v>
      </c>
      <c r="AN40" s="51">
        <v>0.93841560992928597</v>
      </c>
    </row>
    <row r="41" spans="1:40" x14ac:dyDescent="0.35">
      <c r="A41" s="38" t="s">
        <v>118</v>
      </c>
      <c r="B41" s="14">
        <v>1</v>
      </c>
      <c r="C41" s="38">
        <v>60</v>
      </c>
      <c r="D41" s="14">
        <v>861</v>
      </c>
      <c r="E41" s="12">
        <f t="shared" si="62"/>
        <v>28.349125736078669</v>
      </c>
      <c r="F41" s="12">
        <f t="shared" si="1"/>
        <v>0.80782760947212906</v>
      </c>
      <c r="G41" s="12">
        <f t="shared" si="63"/>
        <v>1.7834539523071908</v>
      </c>
      <c r="H41" s="12">
        <f t="shared" si="64"/>
        <v>13.006763932662153</v>
      </c>
      <c r="I41" s="12">
        <f t="shared" si="4"/>
        <v>1.1006356475246721</v>
      </c>
      <c r="J41" s="12">
        <f t="shared" si="65"/>
        <v>12.185266267094857</v>
      </c>
      <c r="K41" s="13">
        <f t="shared" si="66"/>
        <v>3.2925813863041428E-2</v>
      </c>
      <c r="L41" s="13">
        <f t="shared" si="67"/>
        <v>46.28511259689548</v>
      </c>
      <c r="M41" s="13">
        <f t="shared" si="68"/>
        <v>2.071375089787678E-3</v>
      </c>
      <c r="N41" s="13">
        <f t="shared" si="69"/>
        <v>1.5106578319003663E-2</v>
      </c>
      <c r="O41" s="13">
        <f t="shared" si="70"/>
        <v>63.06177738481221</v>
      </c>
      <c r="P41" s="13">
        <f t="shared" si="71"/>
        <v>1.4152457917647918E-2</v>
      </c>
      <c r="Q41" s="14">
        <v>578.01199999999994</v>
      </c>
      <c r="R41" s="14">
        <v>-250.21799999999999</v>
      </c>
      <c r="S41" s="14">
        <v>578.36400000000003</v>
      </c>
      <c r="T41" s="14">
        <v>-263.22000000000003</v>
      </c>
      <c r="U41" s="38">
        <v>553.178</v>
      </c>
      <c r="V41" s="38">
        <v>-251.27199999999999</v>
      </c>
      <c r="W41" s="14">
        <v>552.94299999999998</v>
      </c>
      <c r="X41" s="14">
        <v>-263.45499999999998</v>
      </c>
      <c r="Y41" s="14">
        <v>562.97500000000002</v>
      </c>
      <c r="Z41" s="14">
        <v>-256.96800000000002</v>
      </c>
      <c r="AA41" s="14">
        <v>563.26700000000005</v>
      </c>
      <c r="AB41" s="14">
        <v>-258.07600000000002</v>
      </c>
      <c r="AC41" s="14">
        <v>563.33900000000006</v>
      </c>
      <c r="AD41" s="14">
        <v>-256.29399999999998</v>
      </c>
      <c r="AE41" s="14" t="s">
        <v>216</v>
      </c>
      <c r="AF41" s="14" t="s">
        <v>214</v>
      </c>
      <c r="AG41" s="14" t="s">
        <v>223</v>
      </c>
      <c r="AH41" s="14" t="s">
        <v>223</v>
      </c>
      <c r="AI41" s="51" t="s">
        <v>223</v>
      </c>
      <c r="AJ41" s="55">
        <v>8.1405633322137298E-5</v>
      </c>
      <c r="AK41" s="51">
        <v>1.3346922183507599E-4</v>
      </c>
      <c r="AL41" s="55">
        <v>9.1341026357002998E-5</v>
      </c>
      <c r="AM41" s="55">
        <v>9.0590593683437899E-5</v>
      </c>
      <c r="AN41" s="51">
        <v>0.84668641152698298</v>
      </c>
    </row>
    <row r="42" spans="1:40" x14ac:dyDescent="0.35">
      <c r="A42" s="38" t="s">
        <v>118</v>
      </c>
      <c r="B42" s="14">
        <v>1</v>
      </c>
      <c r="C42" s="38">
        <v>70</v>
      </c>
      <c r="D42" s="14">
        <v>861</v>
      </c>
      <c r="E42" s="12">
        <f t="shared" si="62"/>
        <v>26.936364138465322</v>
      </c>
      <c r="F42" s="12">
        <f t="shared" si="1"/>
        <v>0.89366092641745309</v>
      </c>
      <c r="G42" s="12">
        <f t="shared" si="63"/>
        <v>2.6623803259489485</v>
      </c>
      <c r="H42" s="12">
        <f t="shared" si="64"/>
        <v>11.701420512057513</v>
      </c>
      <c r="I42" s="12">
        <f t="shared" si="4"/>
        <v>0.92022841571217251</v>
      </c>
      <c r="J42" s="12">
        <f t="shared" si="65"/>
        <v>11.872653494480476</v>
      </c>
      <c r="K42" s="13">
        <f t="shared" si="66"/>
        <v>3.1284975770575284E-2</v>
      </c>
      <c r="L42" s="13">
        <f t="shared" si="67"/>
        <v>51.202999399471274</v>
      </c>
      <c r="M42" s="13">
        <f t="shared" si="68"/>
        <v>3.0921955005214267E-3</v>
      </c>
      <c r="N42" s="13">
        <f t="shared" si="69"/>
        <v>1.3590500014004081E-2</v>
      </c>
      <c r="O42" s="13">
        <f t="shared" si="70"/>
        <v>52.725204408317701</v>
      </c>
      <c r="P42" s="13">
        <f t="shared" si="71"/>
        <v>1.3789376880929705E-2</v>
      </c>
      <c r="Q42" s="14">
        <v>657.66899999999998</v>
      </c>
      <c r="R42" s="14">
        <v>-249.72499999999999</v>
      </c>
      <c r="S42" s="14">
        <v>658.36</v>
      </c>
      <c r="T42" s="14">
        <v>-261.40600000000001</v>
      </c>
      <c r="U42" s="38">
        <v>633.99300000000005</v>
      </c>
      <c r="V42" s="38">
        <v>-250.227</v>
      </c>
      <c r="W42" s="14">
        <v>633.74199999999996</v>
      </c>
      <c r="X42" s="14">
        <v>-262.09699999999998</v>
      </c>
      <c r="Y42" s="14">
        <v>645.81600000000003</v>
      </c>
      <c r="Z42" s="14">
        <v>-255.60300000000001</v>
      </c>
      <c r="AA42" s="14">
        <v>645.83900000000006</v>
      </c>
      <c r="AB42" s="14">
        <v>-256.88900000000001</v>
      </c>
      <c r="AC42" s="14">
        <v>645.88400000000001</v>
      </c>
      <c r="AD42" s="14">
        <v>-254.227</v>
      </c>
      <c r="AE42" s="14" t="s">
        <v>216</v>
      </c>
      <c r="AF42" s="14" t="s">
        <v>214</v>
      </c>
      <c r="AG42" s="14" t="s">
        <v>223</v>
      </c>
      <c r="AH42" s="14" t="s">
        <v>223</v>
      </c>
      <c r="AI42" s="51" t="s">
        <v>223</v>
      </c>
      <c r="AJ42" s="55">
        <v>9.5564799864026503E-5</v>
      </c>
      <c r="AK42" s="55">
        <v>9.6123400659093496E-5</v>
      </c>
      <c r="AL42" s="55">
        <v>6.7901274886317701E-5</v>
      </c>
      <c r="AM42" s="55">
        <v>8.0836450741311595E-5</v>
      </c>
      <c r="AN42" s="51">
        <v>0.77593573950677097</v>
      </c>
    </row>
    <row r="43" spans="1:40" x14ac:dyDescent="0.35">
      <c r="A43" s="38" t="s">
        <v>118</v>
      </c>
      <c r="B43" s="14">
        <v>1</v>
      </c>
      <c r="C43" s="38">
        <v>80</v>
      </c>
      <c r="D43" s="14">
        <v>861</v>
      </c>
      <c r="E43" s="12">
        <f t="shared" si="62"/>
        <v>26.10444684340203</v>
      </c>
      <c r="F43" s="12">
        <f t="shared" si="1"/>
        <v>0.94666672978319544</v>
      </c>
      <c r="G43" s="12">
        <f t="shared" si="63"/>
        <v>3.5167332853089683</v>
      </c>
      <c r="H43" s="12">
        <f t="shared" si="64"/>
        <v>12.01039291613727</v>
      </c>
      <c r="I43" s="12">
        <f t="shared" si="4"/>
        <v>0.96247271840254478</v>
      </c>
      <c r="J43" s="12">
        <f t="shared" si="65"/>
        <v>11.812319416609071</v>
      </c>
      <c r="K43" s="13">
        <f t="shared" si="66"/>
        <v>3.031875359280143E-2</v>
      </c>
      <c r="L43" s="13">
        <f t="shared" si="67"/>
        <v>54.240008222028649</v>
      </c>
      <c r="M43" s="13">
        <f t="shared" si="68"/>
        <v>4.084475360405306E-3</v>
      </c>
      <c r="N43" s="13">
        <f t="shared" si="69"/>
        <v>1.3949352980414949E-2</v>
      </c>
      <c r="O43" s="13">
        <f t="shared" si="70"/>
        <v>55.145624660949174</v>
      </c>
      <c r="P43" s="13">
        <f t="shared" si="71"/>
        <v>1.3719302458314833E-2</v>
      </c>
      <c r="Q43" s="14">
        <v>733.08500000000004</v>
      </c>
      <c r="R43" s="14">
        <v>-245.36500000000001</v>
      </c>
      <c r="S43" s="14">
        <v>734.03200000000004</v>
      </c>
      <c r="T43" s="14">
        <v>-257.33800000000002</v>
      </c>
      <c r="U43" s="38">
        <v>710.34500000000003</v>
      </c>
      <c r="V43" s="38">
        <v>-247.26</v>
      </c>
      <c r="W43" s="14">
        <v>710.86199999999997</v>
      </c>
      <c r="X43" s="14">
        <v>-259.06099999999998</v>
      </c>
      <c r="Y43" s="14">
        <v>721.86</v>
      </c>
      <c r="Z43" s="14">
        <v>-252.13300000000001</v>
      </c>
      <c r="AA43" s="14">
        <v>721.96799999999996</v>
      </c>
      <c r="AB43" s="14">
        <v>-253.77799999999999</v>
      </c>
      <c r="AC43" s="14">
        <v>721.80600000000004</v>
      </c>
      <c r="AD43" s="14">
        <v>-250.26499999999999</v>
      </c>
      <c r="AE43" s="14" t="s">
        <v>216</v>
      </c>
      <c r="AF43" s="14" t="s">
        <v>214</v>
      </c>
      <c r="AG43" s="14" t="s">
        <v>223</v>
      </c>
      <c r="AH43" s="14" t="s">
        <v>223</v>
      </c>
      <c r="AI43" s="51" t="s">
        <v>223</v>
      </c>
      <c r="AJ43" s="55">
        <v>8.9953727197799601E-5</v>
      </c>
      <c r="AK43" s="55">
        <v>9.4969804578583694E-5</v>
      </c>
      <c r="AL43" s="55">
        <v>6.0737720231856202E-5</v>
      </c>
      <c r="AM43" s="55">
        <v>6.9653680389467307E-5</v>
      </c>
      <c r="AN43" s="51">
        <v>0.70510983306871899</v>
      </c>
    </row>
    <row r="44" spans="1:40" x14ac:dyDescent="0.35">
      <c r="A44" s="38" t="s">
        <v>118</v>
      </c>
      <c r="B44" s="14">
        <v>1</v>
      </c>
      <c r="C44" s="38">
        <v>90</v>
      </c>
      <c r="D44" s="14">
        <v>861</v>
      </c>
      <c r="E44" s="12">
        <f t="shared" si="62"/>
        <v>25.32685728628795</v>
      </c>
      <c r="F44" s="12">
        <f t="shared" si="1"/>
        <v>0.87432106404634657</v>
      </c>
      <c r="G44" s="12">
        <f t="shared" si="63"/>
        <v>2.3419745942259875</v>
      </c>
      <c r="H44" s="12">
        <f t="shared" si="64"/>
        <v>11.804520913616113</v>
      </c>
      <c r="I44" s="12">
        <f t="shared" si="4"/>
        <v>1.0124239213466493</v>
      </c>
      <c r="J44" s="12">
        <f t="shared" si="65"/>
        <v>10.803495776830768</v>
      </c>
      <c r="K44" s="13">
        <f t="shared" si="66"/>
        <v>2.9415629833087049E-2</v>
      </c>
      <c r="L44" s="13">
        <f t="shared" si="67"/>
        <v>50.094906909243001</v>
      </c>
      <c r="M44" s="13">
        <f t="shared" si="68"/>
        <v>2.7200634079279761E-3</v>
      </c>
      <c r="N44" s="13">
        <f t="shared" si="69"/>
        <v>1.3710244963549492E-2</v>
      </c>
      <c r="O44" s="13">
        <f t="shared" si="70"/>
        <v>58.007617771247816</v>
      </c>
      <c r="P44" s="13">
        <f t="shared" si="71"/>
        <v>1.254761414266059E-2</v>
      </c>
      <c r="Q44" s="14">
        <v>826.61199999999997</v>
      </c>
      <c r="R44" s="14">
        <v>-233.94399999999999</v>
      </c>
      <c r="S44" s="14">
        <v>828.61699999999996</v>
      </c>
      <c r="T44" s="14">
        <v>-245.577</v>
      </c>
      <c r="U44" s="38">
        <v>804.75699999999995</v>
      </c>
      <c r="V44" s="38">
        <v>-238.898</v>
      </c>
      <c r="W44" s="14">
        <v>806.65200000000004</v>
      </c>
      <c r="X44" s="14">
        <v>-249.53399999999999</v>
      </c>
      <c r="Y44" s="14">
        <v>815.298</v>
      </c>
      <c r="Z44" s="14">
        <v>-242.51300000000001</v>
      </c>
      <c r="AA44" s="14">
        <v>815.35199999999998</v>
      </c>
      <c r="AB44" s="14">
        <v>-243.64699999999999</v>
      </c>
      <c r="AC44" s="14">
        <v>815.23400000000004</v>
      </c>
      <c r="AD44" s="14">
        <v>-241.30799999999999</v>
      </c>
      <c r="AE44" s="14" t="s">
        <v>216</v>
      </c>
      <c r="AF44" s="14" t="s">
        <v>214</v>
      </c>
      <c r="AG44" s="14" t="s">
        <v>223</v>
      </c>
      <c r="AH44" s="14" t="s">
        <v>223</v>
      </c>
      <c r="AI44" s="51" t="s">
        <v>223</v>
      </c>
      <c r="AJ44" s="55">
        <v>7.0997348651933602E-5</v>
      </c>
      <c r="AK44" s="51">
        <v>1.00359093429162E-4</v>
      </c>
      <c r="AL44" s="55">
        <v>7.0531934209337404E-5</v>
      </c>
      <c r="AM44" s="55">
        <v>6.39952564408669E-5</v>
      </c>
      <c r="AN44" s="51">
        <v>0.78507226817033504</v>
      </c>
    </row>
    <row r="45" spans="1:40" x14ac:dyDescent="0.35">
      <c r="A45" s="38" t="s">
        <v>121</v>
      </c>
      <c r="B45" s="14">
        <v>1</v>
      </c>
      <c r="C45" s="38">
        <v>40</v>
      </c>
      <c r="D45" s="14">
        <v>1501</v>
      </c>
      <c r="E45" s="12">
        <f t="shared" ref="E45:E50" si="72">DIST2(Q45,R45,W45,X45)</f>
        <v>50.138334236390406</v>
      </c>
      <c r="F45" s="12">
        <f t="shared" si="1"/>
        <v>1.1694557581186713</v>
      </c>
      <c r="G45" s="12">
        <f t="shared" ref="G45:G50" si="73">DIST2(AA45,AB45,AC45,AD45)</f>
        <v>0.55113065601544298</v>
      </c>
      <c r="H45" s="12">
        <f t="shared" ref="H45:H50" si="74">DIST2(Q45,R45,S45,T45)</f>
        <v>29.189651899260468</v>
      </c>
      <c r="I45" s="12">
        <f t="shared" si="4"/>
        <v>1.3944736264201372</v>
      </c>
      <c r="J45" s="12">
        <f t="shared" ref="J45:J50" si="75">DIST2(U45,V45,W45,X45)</f>
        <v>30.888561151338852</v>
      </c>
      <c r="K45" s="13">
        <f t="shared" ref="K45:K50" si="76">E45/D45</f>
        <v>3.3403287299394006E-2</v>
      </c>
      <c r="L45" s="13">
        <f t="shared" ref="L45:L50" si="77">F45*180/PI()</f>
        <v>67.004879267471921</v>
      </c>
      <c r="M45" s="13">
        <f t="shared" ref="M45:M50" si="78">G45/D45</f>
        <v>3.6717565357457892E-4</v>
      </c>
      <c r="N45" s="13">
        <f t="shared" ref="N45:N50" si="79">H45/D45</f>
        <v>1.9446803397242151E-2</v>
      </c>
      <c r="O45" s="13">
        <f t="shared" ref="O45:O50" si="80">I45*180/PI()</f>
        <v>79.897453436176505</v>
      </c>
      <c r="P45" s="13">
        <f t="shared" ref="P45:P50" si="81">J45/D45</f>
        <v>2.0578654997560862E-2</v>
      </c>
      <c r="Q45" s="38">
        <v>638.78399999999999</v>
      </c>
      <c r="R45" s="38">
        <v>-131.41200000000001</v>
      </c>
      <c r="S45" s="38">
        <v>636.17700000000002</v>
      </c>
      <c r="T45" s="38">
        <v>-160.48500000000001</v>
      </c>
      <c r="U45" s="38">
        <v>599.08500000000004</v>
      </c>
      <c r="V45" s="38">
        <v>-125.999</v>
      </c>
      <c r="W45" s="38">
        <v>595.476</v>
      </c>
      <c r="X45" s="38">
        <v>-156.67599999999999</v>
      </c>
      <c r="Y45" s="38">
        <v>615.51</v>
      </c>
      <c r="Z45" s="38">
        <v>-144.09899999999999</v>
      </c>
      <c r="AA45" s="38">
        <v>615.428</v>
      </c>
      <c r="AB45" s="38">
        <v>-144.34700000000001</v>
      </c>
      <c r="AC45" s="38">
        <v>615.55200000000002</v>
      </c>
      <c r="AD45" s="38">
        <v>-143.81</v>
      </c>
      <c r="AE45" s="14" t="s">
        <v>215</v>
      </c>
      <c r="AF45" s="14" t="s">
        <v>212</v>
      </c>
      <c r="AG45" s="14" t="s">
        <v>225</v>
      </c>
      <c r="AH45" s="14" t="s">
        <v>225</v>
      </c>
      <c r="AI45" s="51" t="s">
        <v>222</v>
      </c>
      <c r="AJ45" s="51">
        <v>1.2631876883321399E-4</v>
      </c>
      <c r="AK45" s="51">
        <v>1.4282505711271301E-4</v>
      </c>
      <c r="AL45" s="51">
        <v>1.37137759370724E-4</v>
      </c>
      <c r="AM45" s="51">
        <v>1.2822892599692601E-4</v>
      </c>
      <c r="AN45" s="51">
        <v>0.98596608870739399</v>
      </c>
    </row>
    <row r="46" spans="1:40" x14ac:dyDescent="0.35">
      <c r="A46" s="38" t="s">
        <v>121</v>
      </c>
      <c r="B46" s="14">
        <v>1</v>
      </c>
      <c r="C46" s="38">
        <v>50</v>
      </c>
      <c r="D46" s="14">
        <v>1501</v>
      </c>
      <c r="E46" s="12">
        <f t="shared" si="72"/>
        <v>55.435237620127509</v>
      </c>
      <c r="F46" s="12">
        <f t="shared" si="1"/>
        <v>0.990243218522044</v>
      </c>
      <c r="G46" s="12">
        <f t="shared" si="73"/>
        <v>0.64691034927569402</v>
      </c>
      <c r="H46" s="12">
        <f t="shared" si="74"/>
        <v>28.145201100720524</v>
      </c>
      <c r="I46" s="12">
        <f t="shared" si="4"/>
        <v>1.1104262952516293</v>
      </c>
      <c r="J46" s="12">
        <f t="shared" si="75"/>
        <v>27.945992378156834</v>
      </c>
      <c r="K46" s="13">
        <f t="shared" si="76"/>
        <v>3.6932203611010996E-2</v>
      </c>
      <c r="L46" s="13">
        <f t="shared" si="77"/>
        <v>56.736757112764032</v>
      </c>
      <c r="M46" s="13">
        <f t="shared" si="78"/>
        <v>4.3098624202244772E-4</v>
      </c>
      <c r="N46" s="13">
        <f t="shared" si="79"/>
        <v>1.8750966755976366E-2</v>
      </c>
      <c r="O46" s="13">
        <f t="shared" si="80"/>
        <v>63.622740178266199</v>
      </c>
      <c r="P46" s="13">
        <f t="shared" si="81"/>
        <v>1.8618249419158451E-2</v>
      </c>
      <c r="Q46" s="38">
        <v>791.77200000000005</v>
      </c>
      <c r="R46" s="38">
        <v>-147.916</v>
      </c>
      <c r="S46" s="38">
        <v>790.16</v>
      </c>
      <c r="T46" s="38">
        <v>-176.01499999999999</v>
      </c>
      <c r="U46" s="38">
        <v>743.63400000000001</v>
      </c>
      <c r="V46" s="38">
        <v>-143.54</v>
      </c>
      <c r="W46" s="38">
        <v>741.56100000000004</v>
      </c>
      <c r="X46" s="38">
        <v>-171.40899999999999</v>
      </c>
      <c r="Y46" s="38">
        <v>765.005</v>
      </c>
      <c r="Z46" s="38">
        <v>-159.74799999999999</v>
      </c>
      <c r="AA46" s="38">
        <v>764.952</v>
      </c>
      <c r="AB46" s="38">
        <v>-160.12</v>
      </c>
      <c r="AC46" s="38">
        <v>765.05899999999997</v>
      </c>
      <c r="AD46" s="38">
        <v>-159.482</v>
      </c>
      <c r="AE46" s="14" t="s">
        <v>215</v>
      </c>
      <c r="AF46" s="14" t="s">
        <v>212</v>
      </c>
      <c r="AG46" s="14" t="s">
        <v>225</v>
      </c>
      <c r="AH46" s="14" t="s">
        <v>225</v>
      </c>
      <c r="AI46" s="51" t="s">
        <v>222</v>
      </c>
      <c r="AJ46" s="51">
        <v>1.3963322319874701E-4</v>
      </c>
      <c r="AK46" s="51">
        <v>1.62683627082278E-4</v>
      </c>
      <c r="AL46" s="51">
        <v>1.49502862182485E-4</v>
      </c>
      <c r="AM46" s="51">
        <v>1.4566639273573301E-4</v>
      </c>
      <c r="AN46" s="51">
        <v>0.97635727100172198</v>
      </c>
    </row>
    <row r="47" spans="1:40" x14ac:dyDescent="0.35">
      <c r="A47" s="38" t="s">
        <v>121</v>
      </c>
      <c r="B47" s="14">
        <v>1</v>
      </c>
      <c r="C47" s="38">
        <v>60</v>
      </c>
      <c r="D47" s="14">
        <v>1501</v>
      </c>
      <c r="E47" s="12">
        <f t="shared" si="72"/>
        <v>53.400322330487825</v>
      </c>
      <c r="F47" s="12">
        <f t="shared" si="1"/>
        <v>1.0296102328967152</v>
      </c>
      <c r="G47" s="12">
        <f t="shared" si="73"/>
        <v>0</v>
      </c>
      <c r="H47" s="12">
        <f t="shared" si="74"/>
        <v>27.222482032320279</v>
      </c>
      <c r="I47" s="12">
        <f t="shared" si="4"/>
        <v>1.218148451169851</v>
      </c>
      <c r="J47" s="12">
        <f t="shared" si="75"/>
        <v>29.167810699467996</v>
      </c>
      <c r="K47" s="13">
        <f t="shared" si="76"/>
        <v>3.5576497222177102E-2</v>
      </c>
      <c r="L47" s="13">
        <f t="shared" si="77"/>
        <v>58.992320888463532</v>
      </c>
      <c r="M47" s="13">
        <f t="shared" si="78"/>
        <v>0</v>
      </c>
      <c r="N47" s="13">
        <f t="shared" si="79"/>
        <v>1.8136230534523838E-2</v>
      </c>
      <c r="O47" s="13">
        <f t="shared" si="80"/>
        <v>69.794765072430522</v>
      </c>
      <c r="P47" s="13">
        <f t="shared" si="81"/>
        <v>1.9432252298113253E-2</v>
      </c>
      <c r="Q47" s="38">
        <v>938.81799999999998</v>
      </c>
      <c r="R47" s="38">
        <v>-150.49799999999999</v>
      </c>
      <c r="S47" s="38">
        <v>938.98</v>
      </c>
      <c r="T47" s="38">
        <v>-177.72</v>
      </c>
      <c r="U47" s="38">
        <v>894.09799999999996</v>
      </c>
      <c r="V47" s="38">
        <v>-150.012</v>
      </c>
      <c r="W47" s="38">
        <v>893.77300000000002</v>
      </c>
      <c r="X47" s="38">
        <v>-179.178</v>
      </c>
      <c r="Y47" s="38">
        <v>914.83799999999997</v>
      </c>
      <c r="Z47" s="38">
        <v>-164.27099999999999</v>
      </c>
      <c r="AA47" s="38">
        <v>914.83799999999997</v>
      </c>
      <c r="AB47" s="38">
        <v>-164.27099999999999</v>
      </c>
      <c r="AC47" s="38">
        <v>914.83799999999997</v>
      </c>
      <c r="AD47" s="38">
        <v>-164.27099999999999</v>
      </c>
      <c r="AE47" s="14" t="s">
        <v>215</v>
      </c>
      <c r="AF47" s="14" t="s">
        <v>212</v>
      </c>
      <c r="AG47" s="14" t="s">
        <v>225</v>
      </c>
      <c r="AH47" s="14" t="s">
        <v>225</v>
      </c>
      <c r="AI47" s="51" t="s">
        <v>222</v>
      </c>
      <c r="AJ47" s="51">
        <v>1.3527224688315701E-4</v>
      </c>
      <c r="AK47" s="51">
        <v>1.4536495678430699E-4</v>
      </c>
      <c r="AL47" s="51">
        <v>1.3927708864754201E-4</v>
      </c>
      <c r="AM47" s="51">
        <v>1.4274027818895801E-4</v>
      </c>
      <c r="AN47" s="51">
        <v>1.0049179622338</v>
      </c>
    </row>
    <row r="48" spans="1:40" x14ac:dyDescent="0.35">
      <c r="A48" s="38" t="s">
        <v>121</v>
      </c>
      <c r="B48" s="14">
        <v>1</v>
      </c>
      <c r="C48" s="38">
        <v>70</v>
      </c>
      <c r="D48" s="14">
        <v>1501</v>
      </c>
      <c r="E48" s="12">
        <f t="shared" si="72"/>
        <v>42.649039625764132</v>
      </c>
      <c r="F48" s="12">
        <f t="shared" si="1"/>
        <v>1.0677143912371618</v>
      </c>
      <c r="G48" s="12">
        <f t="shared" si="73"/>
        <v>0.65092319055323</v>
      </c>
      <c r="H48" s="12">
        <f t="shared" si="74"/>
        <v>24.776481509689802</v>
      </c>
      <c r="I48" s="12">
        <f t="shared" si="4"/>
        <v>1.1071391419704784</v>
      </c>
      <c r="J48" s="12">
        <f t="shared" si="75"/>
        <v>26.809904680919715</v>
      </c>
      <c r="K48" s="13">
        <f t="shared" si="76"/>
        <v>2.8413750583453787E-2</v>
      </c>
      <c r="L48" s="13">
        <f t="shared" si="77"/>
        <v>61.175528343269335</v>
      </c>
      <c r="M48" s="13">
        <f t="shared" si="78"/>
        <v>4.336596872439907E-4</v>
      </c>
      <c r="N48" s="13">
        <f t="shared" si="79"/>
        <v>1.6506649906522185E-2</v>
      </c>
      <c r="O48" s="13">
        <f t="shared" si="80"/>
        <v>63.43440016864367</v>
      </c>
      <c r="P48" s="13">
        <f t="shared" si="81"/>
        <v>1.7861362212471494E-2</v>
      </c>
      <c r="Q48" s="38">
        <v>1121.4100000000001</v>
      </c>
      <c r="R48" s="38">
        <v>-137.904</v>
      </c>
      <c r="S48" s="38">
        <v>1123.43</v>
      </c>
      <c r="T48" s="38">
        <v>-162.59800000000001</v>
      </c>
      <c r="U48" s="38">
        <v>1081.1300000000001</v>
      </c>
      <c r="V48" s="38">
        <v>-168.06200000000001</v>
      </c>
      <c r="W48" s="38">
        <v>1078.9000000000001</v>
      </c>
      <c r="X48" s="38">
        <v>-141.345</v>
      </c>
      <c r="Y48" s="38">
        <v>1101.6099999999999</v>
      </c>
      <c r="Z48" s="38">
        <v>-152.68199999999999</v>
      </c>
      <c r="AA48" s="38">
        <v>1101.71</v>
      </c>
      <c r="AB48" s="38">
        <v>-152.98099999999999</v>
      </c>
      <c r="AC48" s="38">
        <v>1101.76</v>
      </c>
      <c r="AD48" s="38">
        <v>-152.33199999999999</v>
      </c>
      <c r="AE48" s="14" t="s">
        <v>215</v>
      </c>
      <c r="AF48" s="14" t="s">
        <v>212</v>
      </c>
      <c r="AG48" s="14" t="s">
        <v>225</v>
      </c>
      <c r="AH48" s="14" t="s">
        <v>225</v>
      </c>
      <c r="AI48" s="51" t="s">
        <v>222</v>
      </c>
      <c r="AJ48" s="51">
        <v>1.29041567225224E-4</v>
      </c>
      <c r="AK48" s="51">
        <v>1.1513371720651799E-4</v>
      </c>
      <c r="AL48" s="55">
        <v>2.5399145406512398E-6</v>
      </c>
      <c r="AM48" s="55">
        <v>7.4057113157074298E-6</v>
      </c>
      <c r="AN48" s="51">
        <v>4.0731501058777E-2</v>
      </c>
    </row>
    <row r="49" spans="1:40" x14ac:dyDescent="0.35">
      <c r="A49" s="38" t="s">
        <v>121</v>
      </c>
      <c r="B49" s="14">
        <v>1</v>
      </c>
      <c r="C49" s="38">
        <v>80</v>
      </c>
      <c r="D49" s="14">
        <v>1501</v>
      </c>
      <c r="E49" s="12">
        <f t="shared" si="72"/>
        <v>50.560557789644726</v>
      </c>
      <c r="F49" s="12">
        <f t="shared" si="1"/>
        <v>0.97926172402912304</v>
      </c>
      <c r="G49" s="12">
        <f t="shared" si="73"/>
        <v>0.66887143757227185</v>
      </c>
      <c r="H49" s="12">
        <f t="shared" si="74"/>
        <v>24.494717410086626</v>
      </c>
      <c r="I49" s="12">
        <f t="shared" si="4"/>
        <v>1.0068678362914152</v>
      </c>
      <c r="J49" s="12">
        <f t="shared" si="75"/>
        <v>23.720489645030501</v>
      </c>
      <c r="K49" s="13">
        <f t="shared" si="76"/>
        <v>3.3684582138337589E-2</v>
      </c>
      <c r="L49" s="13">
        <f t="shared" si="77"/>
        <v>56.107563825573507</v>
      </c>
      <c r="M49" s="13">
        <f t="shared" si="78"/>
        <v>4.4561721357246628E-4</v>
      </c>
      <c r="N49" s="13">
        <f t="shared" si="79"/>
        <v>1.6318932318512076E-2</v>
      </c>
      <c r="O49" s="13">
        <f t="shared" si="80"/>
        <v>57.68927754696719</v>
      </c>
      <c r="P49" s="13">
        <f t="shared" si="81"/>
        <v>1.5803124347122253E-2</v>
      </c>
      <c r="Q49" s="38">
        <v>1259.76</v>
      </c>
      <c r="R49" s="38">
        <v>-121.372</v>
      </c>
      <c r="S49" s="38">
        <v>1263.1500000000001</v>
      </c>
      <c r="T49" s="38">
        <v>-145.631</v>
      </c>
      <c r="U49" s="38">
        <v>1215.67</v>
      </c>
      <c r="V49" s="38">
        <v>-127.893</v>
      </c>
      <c r="W49" s="38">
        <v>1219.06</v>
      </c>
      <c r="X49" s="38">
        <v>-151.37</v>
      </c>
      <c r="Y49" s="38">
        <v>1238.67</v>
      </c>
      <c r="Z49" s="38">
        <v>-136.5</v>
      </c>
      <c r="AA49" s="38">
        <v>1238.72</v>
      </c>
      <c r="AB49" s="38">
        <v>-136.88900000000001</v>
      </c>
      <c r="AC49" s="38">
        <v>1238.67</v>
      </c>
      <c r="AD49" s="38">
        <v>-136.22200000000001</v>
      </c>
      <c r="AE49" s="14" t="s">
        <v>215</v>
      </c>
      <c r="AF49" s="14" t="s">
        <v>212</v>
      </c>
      <c r="AG49" s="14" t="s">
        <v>225</v>
      </c>
      <c r="AH49" s="14" t="s">
        <v>225</v>
      </c>
      <c r="AI49" s="51" t="s">
        <v>222</v>
      </c>
      <c r="AJ49" s="51">
        <v>1.13358420613218E-4</v>
      </c>
      <c r="AK49" s="51">
        <v>1.24923652941122E-4</v>
      </c>
      <c r="AL49" s="51">
        <v>1.14782152782E-4</v>
      </c>
      <c r="AM49" s="51">
        <v>1.16652977517542E-4</v>
      </c>
      <c r="AN49" s="51">
        <v>0.97126538663750905</v>
      </c>
    </row>
    <row r="50" spans="1:40" x14ac:dyDescent="0.35">
      <c r="A50" s="38" t="s">
        <v>121</v>
      </c>
      <c r="B50" s="14">
        <v>1</v>
      </c>
      <c r="C50" s="38">
        <v>90</v>
      </c>
      <c r="D50" s="14">
        <v>1501</v>
      </c>
      <c r="E50" s="12">
        <f t="shared" si="72"/>
        <v>50.509425219457768</v>
      </c>
      <c r="F50" s="12">
        <f t="shared" si="1"/>
        <v>0.89642529911332902</v>
      </c>
      <c r="G50" s="12">
        <f t="shared" si="73"/>
        <v>0.48859390090338589</v>
      </c>
      <c r="H50" s="12">
        <f t="shared" si="74"/>
        <v>22.880282362768156</v>
      </c>
      <c r="I50" s="12">
        <f t="shared" si="4"/>
        <v>0.81359045293061083</v>
      </c>
      <c r="J50" s="12">
        <f t="shared" si="75"/>
        <v>19.53385842582054</v>
      </c>
      <c r="K50" s="13">
        <f t="shared" si="76"/>
        <v>3.3650516468659408E-2</v>
      </c>
      <c r="L50" s="13">
        <f t="shared" si="77"/>
        <v>51.361386287946168</v>
      </c>
      <c r="M50" s="13">
        <f t="shared" si="78"/>
        <v>3.2551225909619315E-4</v>
      </c>
      <c r="N50" s="13">
        <f t="shared" si="79"/>
        <v>1.524335933562169E-2</v>
      </c>
      <c r="O50" s="13">
        <f t="shared" si="80"/>
        <v>46.615299205061056</v>
      </c>
      <c r="P50" s="13">
        <f t="shared" si="81"/>
        <v>1.3013896352978374E-2</v>
      </c>
      <c r="Q50" s="38">
        <v>1403.11</v>
      </c>
      <c r="R50" s="38">
        <v>-106.56</v>
      </c>
      <c r="S50" s="38">
        <v>1406.61</v>
      </c>
      <c r="T50" s="38">
        <v>-129.17099999999999</v>
      </c>
      <c r="U50" s="38">
        <v>1357.57</v>
      </c>
      <c r="V50" s="38">
        <v>-113.161</v>
      </c>
      <c r="W50" s="38">
        <v>1359.81</v>
      </c>
      <c r="X50" s="38">
        <v>-132.566</v>
      </c>
      <c r="Y50" s="38">
        <v>1381.21</v>
      </c>
      <c r="Z50" s="38">
        <v>-120.258</v>
      </c>
      <c r="AA50" s="38">
        <v>1381.29</v>
      </c>
      <c r="AB50" s="38">
        <v>-120.57899999999999</v>
      </c>
      <c r="AC50" s="38">
        <v>1381.21</v>
      </c>
      <c r="AD50" s="38">
        <v>-120.09699999999999</v>
      </c>
      <c r="AE50" s="14" t="s">
        <v>215</v>
      </c>
      <c r="AF50" s="14" t="s">
        <v>212</v>
      </c>
      <c r="AG50" s="14" t="s">
        <v>225</v>
      </c>
      <c r="AH50" s="14" t="s">
        <v>225</v>
      </c>
      <c r="AI50" s="51" t="s">
        <v>222</v>
      </c>
      <c r="AJ50" s="55">
        <v>9.8277124599589999E-5</v>
      </c>
      <c r="AK50" s="51">
        <v>1.20533435182673E-4</v>
      </c>
      <c r="AL50" s="51">
        <v>1.04729886937467E-4</v>
      </c>
      <c r="AM50" s="51">
        <v>1.08314865372896E-4</v>
      </c>
      <c r="AN50" s="51">
        <v>0.97364931803274002</v>
      </c>
    </row>
    <row r="51" spans="1:40" x14ac:dyDescent="0.35">
      <c r="A51" s="38" t="s">
        <v>122</v>
      </c>
      <c r="B51" s="14">
        <v>1</v>
      </c>
      <c r="C51" s="38">
        <v>30</v>
      </c>
      <c r="D51" s="14">
        <v>1193</v>
      </c>
      <c r="E51" s="12">
        <f t="shared" ref="E51:E57" si="82">DIST2(Q51,R51,W51,X51)</f>
        <v>13.803911329764464</v>
      </c>
      <c r="F51" s="12">
        <f t="shared" si="1"/>
        <v>1.7397993808308163</v>
      </c>
      <c r="G51" s="12">
        <f t="shared" ref="G51:G57" si="83">DIST2(AA51,AB51,AC51,AD51)</f>
        <v>3.0868846755264152</v>
      </c>
      <c r="H51" s="12">
        <f t="shared" ref="H51:H57" si="84">DIST2(Q51,R51,S51,T51)</f>
        <v>17.014040819276293</v>
      </c>
      <c r="I51" s="12">
        <f t="shared" si="4"/>
        <v>1.7343266814804341</v>
      </c>
      <c r="J51" s="12">
        <f t="shared" ref="J51:J57" si="85">DIST2(U51,V51,W51,X51)</f>
        <v>16.75758365636289</v>
      </c>
      <c r="K51" s="13">
        <f t="shared" ref="K51:K57" si="86">E51/D51</f>
        <v>1.1570755515309693E-2</v>
      </c>
      <c r="L51" s="13">
        <f t="shared" ref="L51:L57" si="87">F51*180/PI()</f>
        <v>99.683161721079586</v>
      </c>
      <c r="M51" s="13">
        <f t="shared" ref="M51:M57" si="88">G51/D51</f>
        <v>2.5874976324613708E-3</v>
      </c>
      <c r="N51" s="13">
        <f t="shared" ref="N51:N57" si="89">H51/D51</f>
        <v>1.42615597814554E-2</v>
      </c>
      <c r="O51" s="13">
        <f t="shared" ref="O51:O57" si="90">I51*180/PI()</f>
        <v>99.369599145758713</v>
      </c>
      <c r="P51" s="13">
        <f t="shared" ref="P51:P57" si="91">J51/D51</f>
        <v>1.4046591497370402E-2</v>
      </c>
      <c r="Q51" s="38">
        <v>384.14</v>
      </c>
      <c r="R51" s="38">
        <v>303.548</v>
      </c>
      <c r="S51" s="38">
        <v>388.90899999999999</v>
      </c>
      <c r="T51" s="38">
        <v>319.88</v>
      </c>
      <c r="U51" s="38">
        <v>374.745</v>
      </c>
      <c r="V51" s="38">
        <v>324.07100000000003</v>
      </c>
      <c r="W51" s="38">
        <v>370.988</v>
      </c>
      <c r="X51" s="38">
        <v>307.74</v>
      </c>
      <c r="Y51" s="38">
        <v>379.709</v>
      </c>
      <c r="Z51" s="38">
        <v>313.97000000000003</v>
      </c>
      <c r="AA51" s="38">
        <v>379.209</v>
      </c>
      <c r="AB51" s="38">
        <v>312.64600000000002</v>
      </c>
      <c r="AC51" s="38">
        <v>380.15300000000002</v>
      </c>
      <c r="AD51" s="38">
        <v>315.58499999999998</v>
      </c>
      <c r="AE51" s="14" t="s">
        <v>215</v>
      </c>
      <c r="AF51" s="14" t="s">
        <v>211</v>
      </c>
      <c r="AG51" s="14" t="s">
        <v>226</v>
      </c>
      <c r="AH51" s="14" t="s">
        <v>226</v>
      </c>
      <c r="AI51" s="51" t="s">
        <v>223</v>
      </c>
      <c r="AJ51" s="55">
        <v>4.1811566704069403E-5</v>
      </c>
      <c r="AK51" s="55">
        <v>4.2884136928956202E-5</v>
      </c>
      <c r="AL51" s="55">
        <v>1.09827633815306E-5</v>
      </c>
      <c r="AM51" s="55">
        <v>4.1744325834762099E-6</v>
      </c>
      <c r="AN51" s="51">
        <v>0.17896062391406301</v>
      </c>
    </row>
    <row r="52" spans="1:40" x14ac:dyDescent="0.35">
      <c r="A52" s="38" t="s">
        <v>122</v>
      </c>
      <c r="B52" s="14">
        <v>1</v>
      </c>
      <c r="C52" s="38">
        <v>40</v>
      </c>
      <c r="D52" s="14">
        <v>1193</v>
      </c>
      <c r="E52" s="12">
        <f t="shared" si="82"/>
        <v>22.410937619831987</v>
      </c>
      <c r="F52" s="12">
        <f t="shared" si="1"/>
        <v>1.9002096546015728</v>
      </c>
      <c r="G52" s="12">
        <f t="shared" si="83"/>
        <v>5.3464367573179041</v>
      </c>
      <c r="H52" s="12">
        <f t="shared" si="84"/>
        <v>18.094778970741835</v>
      </c>
      <c r="I52" s="12">
        <f t="shared" si="4"/>
        <v>1.7302679943994173</v>
      </c>
      <c r="J52" s="12">
        <f t="shared" si="85"/>
        <v>17.925722997971352</v>
      </c>
      <c r="K52" s="13">
        <f t="shared" si="86"/>
        <v>1.8785362631879285E-2</v>
      </c>
      <c r="L52" s="13">
        <f t="shared" si="87"/>
        <v>108.87399339868202</v>
      </c>
      <c r="M52" s="13">
        <f t="shared" si="88"/>
        <v>4.4815060832505485E-3</v>
      </c>
      <c r="N52" s="13">
        <f t="shared" si="89"/>
        <v>1.516745932166122E-2</v>
      </c>
      <c r="O52" s="13">
        <f t="shared" si="90"/>
        <v>99.137053505652162</v>
      </c>
      <c r="P52" s="13">
        <f t="shared" si="91"/>
        <v>1.5025752722524184E-2</v>
      </c>
      <c r="Q52" s="38">
        <v>512.125</v>
      </c>
      <c r="R52" s="38">
        <v>285.98200000000003</v>
      </c>
      <c r="S52" s="38">
        <v>507.52</v>
      </c>
      <c r="T52" s="38">
        <v>268.483</v>
      </c>
      <c r="U52" s="38">
        <v>498.20800000000003</v>
      </c>
      <c r="V52" s="38">
        <v>289.87099999999998</v>
      </c>
      <c r="W52" s="38">
        <v>494.32</v>
      </c>
      <c r="X52" s="38">
        <v>272.37200000000001</v>
      </c>
      <c r="Y52" s="38">
        <v>503.64299999999997</v>
      </c>
      <c r="Z52" s="38">
        <v>279.15100000000001</v>
      </c>
      <c r="AA52" s="38">
        <v>503.02199999999999</v>
      </c>
      <c r="AB52" s="38">
        <v>276.512</v>
      </c>
      <c r="AC52" s="38">
        <v>504.12700000000001</v>
      </c>
      <c r="AD52" s="38">
        <v>281.74299999999999</v>
      </c>
      <c r="AE52" s="14" t="s">
        <v>215</v>
      </c>
      <c r="AF52" s="14" t="s">
        <v>211</v>
      </c>
      <c r="AG52" s="14" t="s">
        <v>226</v>
      </c>
      <c r="AH52" s="14" t="s">
        <v>226</v>
      </c>
      <c r="AI52" s="51" t="s">
        <v>223</v>
      </c>
      <c r="AJ52" s="55">
        <v>4.8054284598126903E-5</v>
      </c>
      <c r="AK52" s="55">
        <v>4.1092515434755402E-5</v>
      </c>
      <c r="AL52" s="55">
        <v>3.1652361954935501E-5</v>
      </c>
      <c r="AM52" s="55">
        <v>3.1087349437800401E-5</v>
      </c>
      <c r="AN52" s="51">
        <v>0.70377973600391597</v>
      </c>
    </row>
    <row r="53" spans="1:40" x14ac:dyDescent="0.35">
      <c r="A53" s="38" t="s">
        <v>122</v>
      </c>
      <c r="B53" s="14">
        <v>1</v>
      </c>
      <c r="C53" s="38">
        <v>50</v>
      </c>
      <c r="D53" s="14">
        <v>1193</v>
      </c>
      <c r="E53" s="12">
        <f t="shared" si="82"/>
        <v>22.581785779694169</v>
      </c>
      <c r="F53" s="12">
        <f t="shared" si="1"/>
        <v>1.8508720245539909</v>
      </c>
      <c r="G53" s="12">
        <f t="shared" si="83"/>
        <v>6.0127078758243311</v>
      </c>
      <c r="H53" s="12">
        <f t="shared" si="84"/>
        <v>18.172901584502107</v>
      </c>
      <c r="I53" s="12">
        <f t="shared" si="4"/>
        <v>1.8571675741802895</v>
      </c>
      <c r="J53" s="12">
        <f t="shared" si="85"/>
        <v>18.227164261069259</v>
      </c>
      <c r="K53" s="13">
        <f t="shared" si="86"/>
        <v>1.8928571483398299E-2</v>
      </c>
      <c r="L53" s="13">
        <f t="shared" si="87"/>
        <v>106.04715542577775</v>
      </c>
      <c r="M53" s="13">
        <f t="shared" si="88"/>
        <v>5.0399898372374945E-3</v>
      </c>
      <c r="N53" s="13">
        <f t="shared" si="89"/>
        <v>1.5232943490781314E-2</v>
      </c>
      <c r="O53" s="13">
        <f t="shared" si="90"/>
        <v>106.40786384907983</v>
      </c>
      <c r="P53" s="13">
        <f t="shared" si="91"/>
        <v>1.5278427712547577E-2</v>
      </c>
      <c r="Q53" s="38">
        <v>625.48299999999995</v>
      </c>
      <c r="R53" s="38">
        <v>243.232</v>
      </c>
      <c r="S53" s="38">
        <v>618.18700000000001</v>
      </c>
      <c r="T53" s="38">
        <v>226.58799999999999</v>
      </c>
      <c r="U53" s="38">
        <v>612.601</v>
      </c>
      <c r="V53" s="38">
        <v>248.81800000000001</v>
      </c>
      <c r="W53" s="38">
        <v>605.99</v>
      </c>
      <c r="X53" s="38">
        <v>231.83199999999999</v>
      </c>
      <c r="Y53" s="38">
        <v>615.49400000000003</v>
      </c>
      <c r="Z53" s="38">
        <v>237.48</v>
      </c>
      <c r="AA53" s="38">
        <v>614.51300000000003</v>
      </c>
      <c r="AB53" s="38">
        <v>234.66</v>
      </c>
      <c r="AC53" s="38">
        <v>616.59699999999998</v>
      </c>
      <c r="AD53" s="38">
        <v>240.3</v>
      </c>
      <c r="AE53" s="14" t="s">
        <v>215</v>
      </c>
      <c r="AF53" s="14" t="s">
        <v>211</v>
      </c>
      <c r="AG53" s="14" t="s">
        <v>226</v>
      </c>
      <c r="AH53" s="14" t="s">
        <v>226</v>
      </c>
      <c r="AI53" s="51" t="s">
        <v>223</v>
      </c>
      <c r="AJ53" s="55">
        <v>4.3596031333941098E-5</v>
      </c>
      <c r="AK53" s="55">
        <v>4.3664293458136603E-5</v>
      </c>
      <c r="AL53" s="55">
        <v>3.0706931815866201E-5</v>
      </c>
      <c r="AM53" s="55">
        <v>2.78193513573521E-5</v>
      </c>
      <c r="AN53" s="51">
        <v>0.67070897699124699</v>
      </c>
    </row>
    <row r="54" spans="1:40" x14ac:dyDescent="0.35">
      <c r="A54" s="38" t="s">
        <v>122</v>
      </c>
      <c r="B54" s="14">
        <v>1</v>
      </c>
      <c r="C54" s="38">
        <v>60</v>
      </c>
      <c r="D54" s="14">
        <v>1193</v>
      </c>
      <c r="E54" s="12">
        <f t="shared" si="82"/>
        <v>22.726889118398912</v>
      </c>
      <c r="F54" s="12">
        <f t="shared" si="1"/>
        <v>1.9246450385216667</v>
      </c>
      <c r="G54" s="12">
        <f t="shared" si="83"/>
        <v>7.411580263344657</v>
      </c>
      <c r="H54" s="12">
        <f t="shared" si="84"/>
        <v>18.263870619340228</v>
      </c>
      <c r="I54" s="12">
        <f t="shared" si="4"/>
        <v>1.7547566894771442</v>
      </c>
      <c r="J54" s="12">
        <f t="shared" si="85"/>
        <v>17.641583829123732</v>
      </c>
      <c r="K54" s="13">
        <f t="shared" si="86"/>
        <v>1.9050200434533874E-2</v>
      </c>
      <c r="L54" s="13">
        <f t="shared" si="87"/>
        <v>110.27403776808525</v>
      </c>
      <c r="M54" s="13">
        <f t="shared" si="88"/>
        <v>6.2125568007918332E-3</v>
      </c>
      <c r="N54" s="13">
        <f t="shared" si="89"/>
        <v>1.5309195825096586E-2</v>
      </c>
      <c r="O54" s="13">
        <f t="shared" si="90"/>
        <v>100.54015237938873</v>
      </c>
      <c r="P54" s="13">
        <f t="shared" si="91"/>
        <v>1.4787580745283933E-2</v>
      </c>
      <c r="Q54" s="38">
        <v>748.529</v>
      </c>
      <c r="R54" s="38">
        <v>193.453</v>
      </c>
      <c r="S54" s="38">
        <v>742.30600000000004</v>
      </c>
      <c r="T54" s="38">
        <v>176.28200000000001</v>
      </c>
      <c r="U54" s="38">
        <v>735.04600000000005</v>
      </c>
      <c r="V54" s="38">
        <v>197.48699999999999</v>
      </c>
      <c r="W54" s="38">
        <v>729.74400000000003</v>
      </c>
      <c r="X54" s="38">
        <v>180.661</v>
      </c>
      <c r="Y54" s="38">
        <v>739.44</v>
      </c>
      <c r="Z54" s="38">
        <v>187.04499999999999</v>
      </c>
      <c r="AA54" s="38">
        <v>738.74099999999999</v>
      </c>
      <c r="AB54" s="38">
        <v>183.65600000000001</v>
      </c>
      <c r="AC54" s="38">
        <v>740.46199999999999</v>
      </c>
      <c r="AD54" s="38">
        <v>190.86500000000001</v>
      </c>
      <c r="AE54" s="14" t="s">
        <v>215</v>
      </c>
      <c r="AF54" s="14" t="s">
        <v>211</v>
      </c>
      <c r="AG54" s="14" t="s">
        <v>226</v>
      </c>
      <c r="AH54" s="14" t="s">
        <v>226</v>
      </c>
      <c r="AI54" s="51" t="s">
        <v>223</v>
      </c>
      <c r="AJ54" s="55">
        <v>4.5423157859236298E-5</v>
      </c>
      <c r="AK54" s="55">
        <v>4.0818660332801603E-5</v>
      </c>
      <c r="AL54" s="55">
        <v>2.3690964125040598E-5</v>
      </c>
      <c r="AM54" s="55">
        <v>2.70581792082762E-5</v>
      </c>
      <c r="AN54" s="51">
        <v>0.58845168616820898</v>
      </c>
    </row>
    <row r="55" spans="1:40" x14ac:dyDescent="0.35">
      <c r="A55" s="38" t="s">
        <v>122</v>
      </c>
      <c r="B55" s="14">
        <v>1</v>
      </c>
      <c r="C55" s="38">
        <v>70</v>
      </c>
      <c r="D55" s="14">
        <v>1193</v>
      </c>
      <c r="E55" s="12">
        <f t="shared" si="82"/>
        <v>21.400786761238447</v>
      </c>
      <c r="F55" s="12">
        <f t="shared" si="1"/>
        <v>1.8744815893893219</v>
      </c>
      <c r="G55" s="12">
        <f t="shared" si="83"/>
        <v>6.3551870153442316</v>
      </c>
      <c r="H55" s="12">
        <f t="shared" si="84"/>
        <v>17.078890508461011</v>
      </c>
      <c r="I55" s="12">
        <f t="shared" si="4"/>
        <v>1.6971416862673889</v>
      </c>
      <c r="J55" s="12">
        <f t="shared" si="85"/>
        <v>16.211869848971748</v>
      </c>
      <c r="K55" s="13">
        <f t="shared" si="86"/>
        <v>1.7938630981758966E-2</v>
      </c>
      <c r="L55" s="13">
        <f t="shared" si="87"/>
        <v>107.39988384698269</v>
      </c>
      <c r="M55" s="13">
        <f t="shared" si="88"/>
        <v>5.3270637178074029E-3</v>
      </c>
      <c r="N55" s="13">
        <f t="shared" si="89"/>
        <v>1.4315918280352901E-2</v>
      </c>
      <c r="O55" s="13">
        <f t="shared" si="90"/>
        <v>97.239055858837048</v>
      </c>
      <c r="P55" s="13">
        <f t="shared" si="91"/>
        <v>1.3589161650437342E-2</v>
      </c>
      <c r="Q55" s="38">
        <v>863.29399999999998</v>
      </c>
      <c r="R55" s="38">
        <v>154.232</v>
      </c>
      <c r="S55" s="38">
        <v>858.279</v>
      </c>
      <c r="T55" s="38">
        <v>137.90600000000001</v>
      </c>
      <c r="U55" s="38">
        <v>850.16899999999998</v>
      </c>
      <c r="V55" s="38">
        <v>157.64699999999999</v>
      </c>
      <c r="W55" s="38">
        <v>845.68700000000001</v>
      </c>
      <c r="X55" s="38">
        <v>142.06700000000001</v>
      </c>
      <c r="Y55" s="38">
        <v>854.68700000000001</v>
      </c>
      <c r="Z55" s="38">
        <v>147.548</v>
      </c>
      <c r="AA55" s="38">
        <v>854.077</v>
      </c>
      <c r="AB55" s="38">
        <v>144.58000000000001</v>
      </c>
      <c r="AC55" s="38">
        <v>855.63599999999997</v>
      </c>
      <c r="AD55" s="38">
        <v>150.74100000000001</v>
      </c>
      <c r="AE55" s="14" t="s">
        <v>215</v>
      </c>
      <c r="AF55" s="14" t="s">
        <v>211</v>
      </c>
      <c r="AG55" s="14" t="s">
        <v>226</v>
      </c>
      <c r="AH55" s="14" t="s">
        <v>226</v>
      </c>
      <c r="AI55" s="51" t="s">
        <v>223</v>
      </c>
      <c r="AJ55" s="55">
        <v>4.0630331726915003E-5</v>
      </c>
      <c r="AK55" s="55">
        <v>3.7589213833981103E-5</v>
      </c>
      <c r="AL55" s="55">
        <v>2.5284207120468699E-5</v>
      </c>
      <c r="AM55" s="55">
        <v>2.3381181367420599E-5</v>
      </c>
      <c r="AN55" s="51">
        <v>0.62216404018867499</v>
      </c>
    </row>
    <row r="56" spans="1:40" x14ac:dyDescent="0.35">
      <c r="A56" s="38" t="s">
        <v>122</v>
      </c>
      <c r="B56" s="14">
        <v>1</v>
      </c>
      <c r="C56" s="38">
        <v>80</v>
      </c>
      <c r="D56" s="14">
        <v>1193</v>
      </c>
      <c r="E56" s="12">
        <f t="shared" si="82"/>
        <v>20.564936566884828</v>
      </c>
      <c r="F56" s="12">
        <f t="shared" si="1"/>
        <v>1.7628429466894575</v>
      </c>
      <c r="G56" s="12">
        <f t="shared" si="83"/>
        <v>4.5577722628494515</v>
      </c>
      <c r="H56" s="12">
        <f t="shared" si="84"/>
        <v>15.310633494405097</v>
      </c>
      <c r="I56" s="12">
        <f t="shared" si="4"/>
        <v>1.5391141951319898</v>
      </c>
      <c r="J56" s="12">
        <f t="shared" si="85"/>
        <v>15.107383095691969</v>
      </c>
      <c r="K56" s="13">
        <f t="shared" si="86"/>
        <v>1.7238002151621818E-2</v>
      </c>
      <c r="L56" s="13">
        <f t="shared" si="87"/>
        <v>101.0034607897115</v>
      </c>
      <c r="M56" s="13">
        <f t="shared" si="88"/>
        <v>3.8204293904857095E-3</v>
      </c>
      <c r="N56" s="13">
        <f t="shared" si="89"/>
        <v>1.2833724639065463E-2</v>
      </c>
      <c r="O56" s="13">
        <f t="shared" si="90"/>
        <v>88.184747569737652</v>
      </c>
      <c r="P56" s="13">
        <f t="shared" si="91"/>
        <v>1.2663355486749345E-2</v>
      </c>
      <c r="Q56" s="38">
        <v>979.68</v>
      </c>
      <c r="R56" s="38">
        <v>119.114</v>
      </c>
      <c r="S56" s="38">
        <v>975.49300000000005</v>
      </c>
      <c r="T56" s="38">
        <v>104.387</v>
      </c>
      <c r="U56" s="38">
        <v>965.45799999999997</v>
      </c>
      <c r="V56" s="38">
        <v>122.724</v>
      </c>
      <c r="W56" s="38">
        <v>962.42600000000004</v>
      </c>
      <c r="X56" s="38">
        <v>107.92400000000001</v>
      </c>
      <c r="Y56" s="38">
        <v>971.447</v>
      </c>
      <c r="Z56" s="38">
        <v>113.21299999999999</v>
      </c>
      <c r="AA56" s="38">
        <v>971.01700000000005</v>
      </c>
      <c r="AB56" s="38">
        <v>111.312</v>
      </c>
      <c r="AC56" s="38">
        <v>972.05499999999995</v>
      </c>
      <c r="AD56" s="38">
        <v>115.75</v>
      </c>
      <c r="AE56" s="14" t="s">
        <v>215</v>
      </c>
      <c r="AF56" s="14" t="s">
        <v>211</v>
      </c>
      <c r="AG56" s="14" t="s">
        <v>226</v>
      </c>
      <c r="AH56" s="14" t="s">
        <v>226</v>
      </c>
      <c r="AI56" s="51" t="s">
        <v>223</v>
      </c>
      <c r="AJ56" s="55">
        <v>4.1269852288671801E-5</v>
      </c>
      <c r="AK56" s="55">
        <v>3.3915324725329101E-5</v>
      </c>
      <c r="AL56" s="55">
        <v>2.64778187091647E-5</v>
      </c>
      <c r="AM56" s="55">
        <v>2.6227793941889301E-5</v>
      </c>
      <c r="AN56" s="51">
        <v>0.70101068780138998</v>
      </c>
    </row>
    <row r="57" spans="1:40" x14ac:dyDescent="0.35">
      <c r="A57" s="38" t="s">
        <v>122</v>
      </c>
      <c r="B57" s="14">
        <v>1</v>
      </c>
      <c r="C57" s="38">
        <v>90</v>
      </c>
      <c r="D57" s="14">
        <v>1193</v>
      </c>
      <c r="E57" s="12">
        <f t="shared" si="82"/>
        <v>18.993823889885817</v>
      </c>
      <c r="F57" s="12">
        <f t="shared" si="1"/>
        <v>1.6802721196344281</v>
      </c>
      <c r="G57" s="12">
        <f t="shared" si="83"/>
        <v>3.8354723842051066</v>
      </c>
      <c r="H57" s="12">
        <f t="shared" si="84"/>
        <v>13.231091399049459</v>
      </c>
      <c r="I57" s="12">
        <f t="shared" si="4"/>
        <v>1.4182901968819095</v>
      </c>
      <c r="J57" s="12">
        <f t="shared" si="85"/>
        <v>12.741982514899325</v>
      </c>
      <c r="K57" s="13">
        <f t="shared" si="86"/>
        <v>1.5921059421530444E-2</v>
      </c>
      <c r="L57" s="13">
        <f t="shared" si="87"/>
        <v>96.272500888553679</v>
      </c>
      <c r="M57" s="13">
        <f t="shared" si="88"/>
        <v>3.2149810429212963E-3</v>
      </c>
      <c r="N57" s="13">
        <f t="shared" si="89"/>
        <v>1.1090604693251852E-2</v>
      </c>
      <c r="O57" s="13">
        <f t="shared" si="90"/>
        <v>81.262042406112002</v>
      </c>
      <c r="P57" s="13">
        <f t="shared" si="91"/>
        <v>1.0680622393042183E-2</v>
      </c>
      <c r="Q57" s="38">
        <v>1111.76</v>
      </c>
      <c r="R57" s="38">
        <v>89.341399999999993</v>
      </c>
      <c r="S57" s="38">
        <v>1108.6199999999999</v>
      </c>
      <c r="T57" s="38">
        <v>76.488299999999995</v>
      </c>
      <c r="U57" s="38">
        <v>1098.1400000000001</v>
      </c>
      <c r="V57" s="38">
        <v>91.4071</v>
      </c>
      <c r="W57" s="38">
        <v>1095.92</v>
      </c>
      <c r="X57" s="38">
        <v>78.86</v>
      </c>
      <c r="Y57" s="38">
        <v>1104.3</v>
      </c>
      <c r="Z57" s="38">
        <v>83.626599999999996</v>
      </c>
      <c r="AA57" s="38">
        <v>1104.17</v>
      </c>
      <c r="AB57" s="38">
        <v>81.770499999999998</v>
      </c>
      <c r="AC57" s="38">
        <v>1104.49</v>
      </c>
      <c r="AD57" s="38">
        <v>85.592600000000004</v>
      </c>
      <c r="AE57" s="14" t="s">
        <v>215</v>
      </c>
      <c r="AF57" s="14" t="s">
        <v>211</v>
      </c>
      <c r="AG57" s="14" t="s">
        <v>226</v>
      </c>
      <c r="AH57" s="14" t="s">
        <v>226</v>
      </c>
      <c r="AI57" s="51" t="s">
        <v>223</v>
      </c>
      <c r="AJ57" s="55">
        <v>3.3220766710532903E-5</v>
      </c>
      <c r="AK57" s="55">
        <v>2.73808918889105E-5</v>
      </c>
      <c r="AL57" s="55">
        <v>2.3213188626866899E-5</v>
      </c>
      <c r="AM57" s="55">
        <v>1.9859446590160801E-5</v>
      </c>
      <c r="AN57" s="51">
        <v>0.71075010507094205</v>
      </c>
    </row>
    <row r="58" spans="1:40" x14ac:dyDescent="0.35">
      <c r="A58" s="38" t="s">
        <v>123</v>
      </c>
      <c r="B58" s="14">
        <v>1</v>
      </c>
      <c r="C58" s="38">
        <v>30</v>
      </c>
      <c r="D58" s="14">
        <v>1414</v>
      </c>
      <c r="E58" s="12">
        <f t="shared" ref="E58:E64" si="92">DIST2(Q58,R58,W58,X58)</f>
        <v>28.152337185391968</v>
      </c>
      <c r="F58" s="12">
        <f t="shared" si="1"/>
        <v>1.33708671376161</v>
      </c>
      <c r="G58" s="12">
        <f t="shared" ref="G58:G64" si="93">DIST2(AA58,AB58,AC58,AD58)</f>
        <v>0.90710583726486493</v>
      </c>
      <c r="H58" s="12">
        <f t="shared" ref="H58:H64" si="94">DIST2(Q58,R58,S58,T58)</f>
        <v>17.790235102437528</v>
      </c>
      <c r="I58" s="12">
        <f t="shared" si="4"/>
        <v>1.65979724725419</v>
      </c>
      <c r="J58" s="12">
        <f t="shared" ref="J58:J64" si="95">DIST2(U58,V58,W58,X58)</f>
        <v>19.551572468729983</v>
      </c>
      <c r="K58" s="13">
        <f t="shared" ref="K58:K64" si="96">E58/D58</f>
        <v>1.9909715124039582E-2</v>
      </c>
      <c r="L58" s="13">
        <f t="shared" ref="L58:L64" si="97">F58*180/PI()</f>
        <v>76.60942554155703</v>
      </c>
      <c r="M58" s="13">
        <f t="shared" ref="M58:M64" si="98">G58/D58</f>
        <v>6.4151756525096526E-4</v>
      </c>
      <c r="N58" s="13">
        <f t="shared" ref="N58:N64" si="99">H58/D58</f>
        <v>1.2581495829163739E-2</v>
      </c>
      <c r="O58" s="13">
        <f t="shared" ref="O58:O64" si="100">I58*180/PI()</f>
        <v>95.099377115097056</v>
      </c>
      <c r="P58" s="13">
        <f t="shared" ref="P58:P64" si="101">J58/D58</f>
        <v>1.3827137530926438E-2</v>
      </c>
      <c r="Q58" s="38">
        <v>516.64200000000005</v>
      </c>
      <c r="R58" s="38">
        <v>-235.762</v>
      </c>
      <c r="S58" s="38">
        <v>515.07399999999996</v>
      </c>
      <c r="T58" s="38">
        <v>-253.483</v>
      </c>
      <c r="U58" s="38">
        <v>496.17599999999999</v>
      </c>
      <c r="V58" s="38">
        <v>-234.429</v>
      </c>
      <c r="W58" s="38">
        <v>495.15699999999998</v>
      </c>
      <c r="X58" s="38">
        <v>-253.95400000000001</v>
      </c>
      <c r="Y58" s="38">
        <v>504.60500000000002</v>
      </c>
      <c r="Z58" s="38">
        <v>-244.458</v>
      </c>
      <c r="AA58" s="38">
        <v>504.63</v>
      </c>
      <c r="AB58" s="38">
        <v>-244.935</v>
      </c>
      <c r="AC58" s="38">
        <v>504.55500000000001</v>
      </c>
      <c r="AD58" s="38">
        <v>-244.03100000000001</v>
      </c>
      <c r="AE58" s="14" t="s">
        <v>215</v>
      </c>
      <c r="AF58" s="14" t="s">
        <v>211</v>
      </c>
      <c r="AG58" s="14" t="s">
        <v>226</v>
      </c>
      <c r="AH58" s="14" t="s">
        <v>226</v>
      </c>
      <c r="AI58" s="51" t="s">
        <v>223</v>
      </c>
      <c r="AJ58" s="55">
        <v>4.3712145067810599E-5</v>
      </c>
      <c r="AK58" s="55">
        <v>4.9933167066453998E-5</v>
      </c>
      <c r="AL58" s="55">
        <v>4.6350329049373098E-5</v>
      </c>
      <c r="AM58" s="55">
        <v>4.3805639303069499E-5</v>
      </c>
      <c r="AN58" s="51">
        <v>0.96273872442414199</v>
      </c>
    </row>
    <row r="59" spans="1:40" x14ac:dyDescent="0.35">
      <c r="A59" s="38" t="s">
        <v>123</v>
      </c>
      <c r="B59" s="14">
        <v>1</v>
      </c>
      <c r="C59" s="38">
        <v>40</v>
      </c>
      <c r="D59" s="14">
        <v>1414</v>
      </c>
      <c r="E59" s="12">
        <f t="shared" si="92"/>
        <v>27.907492416912064</v>
      </c>
      <c r="F59" s="12">
        <f t="shared" si="1"/>
        <v>1.4772713916268765</v>
      </c>
      <c r="G59" s="12">
        <f t="shared" si="93"/>
        <v>2.8955809434377859</v>
      </c>
      <c r="H59" s="12">
        <f t="shared" si="94"/>
        <v>18.748939303331255</v>
      </c>
      <c r="I59" s="12">
        <f t="shared" si="4"/>
        <v>1.4851212896656087</v>
      </c>
      <c r="J59" s="12">
        <f t="shared" si="95"/>
        <v>18.766296864325717</v>
      </c>
      <c r="K59" s="13">
        <f t="shared" si="96"/>
        <v>1.973655757914573E-2</v>
      </c>
      <c r="L59" s="13">
        <f t="shared" si="97"/>
        <v>84.641415935637795</v>
      </c>
      <c r="M59" s="13">
        <f t="shared" si="98"/>
        <v>2.0477941608470903E-3</v>
      </c>
      <c r="N59" s="13">
        <f t="shared" si="99"/>
        <v>1.3259504457801453E-2</v>
      </c>
      <c r="O59" s="13">
        <f t="shared" si="100"/>
        <v>85.091181962865193</v>
      </c>
      <c r="P59" s="13">
        <f t="shared" si="101"/>
        <v>1.3271779960626392E-2</v>
      </c>
      <c r="Q59" s="38">
        <v>657.73400000000004</v>
      </c>
      <c r="R59" s="38">
        <v>-236.91200000000001</v>
      </c>
      <c r="S59" s="38">
        <v>659.23199999999997</v>
      </c>
      <c r="T59" s="38">
        <v>-255.601</v>
      </c>
      <c r="U59" s="38">
        <v>637.23</v>
      </c>
      <c r="V59" s="38">
        <v>-238.80099999999999</v>
      </c>
      <c r="W59" s="38">
        <v>638.88699999999994</v>
      </c>
      <c r="X59" s="38">
        <v>-257.49400000000003</v>
      </c>
      <c r="Y59" s="38">
        <v>648.25800000000004</v>
      </c>
      <c r="Z59" s="38">
        <v>-247.44900000000001</v>
      </c>
      <c r="AA59" s="38">
        <v>648.00599999999997</v>
      </c>
      <c r="AB59" s="38">
        <v>-248.74</v>
      </c>
      <c r="AC59" s="38">
        <v>648.06399999999996</v>
      </c>
      <c r="AD59" s="38">
        <v>-245.845</v>
      </c>
      <c r="AE59" s="14" t="s">
        <v>215</v>
      </c>
      <c r="AF59" s="14" t="s">
        <v>211</v>
      </c>
      <c r="AG59" s="14" t="s">
        <v>226</v>
      </c>
      <c r="AH59" s="14" t="s">
        <v>226</v>
      </c>
      <c r="AI59" s="51" t="s">
        <v>223</v>
      </c>
      <c r="AJ59" s="55">
        <v>4.7968653533367402E-5</v>
      </c>
      <c r="AK59" s="55">
        <v>4.8234914444161898E-5</v>
      </c>
      <c r="AL59" s="55">
        <v>4.12363538788714E-5</v>
      </c>
      <c r="AM59" s="55">
        <v>4.0221612677028502E-5</v>
      </c>
      <c r="AN59" s="51">
        <v>0.84672500478284196</v>
      </c>
    </row>
    <row r="60" spans="1:40" x14ac:dyDescent="0.35">
      <c r="A60" s="38" t="s">
        <v>123</v>
      </c>
      <c r="B60" s="14">
        <v>1</v>
      </c>
      <c r="C60" s="38">
        <v>50</v>
      </c>
      <c r="D60" s="14">
        <v>1414</v>
      </c>
      <c r="E60" s="12">
        <f t="shared" si="92"/>
        <v>31.964085095619357</v>
      </c>
      <c r="F60" s="12">
        <f t="shared" si="1"/>
        <v>1.5357759698726998</v>
      </c>
      <c r="G60" s="12">
        <f t="shared" si="93"/>
        <v>2.9936527854779813</v>
      </c>
      <c r="H60" s="12">
        <f t="shared" si="94"/>
        <v>24.037369094807346</v>
      </c>
      <c r="I60" s="12">
        <f t="shared" si="4"/>
        <v>1.6694379853261203</v>
      </c>
      <c r="J60" s="12">
        <f t="shared" si="95"/>
        <v>21.859864340841622</v>
      </c>
      <c r="K60" s="13">
        <f t="shared" si="96"/>
        <v>2.2605435003974085E-2</v>
      </c>
      <c r="L60" s="13">
        <f t="shared" si="97"/>
        <v>87.993481351316362</v>
      </c>
      <c r="M60" s="13">
        <f t="shared" si="98"/>
        <v>2.117151899206493E-3</v>
      </c>
      <c r="N60" s="13">
        <f t="shared" si="99"/>
        <v>1.699955381528101E-2</v>
      </c>
      <c r="O60" s="13">
        <f t="shared" si="100"/>
        <v>95.651750718009765</v>
      </c>
      <c r="P60" s="13">
        <f t="shared" si="101"/>
        <v>1.5459592886026606E-2</v>
      </c>
      <c r="Q60" s="38">
        <v>810.31899999999996</v>
      </c>
      <c r="R60" s="38">
        <v>-233.06800000000001</v>
      </c>
      <c r="S60" s="38">
        <v>813.09100000000001</v>
      </c>
      <c r="T60" s="38">
        <v>-256.94499999999999</v>
      </c>
      <c r="U60" s="38">
        <v>788.36099999999999</v>
      </c>
      <c r="V60" s="38">
        <v>-236.47900000000001</v>
      </c>
      <c r="W60" s="38">
        <v>790.59900000000005</v>
      </c>
      <c r="X60" s="38">
        <v>-258.22399999999999</v>
      </c>
      <c r="Y60" s="38">
        <v>799.33399999999995</v>
      </c>
      <c r="Z60" s="38">
        <v>-246.381</v>
      </c>
      <c r="AA60" s="38">
        <v>799.44200000000001</v>
      </c>
      <c r="AB60" s="38">
        <v>-245.29</v>
      </c>
      <c r="AC60" s="38">
        <v>799.56799999999998</v>
      </c>
      <c r="AD60" s="38">
        <v>-248.28100000000001</v>
      </c>
      <c r="AE60" s="14" t="s">
        <v>215</v>
      </c>
      <c r="AF60" s="14" t="s">
        <v>211</v>
      </c>
      <c r="AG60" s="14" t="s">
        <v>226</v>
      </c>
      <c r="AH60" s="14" t="s">
        <v>226</v>
      </c>
      <c r="AI60" s="51" t="s">
        <v>223</v>
      </c>
      <c r="AJ60" s="55">
        <v>5.4128148950982801E-5</v>
      </c>
      <c r="AK60" s="55">
        <v>7.4820716106264299E-5</v>
      </c>
      <c r="AL60" s="55">
        <v>7.4366306874676006E-5</v>
      </c>
      <c r="AM60" s="55">
        <v>6.9921449027606205E-5</v>
      </c>
      <c r="AN60" s="51">
        <v>1.1189532830570099</v>
      </c>
    </row>
    <row r="61" spans="1:40" x14ac:dyDescent="0.35">
      <c r="A61" s="38" t="s">
        <v>123</v>
      </c>
      <c r="B61" s="14">
        <v>1</v>
      </c>
      <c r="C61" s="38">
        <v>60</v>
      </c>
      <c r="D61" s="14">
        <v>1414</v>
      </c>
      <c r="E61" s="12">
        <f t="shared" si="92"/>
        <v>36.218493577176901</v>
      </c>
      <c r="F61" s="12">
        <f t="shared" si="1"/>
        <v>1.3472889962560539</v>
      </c>
      <c r="G61" s="12">
        <f t="shared" si="93"/>
        <v>3.5500035211250145</v>
      </c>
      <c r="H61" s="12">
        <f t="shared" si="94"/>
        <v>23.545787563808538</v>
      </c>
      <c r="I61" s="12">
        <f t="shared" si="4"/>
        <v>1.4051872466485547</v>
      </c>
      <c r="J61" s="12">
        <f t="shared" si="95"/>
        <v>21.834498047814137</v>
      </c>
      <c r="K61" s="13">
        <f t="shared" si="96"/>
        <v>2.5614210450620158E-2</v>
      </c>
      <c r="L61" s="13">
        <f t="shared" si="97"/>
        <v>77.193973269888858</v>
      </c>
      <c r="M61" s="13">
        <f t="shared" si="98"/>
        <v>2.5106106938649324E-3</v>
      </c>
      <c r="N61" s="13">
        <f t="shared" si="99"/>
        <v>1.6651900681618485E-2</v>
      </c>
      <c r="O61" s="13">
        <f t="shared" si="100"/>
        <v>80.511298658570823</v>
      </c>
      <c r="P61" s="13">
        <f t="shared" si="101"/>
        <v>1.5441653499161342E-2</v>
      </c>
      <c r="Q61" s="38">
        <v>941.44500000000005</v>
      </c>
      <c r="R61" s="38">
        <v>-228.45</v>
      </c>
      <c r="S61" s="38">
        <v>942.62900000000002</v>
      </c>
      <c r="T61" s="38">
        <v>-251.96600000000001</v>
      </c>
      <c r="U61" s="38">
        <v>914.12199999999996</v>
      </c>
      <c r="V61" s="38">
        <v>-231.15700000000001</v>
      </c>
      <c r="W61" s="38">
        <v>914.79899999999998</v>
      </c>
      <c r="X61" s="38">
        <v>-252.98099999999999</v>
      </c>
      <c r="Y61" s="38">
        <v>927.33299999999997</v>
      </c>
      <c r="Z61" s="38">
        <v>-241.34700000000001</v>
      </c>
      <c r="AA61" s="38">
        <v>927.47900000000004</v>
      </c>
      <c r="AB61" s="38">
        <v>-243.096</v>
      </c>
      <c r="AC61" s="38">
        <v>927.33299999999997</v>
      </c>
      <c r="AD61" s="38">
        <v>-239.54900000000001</v>
      </c>
      <c r="AE61" s="14" t="s">
        <v>215</v>
      </c>
      <c r="AF61" s="14" t="s">
        <v>211</v>
      </c>
      <c r="AG61" s="14" t="s">
        <v>226</v>
      </c>
      <c r="AH61" s="14" t="s">
        <v>226</v>
      </c>
      <c r="AI61" s="51" t="s">
        <v>223</v>
      </c>
      <c r="AJ61" s="55">
        <v>7.0375811995222501E-5</v>
      </c>
      <c r="AK61" s="55">
        <v>8.6808176069173306E-5</v>
      </c>
      <c r="AL61" s="55">
        <v>6.6284216083257398E-5</v>
      </c>
      <c r="AM61" s="55">
        <v>6.5577141796822696E-5</v>
      </c>
      <c r="AN61" s="51">
        <v>0.83889815689151803</v>
      </c>
    </row>
    <row r="62" spans="1:40" x14ac:dyDescent="0.35">
      <c r="A62" s="38" t="s">
        <v>123</v>
      </c>
      <c r="B62" s="14">
        <v>1</v>
      </c>
      <c r="C62" s="38">
        <v>70</v>
      </c>
      <c r="D62" s="14">
        <v>1414</v>
      </c>
      <c r="E62" s="12">
        <f t="shared" si="92"/>
        <v>39.122718323245422</v>
      </c>
      <c r="F62" s="12">
        <f t="shared" si="1"/>
        <v>1.3562138562918826</v>
      </c>
      <c r="G62" s="12">
        <f t="shared" si="93"/>
        <v>4.4323651699741333</v>
      </c>
      <c r="H62" s="12">
        <f t="shared" si="94"/>
        <v>24.348610001394338</v>
      </c>
      <c r="I62" s="12">
        <f t="shared" si="4"/>
        <v>1.3203434262810223</v>
      </c>
      <c r="J62" s="12">
        <f t="shared" si="95"/>
        <v>24.158442085531924</v>
      </c>
      <c r="K62" s="13">
        <f t="shared" si="96"/>
        <v>2.7668117626057583E-2</v>
      </c>
      <c r="L62" s="13">
        <f t="shared" si="97"/>
        <v>77.705330082686828</v>
      </c>
      <c r="M62" s="13">
        <f t="shared" si="98"/>
        <v>3.1346288330793021E-3</v>
      </c>
      <c r="N62" s="13">
        <f t="shared" si="99"/>
        <v>1.72196676106042E-2</v>
      </c>
      <c r="O62" s="13">
        <f t="shared" si="100"/>
        <v>75.650105833745116</v>
      </c>
      <c r="P62" s="13">
        <f t="shared" si="101"/>
        <v>1.708517827831112E-2</v>
      </c>
      <c r="Q62" s="38">
        <v>1091.75</v>
      </c>
      <c r="R62" s="38">
        <v>-224.22</v>
      </c>
      <c r="S62" s="38">
        <v>1092.03</v>
      </c>
      <c r="T62" s="38">
        <v>-248.56700000000001</v>
      </c>
      <c r="U62" s="38">
        <v>1060.68</v>
      </c>
      <c r="V62" s="38">
        <v>-225.27099999999999</v>
      </c>
      <c r="W62" s="38">
        <v>1061.81</v>
      </c>
      <c r="X62" s="38">
        <v>-249.40299999999999</v>
      </c>
      <c r="Y62" s="38">
        <v>1076.8</v>
      </c>
      <c r="Z62" s="38">
        <v>-237.18299999999999</v>
      </c>
      <c r="AA62" s="38">
        <v>1076.69</v>
      </c>
      <c r="AB62" s="38">
        <v>-239.26</v>
      </c>
      <c r="AC62" s="38">
        <v>1076.8</v>
      </c>
      <c r="AD62" s="38">
        <v>-234.82900000000001</v>
      </c>
      <c r="AE62" s="14" t="s">
        <v>215</v>
      </c>
      <c r="AF62" s="14" t="s">
        <v>211</v>
      </c>
      <c r="AG62" s="14" t="s">
        <v>226</v>
      </c>
      <c r="AH62" s="14" t="s">
        <v>226</v>
      </c>
      <c r="AI62" s="51" t="s">
        <v>223</v>
      </c>
      <c r="AJ62" s="55">
        <v>9.3915182385080005E-5</v>
      </c>
      <c r="AK62" s="55">
        <v>9.1932085989969201E-5</v>
      </c>
      <c r="AL62" s="55">
        <v>7.8501002302695401E-5</v>
      </c>
      <c r="AM62" s="55">
        <v>7.3542654881774401E-5</v>
      </c>
      <c r="AN62" s="51">
        <v>0.81811079879655801</v>
      </c>
    </row>
    <row r="63" spans="1:40" x14ac:dyDescent="0.35">
      <c r="A63" s="38" t="s">
        <v>123</v>
      </c>
      <c r="B63" s="14">
        <v>1</v>
      </c>
      <c r="C63" s="38">
        <v>80</v>
      </c>
      <c r="D63" s="14">
        <v>1414</v>
      </c>
      <c r="E63" s="12">
        <f t="shared" si="92"/>
        <v>39.515034872817594</v>
      </c>
      <c r="F63" s="12">
        <f t="shared" si="1"/>
        <v>1.2536115171986277</v>
      </c>
      <c r="G63" s="12">
        <f t="shared" si="93"/>
        <v>4.1249819393544289</v>
      </c>
      <c r="H63" s="12">
        <f t="shared" si="94"/>
        <v>24.29742373174572</v>
      </c>
      <c r="I63" s="12">
        <f t="shared" si="4"/>
        <v>1.3434439977437753</v>
      </c>
      <c r="J63" s="12">
        <f t="shared" si="95"/>
        <v>23.52960239783069</v>
      </c>
      <c r="K63" s="13">
        <f t="shared" si="96"/>
        <v>2.7945569216985568E-2</v>
      </c>
      <c r="L63" s="13">
        <f t="shared" si="97"/>
        <v>71.826649084473175</v>
      </c>
      <c r="M63" s="13">
        <f t="shared" si="98"/>
        <v>2.9172432385816331E-3</v>
      </c>
      <c r="N63" s="13">
        <f t="shared" si="99"/>
        <v>1.7183467985675899E-2</v>
      </c>
      <c r="O63" s="13">
        <f t="shared" si="100"/>
        <v>76.97367108290122</v>
      </c>
      <c r="P63" s="13">
        <f t="shared" si="101"/>
        <v>1.6640454312468664E-2</v>
      </c>
      <c r="Q63" s="38">
        <v>1221.0899999999999</v>
      </c>
      <c r="R63" s="38">
        <v>-220.93199999999999</v>
      </c>
      <c r="S63" s="38">
        <v>1222.01</v>
      </c>
      <c r="T63" s="38">
        <v>-245.21199999999999</v>
      </c>
      <c r="U63" s="38">
        <v>1189.6300000000001</v>
      </c>
      <c r="V63" s="38">
        <v>-222.30600000000001</v>
      </c>
      <c r="W63" s="38">
        <v>1190.4000000000001</v>
      </c>
      <c r="X63" s="38">
        <v>-245.82300000000001</v>
      </c>
      <c r="Y63" s="38">
        <v>1204.81</v>
      </c>
      <c r="Z63" s="38">
        <v>-234.12299999999999</v>
      </c>
      <c r="AA63" s="38">
        <v>1204.81</v>
      </c>
      <c r="AB63" s="38">
        <v>-236.00200000000001</v>
      </c>
      <c r="AC63" s="38">
        <v>1204.9000000000001</v>
      </c>
      <c r="AD63" s="38">
        <v>-231.87799999999999</v>
      </c>
      <c r="AE63" s="14" t="s">
        <v>215</v>
      </c>
      <c r="AF63" s="14" t="s">
        <v>211</v>
      </c>
      <c r="AG63" s="14" t="s">
        <v>226</v>
      </c>
      <c r="AH63" s="14" t="s">
        <v>226</v>
      </c>
      <c r="AI63" s="51" t="s">
        <v>223</v>
      </c>
      <c r="AJ63" s="55">
        <v>8.6998516051846705E-5</v>
      </c>
      <c r="AK63" s="51">
        <v>1.01884299058316E-4</v>
      </c>
      <c r="AL63" s="55">
        <v>8.0553352112337306E-5</v>
      </c>
      <c r="AM63" s="55">
        <v>7.5432105495859395E-5</v>
      </c>
      <c r="AN63" s="51">
        <v>0.825831918680485</v>
      </c>
    </row>
    <row r="64" spans="1:40" x14ac:dyDescent="0.35">
      <c r="A64" s="38" t="s">
        <v>123</v>
      </c>
      <c r="B64" s="14">
        <v>1</v>
      </c>
      <c r="C64" s="38">
        <v>90</v>
      </c>
      <c r="D64" s="14">
        <v>1414</v>
      </c>
      <c r="E64" s="12">
        <f t="shared" si="92"/>
        <v>33.277932628094646</v>
      </c>
      <c r="F64" s="12">
        <f t="shared" si="1"/>
        <v>1.4164476870170197</v>
      </c>
      <c r="G64" s="12">
        <f t="shared" si="93"/>
        <v>4.0803063610469374</v>
      </c>
      <c r="H64" s="12">
        <f t="shared" si="94"/>
        <v>21.232150715365602</v>
      </c>
      <c r="I64" s="12">
        <f t="shared" si="4"/>
        <v>1.3513546232143343</v>
      </c>
      <c r="J64" s="12">
        <f t="shared" si="95"/>
        <v>21.405737642043562</v>
      </c>
      <c r="K64" s="13">
        <f t="shared" si="96"/>
        <v>2.3534605819020258E-2</v>
      </c>
      <c r="L64" s="13">
        <f t="shared" si="97"/>
        <v>81.156474367142593</v>
      </c>
      <c r="M64" s="13">
        <f t="shared" si="98"/>
        <v>2.8856480629752034E-3</v>
      </c>
      <c r="N64" s="13">
        <f t="shared" si="99"/>
        <v>1.5015665286680057E-2</v>
      </c>
      <c r="O64" s="13">
        <f t="shared" si="100"/>
        <v>77.42691653567293</v>
      </c>
      <c r="P64" s="13">
        <f t="shared" si="101"/>
        <v>1.5138428318276918E-2</v>
      </c>
      <c r="Q64" s="38">
        <v>1373.94</v>
      </c>
      <c r="R64" s="38">
        <v>-218.93199999999999</v>
      </c>
      <c r="S64" s="38">
        <v>1374.02</v>
      </c>
      <c r="T64" s="38">
        <v>-240.16399999999999</v>
      </c>
      <c r="U64" s="38">
        <v>1348.46</v>
      </c>
      <c r="V64" s="38">
        <v>-218.45</v>
      </c>
      <c r="W64" s="38">
        <v>1348.06</v>
      </c>
      <c r="X64" s="38">
        <v>-239.852</v>
      </c>
      <c r="Y64" s="38">
        <v>1361.59</v>
      </c>
      <c r="Z64" s="38">
        <v>-229.898</v>
      </c>
      <c r="AA64" s="38">
        <v>1361.68</v>
      </c>
      <c r="AB64" s="38">
        <v>-231.9</v>
      </c>
      <c r="AC64" s="38">
        <v>1361.73</v>
      </c>
      <c r="AD64" s="38">
        <v>-227.82</v>
      </c>
      <c r="AE64" s="14" t="s">
        <v>215</v>
      </c>
      <c r="AF64" s="14" t="s">
        <v>211</v>
      </c>
      <c r="AG64" s="14" t="s">
        <v>226</v>
      </c>
      <c r="AH64" s="14" t="s">
        <v>226</v>
      </c>
      <c r="AI64" s="51" t="s">
        <v>223</v>
      </c>
      <c r="AJ64" s="55">
        <v>7.1418433366876496E-5</v>
      </c>
      <c r="AK64" s="55">
        <v>6.5792989482824299E-5</v>
      </c>
      <c r="AL64" s="55">
        <v>5.8105412834676201E-5</v>
      </c>
      <c r="AM64" s="55">
        <v>5.2686751398922497E-5</v>
      </c>
      <c r="AN64" s="51">
        <v>0.80745583663947995</v>
      </c>
    </row>
    <row r="65" spans="1:40" x14ac:dyDescent="0.35">
      <c r="A65" s="38" t="s">
        <v>124</v>
      </c>
      <c r="B65" s="14">
        <v>1</v>
      </c>
      <c r="C65" s="38">
        <v>40</v>
      </c>
      <c r="D65" s="14">
        <v>1224</v>
      </c>
      <c r="E65" s="12">
        <f t="shared" ref="E65:E70" si="102">DIST2(Q65,R65,W65,X65)</f>
        <v>42.843933759635085</v>
      </c>
      <c r="F65" s="12">
        <f t="shared" ref="F65:F128" si="103">ACOS((DIST2(Y65,Z65,S65,T65)^2 + DIST2(Y65,Z65,Q65,R65)^2 - DIST2(Q65,R65,S65,T65)^2)/(2*DIST2(Y65,Z65,S65,T65) * DIST2(Y65,Z65,Q65,R65)))</f>
        <v>0.92491831918847367</v>
      </c>
      <c r="G65" s="12">
        <f t="shared" ref="G65:G70" si="104">DIST2(AA65,AB65,AC65,AD65)</f>
        <v>1.444311600728861</v>
      </c>
      <c r="H65" s="12">
        <f t="shared" ref="H65:H70" si="105">DIST2(Q65,R65,S65,T65)</f>
        <v>20.016863340693522</v>
      </c>
      <c r="I65" s="12">
        <f t="shared" ref="I65:I128" si="106">ACOS((DIST2(Y65,Z65,W65,X65)^2 + DIST2(Y65,Z65,U65,V65)^2 - DIST2(U65,V65,W65,X65)^2)/(2*DIST2(Y65,Z65,W65,X65) * DIST2(Y65,Z65,U65,V65)))</f>
        <v>1.0586200876338845</v>
      </c>
      <c r="J65" s="12">
        <f t="shared" ref="J65:J70" si="107">DIST2(U65,V65,W65,X65)</f>
        <v>20.45922227260851</v>
      </c>
      <c r="K65" s="13">
        <f t="shared" ref="K65:K70" si="108">E65/D65</f>
        <v>3.5003213855911014E-2</v>
      </c>
      <c r="L65" s="13">
        <f t="shared" ref="L65:L70" si="109">F65*180/PI()</f>
        <v>52.993916083833483</v>
      </c>
      <c r="M65" s="13">
        <f t="shared" ref="M65:M70" si="110">G65/D65</f>
        <v>1.1799931378503766E-3</v>
      </c>
      <c r="N65" s="13">
        <f t="shared" ref="N65:N70" si="111">H65/D65</f>
        <v>1.6353646520174445E-2</v>
      </c>
      <c r="O65" s="13">
        <f t="shared" ref="O65:O70" si="112">I65*180/PI()</f>
        <v>60.654463129190937</v>
      </c>
      <c r="P65" s="13">
        <f t="shared" ref="P65:P70" si="113">J65/D65</f>
        <v>1.6715050876314141E-2</v>
      </c>
      <c r="Q65" s="14">
        <v>973.98599999999999</v>
      </c>
      <c r="R65" s="14">
        <v>137.63200000000001</v>
      </c>
      <c r="S65" s="14">
        <v>975.07899999999995</v>
      </c>
      <c r="T65" s="14">
        <v>117.645</v>
      </c>
      <c r="U65" s="38">
        <v>1011.45</v>
      </c>
      <c r="V65" s="38">
        <v>139.59800000000001</v>
      </c>
      <c r="W65" s="14">
        <v>1012.65</v>
      </c>
      <c r="X65" s="14">
        <v>119.17400000000001</v>
      </c>
      <c r="Y65" s="14">
        <v>994.57600000000002</v>
      </c>
      <c r="Z65" s="14">
        <v>128.78800000000001</v>
      </c>
      <c r="AA65" s="14">
        <v>994.62199999999996</v>
      </c>
      <c r="AB65" s="14">
        <v>128.06100000000001</v>
      </c>
      <c r="AC65" s="14">
        <v>994.59199999999998</v>
      </c>
      <c r="AD65" s="14">
        <v>129.505</v>
      </c>
      <c r="AE65" s="14" t="s">
        <v>215</v>
      </c>
      <c r="AF65" s="14" t="s">
        <v>211</v>
      </c>
      <c r="AG65" s="14" t="s">
        <v>226</v>
      </c>
      <c r="AH65" s="14" t="s">
        <v>226</v>
      </c>
      <c r="AI65" s="51" t="s">
        <v>223</v>
      </c>
      <c r="AJ65" s="51">
        <v>1.193473183391E-4</v>
      </c>
      <c r="AK65" s="51">
        <v>1.3411836726793199E-4</v>
      </c>
      <c r="AL65" s="51">
        <v>1.15133777339912E-4</v>
      </c>
      <c r="AM65" s="51">
        <v>1.20632785800867E-4</v>
      </c>
      <c r="AN65" s="51">
        <v>0.93017152430766303</v>
      </c>
    </row>
    <row r="66" spans="1:40" x14ac:dyDescent="0.35">
      <c r="A66" s="38" t="s">
        <v>124</v>
      </c>
      <c r="B66" s="14">
        <v>1</v>
      </c>
      <c r="C66" s="38">
        <v>50</v>
      </c>
      <c r="D66" s="14">
        <v>1224</v>
      </c>
      <c r="E66" s="12">
        <f t="shared" si="102"/>
        <v>46.448655147377551</v>
      </c>
      <c r="F66" s="12">
        <f t="shared" si="103"/>
        <v>0.80850887409180316</v>
      </c>
      <c r="G66" s="12">
        <f t="shared" si="104"/>
        <v>1.6221100455887769</v>
      </c>
      <c r="H66" s="12">
        <f t="shared" si="105"/>
        <v>19.379434099064902</v>
      </c>
      <c r="I66" s="12">
        <f t="shared" si="106"/>
        <v>0.87158534332096993</v>
      </c>
      <c r="J66" s="12">
        <f t="shared" si="107"/>
        <v>18.522472540133514</v>
      </c>
      <c r="K66" s="13">
        <f t="shared" si="108"/>
        <v>3.7948247669426102E-2</v>
      </c>
      <c r="L66" s="13">
        <f t="shared" si="109"/>
        <v>46.324146184334388</v>
      </c>
      <c r="M66" s="13">
        <f t="shared" si="110"/>
        <v>1.3252533052195889E-3</v>
      </c>
      <c r="N66" s="13">
        <f t="shared" si="111"/>
        <v>1.5832870995968057E-2</v>
      </c>
      <c r="O66" s="13">
        <f t="shared" si="112"/>
        <v>49.938161657752453</v>
      </c>
      <c r="P66" s="13">
        <f t="shared" si="113"/>
        <v>1.5132739003377053E-2</v>
      </c>
      <c r="Q66" s="14">
        <v>886.83299999999997</v>
      </c>
      <c r="R66" s="14">
        <v>131.00899999999999</v>
      </c>
      <c r="S66" s="14">
        <v>888.41200000000003</v>
      </c>
      <c r="T66" s="14">
        <v>111.694</v>
      </c>
      <c r="U66" s="38">
        <v>929.22900000000004</v>
      </c>
      <c r="V66" s="38">
        <v>134.167</v>
      </c>
      <c r="W66" s="14">
        <v>930.68700000000001</v>
      </c>
      <c r="X66" s="14">
        <v>115.702</v>
      </c>
      <c r="Y66" s="14">
        <v>910.23599999999999</v>
      </c>
      <c r="Z66" s="14">
        <v>122.46899999999999</v>
      </c>
      <c r="AA66" s="14">
        <v>910.26599999999996</v>
      </c>
      <c r="AB66" s="14">
        <v>121.68899999999999</v>
      </c>
      <c r="AC66" s="14">
        <v>910.20600000000002</v>
      </c>
      <c r="AD66" s="14">
        <v>123.31</v>
      </c>
      <c r="AE66" s="14" t="s">
        <v>215</v>
      </c>
      <c r="AF66" s="14" t="s">
        <v>211</v>
      </c>
      <c r="AG66" s="14" t="s">
        <v>226</v>
      </c>
      <c r="AH66" s="14" t="s">
        <v>226</v>
      </c>
      <c r="AI66" s="51" t="s">
        <v>223</v>
      </c>
      <c r="AJ66" s="51">
        <v>1.2273639045078799E-4</v>
      </c>
      <c r="AK66" s="51">
        <v>1.46359401365393E-4</v>
      </c>
      <c r="AL66" s="51">
        <v>1.3356866549724499E-4</v>
      </c>
      <c r="AM66" s="51">
        <v>1.11785195130612E-4</v>
      </c>
      <c r="AN66" s="51">
        <v>0.91177145124386405</v>
      </c>
    </row>
    <row r="67" spans="1:40" x14ac:dyDescent="0.35">
      <c r="A67" s="38" t="s">
        <v>124</v>
      </c>
      <c r="B67" s="14">
        <v>1</v>
      </c>
      <c r="C67" s="38">
        <v>60</v>
      </c>
      <c r="D67" s="14">
        <v>1224</v>
      </c>
      <c r="E67" s="12">
        <f t="shared" si="102"/>
        <v>47.15540819460697</v>
      </c>
      <c r="F67" s="12">
        <f t="shared" si="103"/>
        <v>0.69998967151950586</v>
      </c>
      <c r="G67" s="12">
        <f t="shared" si="104"/>
        <v>1.0726732960226084</v>
      </c>
      <c r="H67" s="12">
        <f t="shared" si="105"/>
        <v>18.734394892816784</v>
      </c>
      <c r="I67" s="12">
        <f t="shared" si="106"/>
        <v>0.75494029728878442</v>
      </c>
      <c r="J67" s="12">
        <f t="shared" si="107"/>
        <v>14.617325063088659</v>
      </c>
      <c r="K67" s="13">
        <f t="shared" si="108"/>
        <v>3.8525660289711577E-2</v>
      </c>
      <c r="L67" s="13">
        <f t="shared" si="109"/>
        <v>40.106453880816531</v>
      </c>
      <c r="M67" s="13">
        <f t="shared" si="110"/>
        <v>8.7636707191389581E-4</v>
      </c>
      <c r="N67" s="13">
        <f t="shared" si="111"/>
        <v>1.5305878180405869E-2</v>
      </c>
      <c r="O67" s="13">
        <f t="shared" si="112"/>
        <v>43.254892818999011</v>
      </c>
      <c r="P67" s="13">
        <f t="shared" si="113"/>
        <v>1.1942259038471126E-2</v>
      </c>
      <c r="Q67" s="14">
        <v>758.64099999999996</v>
      </c>
      <c r="R67" s="14">
        <v>127.33499999999999</v>
      </c>
      <c r="S67" s="14">
        <v>758.01700000000005</v>
      </c>
      <c r="T67" s="14">
        <v>108.611</v>
      </c>
      <c r="U67" s="38">
        <v>802.70399999999995</v>
      </c>
      <c r="V67" s="38">
        <v>123.59</v>
      </c>
      <c r="W67" s="14">
        <v>802.08</v>
      </c>
      <c r="X67" s="14">
        <v>108.986</v>
      </c>
      <c r="Y67" s="14">
        <v>783.976</v>
      </c>
      <c r="Z67" s="14">
        <v>117.09699999999999</v>
      </c>
      <c r="AA67" s="14">
        <v>784.03399999999999</v>
      </c>
      <c r="AB67" s="14">
        <v>116.542</v>
      </c>
      <c r="AC67" s="14">
        <v>783.99599999999998</v>
      </c>
      <c r="AD67" s="14">
        <v>117.614</v>
      </c>
      <c r="AE67" s="14" t="s">
        <v>215</v>
      </c>
      <c r="AF67" s="14" t="s">
        <v>211</v>
      </c>
      <c r="AG67" s="14" t="s">
        <v>226</v>
      </c>
      <c r="AH67" s="14" t="s">
        <v>226</v>
      </c>
      <c r="AI67" s="51" t="s">
        <v>223</v>
      </c>
      <c r="AJ67" s="55">
        <v>8.9926710880430496E-5</v>
      </c>
      <c r="AK67" s="51">
        <v>1.60448789728309E-4</v>
      </c>
      <c r="AL67" s="51">
        <v>1.11262611335384E-4</v>
      </c>
      <c r="AM67" s="51">
        <v>1.13373621657269E-4</v>
      </c>
      <c r="AN67" s="51">
        <v>0.89719733938221702</v>
      </c>
    </row>
    <row r="68" spans="1:40" x14ac:dyDescent="0.35">
      <c r="A68" s="38" t="s">
        <v>124</v>
      </c>
      <c r="B68" s="14">
        <v>1</v>
      </c>
      <c r="C68" s="38">
        <v>70</v>
      </c>
      <c r="D68" s="14">
        <v>1224</v>
      </c>
      <c r="E68" s="12">
        <f t="shared" si="102"/>
        <v>45.049516268213104</v>
      </c>
      <c r="F68" s="12">
        <f t="shared" si="103"/>
        <v>0.92926773700500642</v>
      </c>
      <c r="G68" s="12">
        <f t="shared" si="104"/>
        <v>1.5462357517532772</v>
      </c>
      <c r="H68" s="12">
        <f t="shared" si="105"/>
        <v>20.34557529292303</v>
      </c>
      <c r="I68" s="12">
        <f t="shared" si="106"/>
        <v>0.96907232067493898</v>
      </c>
      <c r="J68" s="12">
        <f t="shared" si="107"/>
        <v>20.650291934982423</v>
      </c>
      <c r="K68" s="13">
        <f t="shared" si="108"/>
        <v>3.6805160349847307E-2</v>
      </c>
      <c r="L68" s="13">
        <f t="shared" si="109"/>
        <v>53.243119368059816</v>
      </c>
      <c r="M68" s="13">
        <f t="shared" si="110"/>
        <v>1.263264503066403E-3</v>
      </c>
      <c r="N68" s="13">
        <f t="shared" si="111"/>
        <v>1.6622202036701821E-2</v>
      </c>
      <c r="O68" s="13">
        <f t="shared" si="112"/>
        <v>55.523754017622316</v>
      </c>
      <c r="P68" s="13">
        <f t="shared" si="113"/>
        <v>1.6871153541652306E-2</v>
      </c>
      <c r="Q68" s="14">
        <v>635.78200000000004</v>
      </c>
      <c r="R68" s="14">
        <v>127.947</v>
      </c>
      <c r="S68" s="14">
        <v>635.62900000000002</v>
      </c>
      <c r="T68" s="14">
        <v>107.602</v>
      </c>
      <c r="U68" s="38">
        <v>675.40099999999995</v>
      </c>
      <c r="V68" s="38">
        <v>127.947</v>
      </c>
      <c r="W68" s="14">
        <v>675.822</v>
      </c>
      <c r="X68" s="14">
        <v>107.301</v>
      </c>
      <c r="Y68" s="14">
        <v>655.99800000000005</v>
      </c>
      <c r="Z68" s="14">
        <v>117.45099999999999</v>
      </c>
      <c r="AA68" s="14">
        <v>655.99800000000005</v>
      </c>
      <c r="AB68" s="14">
        <v>116.717</v>
      </c>
      <c r="AC68" s="14">
        <v>655.971</v>
      </c>
      <c r="AD68" s="14">
        <v>118.26300000000001</v>
      </c>
      <c r="AE68" s="14" t="s">
        <v>215</v>
      </c>
      <c r="AF68" s="14" t="s">
        <v>211</v>
      </c>
      <c r="AG68" s="14" t="s">
        <v>226</v>
      </c>
      <c r="AH68" s="14" t="s">
        <v>226</v>
      </c>
      <c r="AI68" s="51" t="s">
        <v>223</v>
      </c>
      <c r="AJ68" s="51">
        <v>1.35168749866504E-4</v>
      </c>
      <c r="AK68" s="51">
        <v>1.37801035392371E-4</v>
      </c>
      <c r="AL68" s="51">
        <v>1.2804583573625499E-4</v>
      </c>
      <c r="AM68" s="51">
        <v>1.2431458787218601E-4</v>
      </c>
      <c r="AN68" s="51">
        <v>0.92449947663295995</v>
      </c>
    </row>
    <row r="69" spans="1:40" x14ac:dyDescent="0.35">
      <c r="A69" s="38" t="s">
        <v>124</v>
      </c>
      <c r="B69" s="14">
        <v>1</v>
      </c>
      <c r="C69" s="38">
        <v>80</v>
      </c>
      <c r="D69" s="14">
        <v>1224</v>
      </c>
      <c r="E69" s="12">
        <f t="shared" si="102"/>
        <v>41.913551507835741</v>
      </c>
      <c r="F69" s="12">
        <f t="shared" si="103"/>
        <v>1.0009864971222613</v>
      </c>
      <c r="G69" s="12">
        <f t="shared" si="104"/>
        <v>1.3762848542362203</v>
      </c>
      <c r="H69" s="12">
        <f t="shared" si="105"/>
        <v>20.316601610505618</v>
      </c>
      <c r="I69" s="12">
        <f t="shared" si="106"/>
        <v>0.97768680261048968</v>
      </c>
      <c r="J69" s="12">
        <f t="shared" si="107"/>
        <v>19.531953768120577</v>
      </c>
      <c r="K69" s="13">
        <f t="shared" si="108"/>
        <v>3.4243097637120704E-2</v>
      </c>
      <c r="L69" s="13">
        <f t="shared" si="109"/>
        <v>57.352301634689702</v>
      </c>
      <c r="M69" s="13">
        <f t="shared" si="110"/>
        <v>1.1244157305851472E-3</v>
      </c>
      <c r="N69" s="13">
        <f t="shared" si="111"/>
        <v>1.659853072753727E-2</v>
      </c>
      <c r="O69" s="13">
        <f t="shared" si="112"/>
        <v>56.017327475221059</v>
      </c>
      <c r="P69" s="13">
        <f t="shared" si="113"/>
        <v>1.5957478568725963E-2</v>
      </c>
      <c r="Q69" s="14">
        <v>483.66800000000001</v>
      </c>
      <c r="R69" s="14">
        <v>133.70099999999999</v>
      </c>
      <c r="S69" s="14">
        <v>482.35300000000001</v>
      </c>
      <c r="T69" s="14">
        <v>113.42700000000001</v>
      </c>
      <c r="U69" s="38">
        <v>520.38099999999997</v>
      </c>
      <c r="V69" s="38">
        <v>131.29</v>
      </c>
      <c r="W69" s="14">
        <v>519.39400000000001</v>
      </c>
      <c r="X69" s="14">
        <v>111.783</v>
      </c>
      <c r="Y69" s="14">
        <v>501.55500000000001</v>
      </c>
      <c r="Z69" s="14">
        <v>122.547</v>
      </c>
      <c r="AA69" s="14">
        <v>501.55500000000001</v>
      </c>
      <c r="AB69" s="14">
        <v>121.81699999999999</v>
      </c>
      <c r="AC69" s="14">
        <v>501.58300000000003</v>
      </c>
      <c r="AD69" s="14">
        <v>123.193</v>
      </c>
      <c r="AE69" s="14" t="s">
        <v>215</v>
      </c>
      <c r="AF69" s="14" t="s">
        <v>211</v>
      </c>
      <c r="AG69" s="14" t="s">
        <v>226</v>
      </c>
      <c r="AH69" s="14" t="s">
        <v>226</v>
      </c>
      <c r="AI69" s="51" t="s">
        <v>223</v>
      </c>
      <c r="AJ69" s="51">
        <v>1.19682013661946E-4</v>
      </c>
      <c r="AK69" s="51">
        <v>1.2592263792772E-4</v>
      </c>
      <c r="AL69" s="51">
        <v>1.14334744048763E-4</v>
      </c>
      <c r="AM69" s="51">
        <v>1.14252957596437E-4</v>
      </c>
      <c r="AN69" s="51">
        <v>0.93071405678058505</v>
      </c>
    </row>
    <row r="70" spans="1:40" x14ac:dyDescent="0.35">
      <c r="A70" s="38" t="s">
        <v>124</v>
      </c>
      <c r="B70" s="14">
        <v>1</v>
      </c>
      <c r="C70" s="38">
        <v>90</v>
      </c>
      <c r="D70" s="14">
        <v>1224</v>
      </c>
      <c r="E70" s="12">
        <f t="shared" si="102"/>
        <v>39.284803601392717</v>
      </c>
      <c r="F70" s="12">
        <f t="shared" si="103"/>
        <v>1.1010538615409409</v>
      </c>
      <c r="G70" s="12">
        <f t="shared" si="104"/>
        <v>1.7565878856464918</v>
      </c>
      <c r="H70" s="12">
        <f t="shared" si="105"/>
        <v>19.660690552470438</v>
      </c>
      <c r="I70" s="12">
        <f t="shared" si="106"/>
        <v>0.99592304321677272</v>
      </c>
      <c r="J70" s="12">
        <f t="shared" si="107"/>
        <v>19.521493820914422</v>
      </c>
      <c r="K70" s="13">
        <f t="shared" si="108"/>
        <v>3.2095427778915615E-2</v>
      </c>
      <c r="L70" s="13">
        <f t="shared" si="109"/>
        <v>63.085739282877618</v>
      </c>
      <c r="M70" s="13">
        <f t="shared" si="110"/>
        <v>1.4351208216066109E-3</v>
      </c>
      <c r="N70" s="13">
        <f t="shared" si="111"/>
        <v>1.6062655680122908E-2</v>
      </c>
      <c r="O70" s="13">
        <f t="shared" si="112"/>
        <v>57.062187096146168</v>
      </c>
      <c r="P70" s="13">
        <f t="shared" si="113"/>
        <v>1.59489328602242E-2</v>
      </c>
      <c r="Q70" s="14">
        <v>376.68700000000001</v>
      </c>
      <c r="R70" s="14">
        <v>142.13900000000001</v>
      </c>
      <c r="S70" s="14">
        <v>374.53899999999999</v>
      </c>
      <c r="T70" s="14">
        <v>122.596</v>
      </c>
      <c r="U70" s="38">
        <v>410.29700000000003</v>
      </c>
      <c r="V70" s="38">
        <v>138.488</v>
      </c>
      <c r="W70" s="14">
        <v>408.47199999999998</v>
      </c>
      <c r="X70" s="14">
        <v>119.05200000000001</v>
      </c>
      <c r="Y70" s="14">
        <v>391.50299999999999</v>
      </c>
      <c r="Z70" s="14">
        <v>130.37899999999999</v>
      </c>
      <c r="AA70" s="14">
        <v>391.464</v>
      </c>
      <c r="AB70" s="14">
        <v>129.59399999999999</v>
      </c>
      <c r="AC70" s="14">
        <v>391.60399999999998</v>
      </c>
      <c r="AD70" s="14">
        <v>131.345</v>
      </c>
      <c r="AE70" s="14" t="s">
        <v>215</v>
      </c>
      <c r="AF70" s="14" t="s">
        <v>211</v>
      </c>
      <c r="AG70" s="14" t="s">
        <v>226</v>
      </c>
      <c r="AH70" s="14" t="s">
        <v>226</v>
      </c>
      <c r="AI70" s="51" t="s">
        <v>223</v>
      </c>
      <c r="AJ70" s="51">
        <v>1.1696932102770299E-4</v>
      </c>
      <c r="AK70" s="51">
        <v>1.05064280832159E-4</v>
      </c>
      <c r="AL70" s="51">
        <v>1.02899917299436E-4</v>
      </c>
      <c r="AM70" s="55">
        <v>9.9269155960314299E-5</v>
      </c>
      <c r="AN70" s="51">
        <v>0.91053368303843996</v>
      </c>
    </row>
    <row r="71" spans="1:40" x14ac:dyDescent="0.35">
      <c r="A71" s="38" t="s">
        <v>125</v>
      </c>
      <c r="B71" s="14">
        <v>1</v>
      </c>
      <c r="C71" s="38">
        <v>30</v>
      </c>
      <c r="D71" s="14">
        <v>1223</v>
      </c>
      <c r="E71" s="12">
        <f t="shared" ref="E71:E77" si="114">DIST2(Q71,R71,W71,X71)</f>
        <v>32.563096617029593</v>
      </c>
      <c r="F71" s="12">
        <f t="shared" si="103"/>
        <v>1.377454563185821</v>
      </c>
      <c r="G71" s="12">
        <f t="shared" ref="G71:G77" si="115">DIST2(AA71,AB71,AC71,AD71)</f>
        <v>2.0110216706937751</v>
      </c>
      <c r="H71" s="12">
        <f t="shared" ref="H71:H77" si="116">DIST2(Q71,R71,S71,T71)</f>
        <v>21.701864418524039</v>
      </c>
      <c r="I71" s="12">
        <f t="shared" si="106"/>
        <v>1.6742137661395844</v>
      </c>
      <c r="J71" s="12">
        <f t="shared" ref="J71:J77" si="117">DIST2(U71,V71,W71,X71)</f>
        <v>23.486822477508536</v>
      </c>
      <c r="K71" s="13">
        <f t="shared" ref="K71:K77" si="118">E71/D71</f>
        <v>2.6625590038454286E-2</v>
      </c>
      <c r="L71" s="13">
        <f t="shared" ref="L71:L77" si="119">F71*180/PI()</f>
        <v>78.922332941583932</v>
      </c>
      <c r="M71" s="13">
        <f t="shared" ref="M71:M77" si="120">G71/D71</f>
        <v>1.6443349719491211E-3</v>
      </c>
      <c r="N71" s="13">
        <f t="shared" ref="N71:N77" si="121">H71/D71</f>
        <v>1.7744778755947703E-2</v>
      </c>
      <c r="O71" s="13">
        <f t="shared" ref="O71:O77" si="122">I71*180/PI()</f>
        <v>95.925382802500806</v>
      </c>
      <c r="P71" s="13">
        <f t="shared" ref="P71:P77" si="123">J71/D71</f>
        <v>1.9204270218731428E-2</v>
      </c>
      <c r="Q71" s="14">
        <v>1015.86</v>
      </c>
      <c r="R71" s="14">
        <v>67.273899999999998</v>
      </c>
      <c r="S71" s="14">
        <v>1016.63</v>
      </c>
      <c r="T71" s="14">
        <v>45.585700000000003</v>
      </c>
      <c r="U71" s="38">
        <v>1039.31</v>
      </c>
      <c r="V71" s="38">
        <v>69.585899999999995</v>
      </c>
      <c r="W71" s="14">
        <v>1040.6300000000001</v>
      </c>
      <c r="X71" s="14">
        <v>46.136200000000002</v>
      </c>
      <c r="Y71" s="14">
        <v>1029.4000000000001</v>
      </c>
      <c r="Z71" s="14">
        <v>57.249600000000001</v>
      </c>
      <c r="AA71" s="14">
        <v>1029.48</v>
      </c>
      <c r="AB71" s="14">
        <v>56.1905</v>
      </c>
      <c r="AC71" s="14">
        <v>1029.43</v>
      </c>
      <c r="AD71" s="14">
        <v>58.200899999999997</v>
      </c>
      <c r="AE71" s="14" t="s">
        <v>213</v>
      </c>
      <c r="AF71" s="14" t="s">
        <v>211</v>
      </c>
      <c r="AG71" s="14" t="s">
        <v>226</v>
      </c>
      <c r="AH71" s="14" t="s">
        <v>226</v>
      </c>
      <c r="AI71" s="51" t="s">
        <v>223</v>
      </c>
      <c r="AJ71" s="55">
        <v>8.3126837481923007E-5</v>
      </c>
      <c r="AK71" s="55">
        <v>9.5585335645695794E-5</v>
      </c>
      <c r="AL71" s="55">
        <v>8.1610936874259798E-5</v>
      </c>
      <c r="AM71" s="55">
        <v>8.2715944867018404E-5</v>
      </c>
      <c r="AN71" s="51">
        <v>0.91950581130213205</v>
      </c>
    </row>
    <row r="72" spans="1:40" x14ac:dyDescent="0.35">
      <c r="A72" s="38" t="s">
        <v>125</v>
      </c>
      <c r="B72" s="14">
        <v>1</v>
      </c>
      <c r="C72" s="38">
        <v>40</v>
      </c>
      <c r="D72" s="14">
        <v>1223</v>
      </c>
      <c r="E72" s="12">
        <f t="shared" si="114"/>
        <v>31.907037732920298</v>
      </c>
      <c r="F72" s="12">
        <f t="shared" si="103"/>
        <v>1.265414051044651</v>
      </c>
      <c r="G72" s="12">
        <f t="shared" si="115"/>
        <v>2.3826834053226653</v>
      </c>
      <c r="H72" s="12">
        <f t="shared" si="116"/>
        <v>20.313430159379777</v>
      </c>
      <c r="I72" s="12">
        <f t="shared" si="106"/>
        <v>1.5000057570971852</v>
      </c>
      <c r="J72" s="12">
        <f t="shared" si="117"/>
        <v>20.100219256515583</v>
      </c>
      <c r="K72" s="13">
        <f t="shared" si="118"/>
        <v>2.6089155954963448E-2</v>
      </c>
      <c r="L72" s="13">
        <f t="shared" si="119"/>
        <v>72.502884461410616</v>
      </c>
      <c r="M72" s="13">
        <f t="shared" si="120"/>
        <v>1.9482284589719258E-3</v>
      </c>
      <c r="N72" s="13">
        <f t="shared" si="121"/>
        <v>1.6609509533425819E-2</v>
      </c>
      <c r="O72" s="13">
        <f t="shared" si="122"/>
        <v>85.943999126994441</v>
      </c>
      <c r="P72" s="13">
        <f t="shared" si="123"/>
        <v>1.6435175189301376E-2</v>
      </c>
      <c r="Q72" s="14">
        <v>909.08900000000006</v>
      </c>
      <c r="R72" s="14">
        <v>56.362299999999998</v>
      </c>
      <c r="S72" s="14">
        <v>911.52200000000005</v>
      </c>
      <c r="T72" s="14">
        <v>36.195099999999996</v>
      </c>
      <c r="U72" s="38">
        <v>933.61400000000003</v>
      </c>
      <c r="V72" s="38">
        <v>59.098599999999998</v>
      </c>
      <c r="W72" s="14">
        <v>935.94500000000005</v>
      </c>
      <c r="X72" s="14">
        <v>39.134</v>
      </c>
      <c r="Y72" s="14">
        <v>924.05</v>
      </c>
      <c r="Z72" s="14">
        <v>47.994999999999997</v>
      </c>
      <c r="AA72" s="14">
        <v>924.15200000000004</v>
      </c>
      <c r="AB72" s="14">
        <v>46.825200000000002</v>
      </c>
      <c r="AC72" s="14">
        <v>923.97500000000002</v>
      </c>
      <c r="AD72" s="14">
        <v>49.201300000000003</v>
      </c>
      <c r="AE72" s="14" t="s">
        <v>213</v>
      </c>
      <c r="AF72" s="14" t="s">
        <v>211</v>
      </c>
      <c r="AG72" s="14" t="s">
        <v>226</v>
      </c>
      <c r="AH72" s="14" t="s">
        <v>226</v>
      </c>
      <c r="AI72" s="51" t="s">
        <v>223</v>
      </c>
      <c r="AJ72" s="55">
        <v>7.2481019623207694E-5</v>
      </c>
      <c r="AK72" s="55">
        <v>9.4055754184079507E-5</v>
      </c>
      <c r="AL72" s="55">
        <v>7.2324627923908501E-5</v>
      </c>
      <c r="AM72" s="55">
        <v>7.4378655926307598E-5</v>
      </c>
      <c r="AN72" s="51">
        <v>0.88090624368632198</v>
      </c>
    </row>
    <row r="73" spans="1:40" x14ac:dyDescent="0.35">
      <c r="A73" s="38" t="s">
        <v>125</v>
      </c>
      <c r="B73" s="14">
        <v>1</v>
      </c>
      <c r="C73" s="38">
        <v>50</v>
      </c>
      <c r="D73" s="14">
        <v>1223</v>
      </c>
      <c r="E73" s="12">
        <f t="shared" si="114"/>
        <v>32.045745587207016</v>
      </c>
      <c r="F73" s="12">
        <f t="shared" si="103"/>
        <v>1.3269937108849148</v>
      </c>
      <c r="G73" s="12">
        <f t="shared" si="115"/>
        <v>3.1859433595090771</v>
      </c>
      <c r="H73" s="12">
        <f t="shared" si="116"/>
        <v>19.412693388862852</v>
      </c>
      <c r="I73" s="12">
        <f t="shared" si="106"/>
        <v>1.3003920618240035</v>
      </c>
      <c r="J73" s="12">
        <f t="shared" si="117"/>
        <v>19.658973340691016</v>
      </c>
      <c r="K73" s="13">
        <f t="shared" si="118"/>
        <v>2.6202572025516773E-2</v>
      </c>
      <c r="L73" s="13">
        <f t="shared" si="119"/>
        <v>76.031139074108978</v>
      </c>
      <c r="M73" s="13">
        <f t="shared" si="120"/>
        <v>2.6050231884783949E-3</v>
      </c>
      <c r="N73" s="13">
        <f t="shared" si="121"/>
        <v>1.5873011765219013E-2</v>
      </c>
      <c r="O73" s="13">
        <f t="shared" si="122"/>
        <v>74.506976854830626</v>
      </c>
      <c r="P73" s="13">
        <f t="shared" si="123"/>
        <v>1.6074385397130839E-2</v>
      </c>
      <c r="Q73" s="14">
        <v>774.26300000000003</v>
      </c>
      <c r="R73" s="14">
        <v>38.233899999999998</v>
      </c>
      <c r="S73" s="14">
        <v>776.97799999999995</v>
      </c>
      <c r="T73" s="14">
        <v>19.012</v>
      </c>
      <c r="U73" s="38">
        <v>799.24099999999999</v>
      </c>
      <c r="V73" s="38">
        <v>41.926200000000001</v>
      </c>
      <c r="W73" s="14">
        <v>802.173</v>
      </c>
      <c r="X73" s="14">
        <v>22.487100000000002</v>
      </c>
      <c r="Y73" s="14">
        <v>787.90899999999999</v>
      </c>
      <c r="Z73" s="14">
        <v>30.401800000000001</v>
      </c>
      <c r="AA73" s="14">
        <v>787.96199999999999</v>
      </c>
      <c r="AB73" s="14">
        <v>28.934699999999999</v>
      </c>
      <c r="AC73" s="14">
        <v>787.87300000000005</v>
      </c>
      <c r="AD73" s="14">
        <v>32.119399999999999</v>
      </c>
      <c r="AE73" s="14" t="s">
        <v>213</v>
      </c>
      <c r="AF73" s="14" t="s">
        <v>211</v>
      </c>
      <c r="AG73" s="14" t="s">
        <v>226</v>
      </c>
      <c r="AH73" s="14" t="s">
        <v>226</v>
      </c>
      <c r="AI73" s="51" t="s">
        <v>223</v>
      </c>
      <c r="AJ73" s="55">
        <v>8.4932973152222101E-5</v>
      </c>
      <c r="AK73" s="55">
        <v>8.0575390294632205E-5</v>
      </c>
      <c r="AL73" s="55">
        <v>6.7853262188538095E-5</v>
      </c>
      <c r="AM73" s="55">
        <v>7.0812268833458599E-5</v>
      </c>
      <c r="AN73" s="51">
        <v>0.83781585494634503</v>
      </c>
    </row>
    <row r="74" spans="1:40" x14ac:dyDescent="0.35">
      <c r="A74" s="38" t="s">
        <v>125</v>
      </c>
      <c r="B74" s="14">
        <v>1</v>
      </c>
      <c r="C74" s="38">
        <v>60</v>
      </c>
      <c r="D74" s="14">
        <v>1223</v>
      </c>
      <c r="E74" s="12">
        <f t="shared" si="114"/>
        <v>33.404484248916297</v>
      </c>
      <c r="F74" s="12">
        <f t="shared" si="103"/>
        <v>1.2986993600945129</v>
      </c>
      <c r="G74" s="12">
        <f t="shared" si="115"/>
        <v>2.7250776796267662</v>
      </c>
      <c r="H74" s="12">
        <f t="shared" si="116"/>
        <v>20.63049239996224</v>
      </c>
      <c r="I74" s="12">
        <f t="shared" si="106"/>
        <v>1.3761437188598047</v>
      </c>
      <c r="J74" s="12">
        <f t="shared" si="117"/>
        <v>20.966172578134056</v>
      </c>
      <c r="K74" s="13">
        <f t="shared" si="118"/>
        <v>2.7313560301648648E-2</v>
      </c>
      <c r="L74" s="13">
        <f t="shared" si="119"/>
        <v>74.409992189756323</v>
      </c>
      <c r="M74" s="13">
        <f t="shared" si="120"/>
        <v>2.2281910708313707E-3</v>
      </c>
      <c r="N74" s="13">
        <f t="shared" si="121"/>
        <v>1.6868759116894717E-2</v>
      </c>
      <c r="O74" s="13">
        <f t="shared" si="122"/>
        <v>78.847227094104525</v>
      </c>
      <c r="P74" s="13">
        <f t="shared" si="123"/>
        <v>1.7143231870919099E-2</v>
      </c>
      <c r="Q74" s="14">
        <v>666.14700000000005</v>
      </c>
      <c r="R74" s="14">
        <v>22.415700000000001</v>
      </c>
      <c r="S74" s="14">
        <v>669.005</v>
      </c>
      <c r="T74" s="14">
        <v>1.9841299999999999</v>
      </c>
      <c r="U74" s="38">
        <v>691.97799999999995</v>
      </c>
      <c r="V74" s="38">
        <v>26.650200000000002</v>
      </c>
      <c r="W74" s="14">
        <v>695.202</v>
      </c>
      <c r="X74" s="14">
        <v>5.9333900000000002</v>
      </c>
      <c r="Y74" s="14">
        <v>680.96400000000006</v>
      </c>
      <c r="Z74" s="14">
        <v>14.5082</v>
      </c>
      <c r="AA74" s="14">
        <v>681.10500000000002</v>
      </c>
      <c r="AB74" s="14">
        <v>13.321899999999999</v>
      </c>
      <c r="AC74" s="14">
        <v>680.86400000000003</v>
      </c>
      <c r="AD74" s="14">
        <v>16.036300000000001</v>
      </c>
      <c r="AE74" s="14" t="s">
        <v>213</v>
      </c>
      <c r="AF74" s="14" t="s">
        <v>211</v>
      </c>
      <c r="AG74" s="14" t="s">
        <v>226</v>
      </c>
      <c r="AH74" s="14" t="s">
        <v>226</v>
      </c>
      <c r="AI74" s="51" t="s">
        <v>223</v>
      </c>
      <c r="AJ74" s="55">
        <v>8.9361359357209206E-5</v>
      </c>
      <c r="AK74" s="55">
        <v>9.3644950953682295E-5</v>
      </c>
      <c r="AL74" s="55">
        <v>7.59179697324847E-5</v>
      </c>
      <c r="AM74" s="55">
        <v>8.3313726848245905E-5</v>
      </c>
      <c r="AN74" s="51">
        <v>0.87008855765808002</v>
      </c>
    </row>
    <row r="75" spans="1:40" x14ac:dyDescent="0.35">
      <c r="A75" s="38" t="s">
        <v>125</v>
      </c>
      <c r="B75" s="14">
        <v>1</v>
      </c>
      <c r="C75" s="38">
        <v>70</v>
      </c>
      <c r="D75" s="14">
        <v>1223</v>
      </c>
      <c r="E75" s="12">
        <f t="shared" si="114"/>
        <v>33.916658857151667</v>
      </c>
      <c r="F75" s="12">
        <f t="shared" si="103"/>
        <v>1.2945893734862526</v>
      </c>
      <c r="G75" s="12">
        <f t="shared" si="115"/>
        <v>3.1301722850986997</v>
      </c>
      <c r="H75" s="12">
        <f t="shared" si="116"/>
        <v>20.028156089425703</v>
      </c>
      <c r="I75" s="12">
        <f t="shared" si="106"/>
        <v>1.3533245005548424</v>
      </c>
      <c r="J75" s="12">
        <f t="shared" si="117"/>
        <v>21.731234196004614</v>
      </c>
      <c r="K75" s="13">
        <f t="shared" si="118"/>
        <v>2.7732345754007903E-2</v>
      </c>
      <c r="L75" s="13">
        <f t="shared" si="119"/>
        <v>74.174507303247708</v>
      </c>
      <c r="M75" s="13">
        <f t="shared" si="120"/>
        <v>2.5594213287806213E-3</v>
      </c>
      <c r="N75" s="13">
        <f t="shared" si="121"/>
        <v>1.6376251912858301E-2</v>
      </c>
      <c r="O75" s="13">
        <f t="shared" si="122"/>
        <v>77.539782193442505</v>
      </c>
      <c r="P75" s="13">
        <f t="shared" si="123"/>
        <v>1.7768793291908926E-2</v>
      </c>
      <c r="Q75" s="14">
        <v>550.76599999999996</v>
      </c>
      <c r="R75" s="14">
        <v>1.28098</v>
      </c>
      <c r="S75" s="14">
        <v>554.32899999999995</v>
      </c>
      <c r="T75" s="14">
        <v>-18.427700000000002</v>
      </c>
      <c r="U75" s="38">
        <v>576.93299999999999</v>
      </c>
      <c r="V75" s="38">
        <v>6.9597600000000002</v>
      </c>
      <c r="W75" s="14">
        <v>580.83000000000004</v>
      </c>
      <c r="X75" s="14">
        <v>-14.4192</v>
      </c>
      <c r="Y75" s="14">
        <v>565.577</v>
      </c>
      <c r="Z75" s="14">
        <v>-6.1821900000000003</v>
      </c>
      <c r="AA75" s="14">
        <v>565.68200000000002</v>
      </c>
      <c r="AB75" s="14">
        <v>-7.7568700000000002</v>
      </c>
      <c r="AC75" s="14">
        <v>565.47199999999998</v>
      </c>
      <c r="AD75" s="14">
        <v>-4.63375</v>
      </c>
      <c r="AE75" s="14" t="s">
        <v>213</v>
      </c>
      <c r="AF75" s="14" t="s">
        <v>211</v>
      </c>
      <c r="AG75" s="14" t="s">
        <v>226</v>
      </c>
      <c r="AH75" s="14" t="s">
        <v>226</v>
      </c>
      <c r="AI75" s="51" t="s">
        <v>223</v>
      </c>
      <c r="AJ75" s="55">
        <v>9.8277712376373204E-5</v>
      </c>
      <c r="AK75" s="55">
        <v>8.8690526415547498E-5</v>
      </c>
      <c r="AL75" s="55">
        <v>7.9654428907242005E-5</v>
      </c>
      <c r="AM75" s="55">
        <v>7.9318902464952095E-5</v>
      </c>
      <c r="AN75" s="51">
        <v>0.85026918154327602</v>
      </c>
    </row>
    <row r="76" spans="1:40" x14ac:dyDescent="0.35">
      <c r="A76" s="38" t="s">
        <v>125</v>
      </c>
      <c r="B76" s="14">
        <v>1</v>
      </c>
      <c r="C76" s="38">
        <v>80</v>
      </c>
      <c r="D76" s="14">
        <v>1223</v>
      </c>
      <c r="E76" s="12">
        <f t="shared" si="114"/>
        <v>32.62162293770804</v>
      </c>
      <c r="F76" s="12">
        <f t="shared" si="103"/>
        <v>1.246352086477732</v>
      </c>
      <c r="G76" s="12">
        <f t="shared" si="115"/>
        <v>2.9031874293610405</v>
      </c>
      <c r="H76" s="12">
        <f t="shared" si="116"/>
        <v>18.369173258750646</v>
      </c>
      <c r="I76" s="12">
        <f t="shared" si="106"/>
        <v>1.2481730532673565</v>
      </c>
      <c r="J76" s="12">
        <f t="shared" si="117"/>
        <v>19.609185378541351</v>
      </c>
      <c r="K76" s="13">
        <f t="shared" si="118"/>
        <v>2.6673444756915812E-2</v>
      </c>
      <c r="L76" s="13">
        <f t="shared" si="119"/>
        <v>71.410714342498238</v>
      </c>
      <c r="M76" s="13">
        <f t="shared" si="120"/>
        <v>2.3738245538520364E-3</v>
      </c>
      <c r="N76" s="13">
        <f t="shared" si="121"/>
        <v>1.5019765542723341E-2</v>
      </c>
      <c r="O76" s="13">
        <f t="shared" si="122"/>
        <v>71.515048054177214</v>
      </c>
      <c r="P76" s="13">
        <f t="shared" si="123"/>
        <v>1.6033675697907892E-2</v>
      </c>
      <c r="Q76" s="14">
        <v>407.94900000000001</v>
      </c>
      <c r="R76" s="14">
        <v>-28.290299999999998</v>
      </c>
      <c r="S76" s="14">
        <v>411.50799999999998</v>
      </c>
      <c r="T76" s="14">
        <v>-46.311399999999999</v>
      </c>
      <c r="U76" s="38">
        <v>433.54599999999999</v>
      </c>
      <c r="V76" s="38">
        <v>-22.551100000000002</v>
      </c>
      <c r="W76" s="14">
        <v>437.678</v>
      </c>
      <c r="X76" s="14">
        <v>-41.72</v>
      </c>
      <c r="Y76" s="14">
        <v>422.28</v>
      </c>
      <c r="Z76" s="14">
        <v>-34.899700000000003</v>
      </c>
      <c r="AA76" s="14">
        <v>422.49099999999999</v>
      </c>
      <c r="AB76" s="14">
        <v>-36.300899999999999</v>
      </c>
      <c r="AC76" s="14">
        <v>422.07</v>
      </c>
      <c r="AD76" s="14">
        <v>-33.428400000000003</v>
      </c>
      <c r="AE76" s="14" t="s">
        <v>213</v>
      </c>
      <c r="AF76" s="14" t="s">
        <v>211</v>
      </c>
      <c r="AG76" s="14" t="s">
        <v>226</v>
      </c>
      <c r="AH76" s="14" t="s">
        <v>226</v>
      </c>
      <c r="AI76" s="51" t="s">
        <v>223</v>
      </c>
      <c r="AJ76" s="55">
        <v>8.9247865957001697E-5</v>
      </c>
      <c r="AK76" s="55">
        <v>7.84692713385912E-5</v>
      </c>
      <c r="AL76" s="55">
        <v>7.1056718463036994E-5</v>
      </c>
      <c r="AM76" s="55">
        <v>7.0717168283826904E-5</v>
      </c>
      <c r="AN76" s="51">
        <v>0.84531544619077703</v>
      </c>
    </row>
    <row r="77" spans="1:40" x14ac:dyDescent="0.35">
      <c r="A77" s="38" t="s">
        <v>125</v>
      </c>
      <c r="B77" s="14">
        <v>1</v>
      </c>
      <c r="C77" s="38">
        <v>90</v>
      </c>
      <c r="D77" s="14">
        <v>1223</v>
      </c>
      <c r="E77" s="12">
        <f t="shared" si="114"/>
        <v>30.535251486765258</v>
      </c>
      <c r="F77" s="12">
        <f t="shared" si="103"/>
        <v>1.2917795576297531</v>
      </c>
      <c r="G77" s="12">
        <f t="shared" si="115"/>
        <v>2.6922028155397237</v>
      </c>
      <c r="H77" s="12">
        <f t="shared" si="116"/>
        <v>16.974838755051547</v>
      </c>
      <c r="I77" s="12">
        <f t="shared" si="106"/>
        <v>1.1522465493912553</v>
      </c>
      <c r="J77" s="12">
        <f t="shared" si="117"/>
        <v>17.921276617752426</v>
      </c>
      <c r="K77" s="13">
        <f t="shared" si="118"/>
        <v>2.4967499171516971E-2</v>
      </c>
      <c r="L77" s="13">
        <f t="shared" si="119"/>
        <v>74.013516713461357</v>
      </c>
      <c r="M77" s="13">
        <f t="shared" si="120"/>
        <v>2.2013105605394306E-3</v>
      </c>
      <c r="N77" s="13">
        <f t="shared" si="121"/>
        <v>1.3879671917458338E-2</v>
      </c>
      <c r="O77" s="13">
        <f t="shared" si="122"/>
        <v>66.018864238631281</v>
      </c>
      <c r="P77" s="13">
        <f t="shared" si="123"/>
        <v>1.4653537708710078E-2</v>
      </c>
      <c r="Q77" s="14">
        <v>296.91800000000001</v>
      </c>
      <c r="R77" s="14">
        <v>-50.06</v>
      </c>
      <c r="S77" s="14">
        <v>300.81099999999998</v>
      </c>
      <c r="T77" s="14">
        <v>-66.582400000000007</v>
      </c>
      <c r="U77" s="38">
        <v>321.892</v>
      </c>
      <c r="V77" s="38">
        <v>-44.552500000000002</v>
      </c>
      <c r="W77" s="14">
        <v>324.93</v>
      </c>
      <c r="X77" s="14">
        <v>-62.214399999999998</v>
      </c>
      <c r="Y77" s="14">
        <v>309.94499999999999</v>
      </c>
      <c r="Z77" s="14">
        <v>-56.342500000000001</v>
      </c>
      <c r="AA77" s="14">
        <v>310.113</v>
      </c>
      <c r="AB77" s="14">
        <v>-57.642600000000002</v>
      </c>
      <c r="AC77" s="14">
        <v>309.90300000000002</v>
      </c>
      <c r="AD77" s="14">
        <v>-54.958599999999997</v>
      </c>
      <c r="AE77" s="14" t="s">
        <v>213</v>
      </c>
      <c r="AF77" s="14" t="s">
        <v>211</v>
      </c>
      <c r="AG77" s="14" t="s">
        <v>226</v>
      </c>
      <c r="AH77" s="14" t="s">
        <v>226</v>
      </c>
      <c r="AI77" s="51" t="s">
        <v>223</v>
      </c>
      <c r="AJ77" s="55">
        <v>8.2509846135229094E-5</v>
      </c>
      <c r="AK77" s="55">
        <v>6.3774765448821301E-5</v>
      </c>
      <c r="AL77" s="55">
        <v>6.4802020920902103E-5</v>
      </c>
      <c r="AM77" s="55">
        <v>5.84958572709362E-5</v>
      </c>
      <c r="AN77" s="51">
        <v>0.84286294270259099</v>
      </c>
    </row>
    <row r="78" spans="1:40" x14ac:dyDescent="0.35">
      <c r="A78" s="38" t="s">
        <v>126</v>
      </c>
      <c r="B78" s="14">
        <v>1</v>
      </c>
      <c r="C78" s="38">
        <v>20</v>
      </c>
      <c r="D78" s="14">
        <v>2345</v>
      </c>
      <c r="E78" s="12">
        <f t="shared" ref="E78:E85" si="124">DIST2(Q78,R78,W78,X78)</f>
        <v>60.403766561307371</v>
      </c>
      <c r="F78" s="12">
        <f t="shared" si="103"/>
        <v>1.3247302996067258</v>
      </c>
      <c r="G78" s="12">
        <f t="shared" ref="G78:G85" si="125">DIST2(AA78,AB78,AC78,AD78)</f>
        <v>17.196459894178805</v>
      </c>
      <c r="H78" s="12">
        <f t="shared" ref="H78:H85" si="126">DIST2(Q78,R78,S78,T78)</f>
        <v>40.060995879045478</v>
      </c>
      <c r="I78" s="12">
        <f t="shared" si="106"/>
        <v>1.5211978251753957</v>
      </c>
      <c r="J78" s="12">
        <f t="shared" ref="J78:J85" si="127">DIST2(U78,V78,W78,X78)</f>
        <v>38.746666218316122</v>
      </c>
      <c r="K78" s="13">
        <f t="shared" ref="K78:K85" si="128">E78/D78</f>
        <v>2.5758535847039389E-2</v>
      </c>
      <c r="L78" s="13">
        <f t="shared" ref="L78:L85" si="129">F78*180/PI()</f>
        <v>75.901455160566456</v>
      </c>
      <c r="M78" s="13">
        <f t="shared" ref="M78:M85" si="130">G78/D78</f>
        <v>7.3332451574323262E-3</v>
      </c>
      <c r="N78" s="13">
        <f t="shared" ref="N78:N85" si="131">H78/D78</f>
        <v>1.7083580332215555E-2</v>
      </c>
      <c r="O78" s="13">
        <f t="shared" ref="O78:O85" si="132">I78*180/PI()</f>
        <v>87.158215187029825</v>
      </c>
      <c r="P78" s="13">
        <f t="shared" ref="P78:P85" si="133">J78/D78</f>
        <v>1.6523098600561247E-2</v>
      </c>
      <c r="Q78" s="38">
        <v>2266.6799999999998</v>
      </c>
      <c r="R78" s="38">
        <v>8.4697300000000002</v>
      </c>
      <c r="S78" s="38">
        <v>2264.65</v>
      </c>
      <c r="T78" s="38">
        <v>-31.5398</v>
      </c>
      <c r="U78" s="38">
        <v>2311.75</v>
      </c>
      <c r="V78" s="38">
        <v>6.4439399999999996</v>
      </c>
      <c r="W78" s="38">
        <v>2311.25</v>
      </c>
      <c r="X78" s="38">
        <v>-32.299500000000002</v>
      </c>
      <c r="Y78" s="38">
        <v>2291.19</v>
      </c>
      <c r="Z78" s="38">
        <v>-14.2902</v>
      </c>
      <c r="AA78" s="38">
        <v>2291.1</v>
      </c>
      <c r="AB78" s="38">
        <v>-22.400300000000001</v>
      </c>
      <c r="AC78" s="38">
        <v>2291.2399999999998</v>
      </c>
      <c r="AD78" s="38">
        <v>-5.2044100000000002</v>
      </c>
      <c r="AE78" s="14" t="s">
        <v>217</v>
      </c>
      <c r="AF78" s="14" t="s">
        <v>214</v>
      </c>
      <c r="AG78" s="14" t="s">
        <v>223</v>
      </c>
      <c r="AH78" s="14" t="s">
        <v>223</v>
      </c>
      <c r="AI78" s="14" t="s">
        <v>223</v>
      </c>
      <c r="AJ78" s="55">
        <v>7.1485222962252201E-5</v>
      </c>
      <c r="AK78" s="55">
        <v>9.3365300048645297E-5</v>
      </c>
      <c r="AL78" s="55">
        <v>5.1512776119403199E-5</v>
      </c>
      <c r="AM78" s="55">
        <v>4.0552167429680601E-5</v>
      </c>
      <c r="AN78" s="51">
        <v>0.55847528941717595</v>
      </c>
    </row>
    <row r="79" spans="1:40" x14ac:dyDescent="0.35">
      <c r="A79" s="38" t="s">
        <v>126</v>
      </c>
      <c r="B79" s="14">
        <v>1</v>
      </c>
      <c r="C79" s="38">
        <v>30</v>
      </c>
      <c r="D79" s="14">
        <v>2345</v>
      </c>
      <c r="E79" s="12">
        <f t="shared" si="124"/>
        <v>61.360278383071837</v>
      </c>
      <c r="F79" s="12">
        <f t="shared" si="103"/>
        <v>1.2294202917737107</v>
      </c>
      <c r="G79" s="12">
        <f t="shared" si="125"/>
        <v>16.978822603042886</v>
      </c>
      <c r="H79" s="12">
        <f t="shared" si="126"/>
        <v>36.500423094809463</v>
      </c>
      <c r="I79" s="12">
        <f t="shared" si="106"/>
        <v>1.3215475263301588</v>
      </c>
      <c r="J79" s="12">
        <f t="shared" si="127"/>
        <v>35.899369470228855</v>
      </c>
      <c r="K79" s="13">
        <f t="shared" si="128"/>
        <v>2.6166430014103129E-2</v>
      </c>
      <c r="L79" s="13">
        <f t="shared" si="129"/>
        <v>70.440593966375857</v>
      </c>
      <c r="M79" s="13">
        <f t="shared" si="130"/>
        <v>7.2404360780566682E-3</v>
      </c>
      <c r="N79" s="13">
        <f t="shared" si="131"/>
        <v>1.5565212407168214E-2</v>
      </c>
      <c r="O79" s="13">
        <f t="shared" si="132"/>
        <v>75.719095684672126</v>
      </c>
      <c r="P79" s="13">
        <f t="shared" si="133"/>
        <v>1.5308899560865183E-2</v>
      </c>
      <c r="Q79" s="38">
        <v>2053.3200000000002</v>
      </c>
      <c r="R79" s="38">
        <v>7.7309099999999997</v>
      </c>
      <c r="S79" s="38">
        <v>2054.08</v>
      </c>
      <c r="T79" s="38">
        <v>-28.761600000000001</v>
      </c>
      <c r="U79" s="38">
        <v>2101.33</v>
      </c>
      <c r="V79" s="38">
        <v>8.7584</v>
      </c>
      <c r="W79" s="38">
        <v>2103.87</v>
      </c>
      <c r="X79" s="38">
        <v>-27.050999999999998</v>
      </c>
      <c r="Y79" s="38">
        <v>2079.5500000000002</v>
      </c>
      <c r="Z79" s="38">
        <v>-10.5154</v>
      </c>
      <c r="AA79" s="38">
        <v>2080.0100000000002</v>
      </c>
      <c r="AB79" s="38">
        <v>-18.471699999999998</v>
      </c>
      <c r="AC79" s="38">
        <v>2079.86</v>
      </c>
      <c r="AD79" s="38">
        <v>-1.4935400000000001</v>
      </c>
      <c r="AE79" s="14" t="s">
        <v>217</v>
      </c>
      <c r="AF79" s="14" t="s">
        <v>214</v>
      </c>
      <c r="AG79" s="14" t="s">
        <v>223</v>
      </c>
      <c r="AH79" s="14" t="s">
        <v>223</v>
      </c>
      <c r="AI79" s="14" t="s">
        <v>223</v>
      </c>
      <c r="AJ79" s="55">
        <v>7.5366468055699894E-5</v>
      </c>
      <c r="AK79" s="55">
        <v>8.5772599842699794E-5</v>
      </c>
      <c r="AL79" s="55">
        <v>4.2747162369692597E-5</v>
      </c>
      <c r="AM79" s="55">
        <v>4.2551021590190898E-5</v>
      </c>
      <c r="AN79" s="51">
        <v>0.52934514933191201</v>
      </c>
    </row>
    <row r="80" spans="1:40" x14ac:dyDescent="0.35">
      <c r="A80" s="38" t="s">
        <v>126</v>
      </c>
      <c r="B80" s="14">
        <v>1</v>
      </c>
      <c r="C80" s="38">
        <v>40</v>
      </c>
      <c r="D80" s="14">
        <v>2345</v>
      </c>
      <c r="E80" s="12">
        <f t="shared" si="124"/>
        <v>62.48375490113326</v>
      </c>
      <c r="F80" s="12">
        <f t="shared" si="103"/>
        <v>1.3011561710550075</v>
      </c>
      <c r="G80" s="12">
        <f t="shared" si="125"/>
        <v>16.912949457217685</v>
      </c>
      <c r="H80" s="12">
        <f t="shared" si="126"/>
        <v>39.590722799323835</v>
      </c>
      <c r="I80" s="12">
        <f t="shared" si="106"/>
        <v>1.4506915970066681</v>
      </c>
      <c r="J80" s="12">
        <f t="shared" si="127"/>
        <v>39.467226772106756</v>
      </c>
      <c r="K80" s="13">
        <f t="shared" si="128"/>
        <v>2.6645524478095206E-2</v>
      </c>
      <c r="L80" s="13">
        <f t="shared" si="129"/>
        <v>74.550757088854141</v>
      </c>
      <c r="M80" s="13">
        <f t="shared" si="130"/>
        <v>7.2123451843145777E-3</v>
      </c>
      <c r="N80" s="13">
        <f t="shared" si="131"/>
        <v>1.6883037441076262E-2</v>
      </c>
      <c r="O80" s="13">
        <f t="shared" si="132"/>
        <v>83.118505883575338</v>
      </c>
      <c r="P80" s="13">
        <f t="shared" si="133"/>
        <v>1.6830373890024203E-2</v>
      </c>
      <c r="Q80" s="38">
        <v>1789.39</v>
      </c>
      <c r="R80" s="38">
        <v>7.3087299999999997</v>
      </c>
      <c r="S80" s="38">
        <v>1788.57</v>
      </c>
      <c r="T80" s="38">
        <v>-32.273499999999999</v>
      </c>
      <c r="U80" s="38">
        <v>1838.17</v>
      </c>
      <c r="V80" s="38">
        <v>5.3378300000000003</v>
      </c>
      <c r="W80" s="38">
        <v>1836.2</v>
      </c>
      <c r="X80" s="38">
        <v>-34.080199999999998</v>
      </c>
      <c r="Y80" s="38">
        <v>1814.93</v>
      </c>
      <c r="Z80" s="38">
        <v>-14.1265</v>
      </c>
      <c r="AA80" s="38">
        <v>1814.8</v>
      </c>
      <c r="AB80" s="38">
        <v>-22.410799999999998</v>
      </c>
      <c r="AC80" s="38">
        <v>1815.18</v>
      </c>
      <c r="AD80" s="38">
        <v>-5.5021199999999997</v>
      </c>
      <c r="AE80" s="14" t="s">
        <v>217</v>
      </c>
      <c r="AF80" s="14" t="s">
        <v>214</v>
      </c>
      <c r="AG80" s="14" t="s">
        <v>223</v>
      </c>
      <c r="AH80" s="14" t="s">
        <v>223</v>
      </c>
      <c r="AI80" s="14" t="s">
        <v>223</v>
      </c>
      <c r="AJ80" s="55">
        <v>7.9807810211810203E-5</v>
      </c>
      <c r="AK80" s="55">
        <v>9.3517218306881896E-5</v>
      </c>
      <c r="AL80" s="55">
        <v>5.2198685403321498E-5</v>
      </c>
      <c r="AM80" s="55">
        <v>4.7021984988247998E-5</v>
      </c>
      <c r="AN80" s="51">
        <v>0.57245437222512296</v>
      </c>
    </row>
    <row r="81" spans="1:40" x14ac:dyDescent="0.35">
      <c r="A81" s="38" t="s">
        <v>126</v>
      </c>
      <c r="B81" s="14">
        <v>1</v>
      </c>
      <c r="C81" s="38">
        <v>50</v>
      </c>
      <c r="D81" s="14">
        <v>2345</v>
      </c>
      <c r="E81" s="12">
        <f t="shared" si="124"/>
        <v>61.261599306906703</v>
      </c>
      <c r="F81" s="12">
        <f t="shared" si="103"/>
        <v>1.413321981550415</v>
      </c>
      <c r="G81" s="12">
        <f t="shared" si="125"/>
        <v>18.391516843069255</v>
      </c>
      <c r="H81" s="12">
        <f t="shared" si="126"/>
        <v>40.172841557574692</v>
      </c>
      <c r="I81" s="12">
        <f t="shared" si="106"/>
        <v>1.4354479909541757</v>
      </c>
      <c r="J81" s="12">
        <f t="shared" si="127"/>
        <v>39.445239692642254</v>
      </c>
      <c r="K81" s="13">
        <f t="shared" si="128"/>
        <v>2.6124349384608402E-2</v>
      </c>
      <c r="L81" s="13">
        <f t="shared" si="129"/>
        <v>80.977384635905182</v>
      </c>
      <c r="M81" s="13">
        <f t="shared" si="130"/>
        <v>7.8428643254026664E-3</v>
      </c>
      <c r="N81" s="13">
        <f t="shared" si="131"/>
        <v>1.7131275717515861E-2</v>
      </c>
      <c r="O81" s="13">
        <f t="shared" si="132"/>
        <v>82.245111592207437</v>
      </c>
      <c r="P81" s="13">
        <f t="shared" si="133"/>
        <v>1.6820997736734438E-2</v>
      </c>
      <c r="Q81" s="38">
        <v>1584.65</v>
      </c>
      <c r="R81" s="38">
        <v>24.715900000000001</v>
      </c>
      <c r="S81" s="38">
        <v>1582.42</v>
      </c>
      <c r="T81" s="38">
        <v>-15.395</v>
      </c>
      <c r="U81" s="38">
        <v>1631.8</v>
      </c>
      <c r="V81" s="38">
        <v>19.6022</v>
      </c>
      <c r="W81" s="38">
        <v>1627</v>
      </c>
      <c r="X81" s="38">
        <v>-19.549900000000001</v>
      </c>
      <c r="Y81" s="38">
        <v>1607</v>
      </c>
      <c r="Z81" s="38">
        <v>2.95302</v>
      </c>
      <c r="AA81" s="38">
        <v>1606.49</v>
      </c>
      <c r="AB81" s="38">
        <v>-6.4244700000000003</v>
      </c>
      <c r="AC81" s="38">
        <v>1607.7</v>
      </c>
      <c r="AD81" s="38">
        <v>11.927199999999999</v>
      </c>
      <c r="AE81" s="14" t="s">
        <v>217</v>
      </c>
      <c r="AF81" s="14" t="s">
        <v>214</v>
      </c>
      <c r="AG81" s="14" t="s">
        <v>223</v>
      </c>
      <c r="AH81" s="14" t="s">
        <v>223</v>
      </c>
      <c r="AI81" s="14" t="s">
        <v>223</v>
      </c>
      <c r="AJ81" s="55">
        <v>8.1019454903369102E-5</v>
      </c>
      <c r="AK81" s="55">
        <v>8.5925217415814303E-5</v>
      </c>
      <c r="AL81" s="55">
        <v>4.4109312105327599E-5</v>
      </c>
      <c r="AM81" s="55">
        <v>4.5454846122721701E-5</v>
      </c>
      <c r="AN81" s="51">
        <v>0.53649006574352098</v>
      </c>
    </row>
    <row r="82" spans="1:40" x14ac:dyDescent="0.35">
      <c r="A82" s="38" t="s">
        <v>126</v>
      </c>
      <c r="B82" s="14">
        <v>1</v>
      </c>
      <c r="C82" s="38">
        <v>60</v>
      </c>
      <c r="D82" s="14">
        <v>2345</v>
      </c>
      <c r="E82" s="12">
        <f t="shared" si="124"/>
        <v>57.408348920905325</v>
      </c>
      <c r="F82" s="12">
        <f t="shared" si="103"/>
        <v>1.5021175325015723</v>
      </c>
      <c r="G82" s="12">
        <f t="shared" si="125"/>
        <v>18.265402175698188</v>
      </c>
      <c r="H82" s="12">
        <f t="shared" si="126"/>
        <v>40.606598521526024</v>
      </c>
      <c r="I82" s="12">
        <f t="shared" si="106"/>
        <v>1.5461666459791126</v>
      </c>
      <c r="J82" s="12">
        <f t="shared" si="127"/>
        <v>38.325364839260146</v>
      </c>
      <c r="K82" s="13">
        <f t="shared" si="128"/>
        <v>2.4481172247720822E-2</v>
      </c>
      <c r="L82" s="13">
        <f t="shared" si="129"/>
        <v>86.064994944945354</v>
      </c>
      <c r="M82" s="13">
        <f t="shared" si="130"/>
        <v>7.7890840834533856E-3</v>
      </c>
      <c r="N82" s="13">
        <f t="shared" si="131"/>
        <v>1.7316246704275489E-2</v>
      </c>
      <c r="O82" s="13">
        <f t="shared" si="132"/>
        <v>88.588823238501249</v>
      </c>
      <c r="P82" s="13">
        <f t="shared" si="133"/>
        <v>1.6343439163863601E-2</v>
      </c>
      <c r="Q82" s="38">
        <v>1345.29</v>
      </c>
      <c r="R82" s="38">
        <v>49.026000000000003</v>
      </c>
      <c r="S82" s="38">
        <v>1343.17</v>
      </c>
      <c r="T82" s="38">
        <v>8.4747800000000009</v>
      </c>
      <c r="U82" s="38">
        <v>1388.33</v>
      </c>
      <c r="V82" s="38">
        <v>43.068300000000001</v>
      </c>
      <c r="W82" s="38">
        <v>1382.38</v>
      </c>
      <c r="X82" s="38">
        <v>5.2076200000000004</v>
      </c>
      <c r="Y82" s="38">
        <v>1365.87</v>
      </c>
      <c r="Z82" s="38">
        <v>26.603300000000001</v>
      </c>
      <c r="AA82" s="38">
        <v>1365.98</v>
      </c>
      <c r="AB82" s="38">
        <v>18.199200000000001</v>
      </c>
      <c r="AC82" s="38">
        <v>1366.39</v>
      </c>
      <c r="AD82" s="38">
        <v>36.46</v>
      </c>
      <c r="AE82" s="14" t="s">
        <v>217</v>
      </c>
      <c r="AF82" s="14" t="s">
        <v>214</v>
      </c>
      <c r="AG82" s="14" t="s">
        <v>223</v>
      </c>
      <c r="AH82" s="14" t="s">
        <v>223</v>
      </c>
      <c r="AI82" s="14" t="s">
        <v>223</v>
      </c>
      <c r="AJ82" s="55">
        <v>6.8410683966703604E-5</v>
      </c>
      <c r="AK82" s="55">
        <v>8.0203329826650601E-5</v>
      </c>
      <c r="AL82" s="55">
        <v>3.7746070439759698E-5</v>
      </c>
      <c r="AM82" s="55">
        <v>4.1445386027523099E-5</v>
      </c>
      <c r="AN82" s="51">
        <v>0.532866682259167</v>
      </c>
    </row>
    <row r="83" spans="1:40" x14ac:dyDescent="0.35">
      <c r="A83" s="38" t="s">
        <v>126</v>
      </c>
      <c r="B83" s="14">
        <v>1</v>
      </c>
      <c r="C83" s="38">
        <v>70</v>
      </c>
      <c r="D83" s="14">
        <v>2345</v>
      </c>
      <c r="E83" s="12">
        <f t="shared" si="124"/>
        <v>52.448440092055996</v>
      </c>
      <c r="F83" s="12">
        <f t="shared" si="103"/>
        <v>1.3913069591371272</v>
      </c>
      <c r="G83" s="12">
        <f t="shared" si="125"/>
        <v>14.713280913514836</v>
      </c>
      <c r="H83" s="12">
        <f t="shared" si="126"/>
        <v>36.291470742310793</v>
      </c>
      <c r="I83" s="12">
        <f t="shared" si="106"/>
        <v>1.6427985925913855</v>
      </c>
      <c r="J83" s="12">
        <f t="shared" si="127"/>
        <v>36.462661921615108</v>
      </c>
      <c r="K83" s="13">
        <f t="shared" si="128"/>
        <v>2.2366072533925797E-2</v>
      </c>
      <c r="L83" s="13">
        <f t="shared" si="129"/>
        <v>79.716016765737876</v>
      </c>
      <c r="M83" s="13">
        <f t="shared" si="130"/>
        <v>6.2743202189828725E-3</v>
      </c>
      <c r="N83" s="13">
        <f t="shared" si="131"/>
        <v>1.5476106926358547E-2</v>
      </c>
      <c r="O83" s="13">
        <f t="shared" si="132"/>
        <v>94.125425945517975</v>
      </c>
      <c r="P83" s="13">
        <f t="shared" si="133"/>
        <v>1.5549109561456336E-2</v>
      </c>
      <c r="Q83" s="38">
        <v>1119.67</v>
      </c>
      <c r="R83" s="38">
        <v>59.026200000000003</v>
      </c>
      <c r="S83" s="38">
        <v>1118.79</v>
      </c>
      <c r="T83" s="38">
        <v>22.7454</v>
      </c>
      <c r="U83" s="38">
        <v>1158.73</v>
      </c>
      <c r="V83" s="38">
        <v>58.733600000000003</v>
      </c>
      <c r="W83" s="38">
        <v>1157.1199999999999</v>
      </c>
      <c r="X83" s="38">
        <v>22.3065</v>
      </c>
      <c r="Y83" s="38">
        <v>1140.96</v>
      </c>
      <c r="Z83" s="38">
        <v>40.4499</v>
      </c>
      <c r="AA83" s="38">
        <v>1140</v>
      </c>
      <c r="AB83" s="38">
        <v>34.320099999999996</v>
      </c>
      <c r="AC83" s="38">
        <v>1141.58</v>
      </c>
      <c r="AD83" s="38">
        <v>48.948300000000003</v>
      </c>
      <c r="AE83" s="14" t="s">
        <v>217</v>
      </c>
      <c r="AF83" s="14" t="s">
        <v>214</v>
      </c>
      <c r="AG83" s="14" t="s">
        <v>223</v>
      </c>
      <c r="AH83" s="14" t="s">
        <v>223</v>
      </c>
      <c r="AI83" s="14" t="s">
        <v>223</v>
      </c>
      <c r="AJ83" s="55">
        <v>5.6180214674419301E-5</v>
      </c>
      <c r="AK83" s="55">
        <v>7.1718657034656194E-5</v>
      </c>
      <c r="AL83" s="55">
        <v>3.5209142347961599E-5</v>
      </c>
      <c r="AM83" s="55">
        <v>4.1186148453589403E-5</v>
      </c>
      <c r="AN83" s="51">
        <v>0.59731012307382303</v>
      </c>
    </row>
    <row r="84" spans="1:40" x14ac:dyDescent="0.35">
      <c r="A84" s="38" t="s">
        <v>126</v>
      </c>
      <c r="B84" s="14">
        <v>1</v>
      </c>
      <c r="C84" s="38">
        <v>80</v>
      </c>
      <c r="D84" s="14">
        <v>2345</v>
      </c>
      <c r="E84" s="12">
        <f t="shared" si="124"/>
        <v>49.886821324273534</v>
      </c>
      <c r="F84" s="12">
        <f t="shared" si="103"/>
        <v>1.4244937758120042</v>
      </c>
      <c r="G84" s="12">
        <f t="shared" si="125"/>
        <v>11.94999445229997</v>
      </c>
      <c r="H84" s="12">
        <f t="shared" si="126"/>
        <v>33.875684268218116</v>
      </c>
      <c r="I84" s="12">
        <f t="shared" si="106"/>
        <v>1.3314075552275222</v>
      </c>
      <c r="J84" s="12">
        <f t="shared" si="127"/>
        <v>29.558644833787618</v>
      </c>
      <c r="K84" s="13">
        <f t="shared" si="128"/>
        <v>2.1273697792867179E-2</v>
      </c>
      <c r="L84" s="13">
        <f t="shared" si="129"/>
        <v>81.617481296682712</v>
      </c>
      <c r="M84" s="13">
        <f t="shared" si="130"/>
        <v>5.0959464615351682E-3</v>
      </c>
      <c r="N84" s="13">
        <f t="shared" si="131"/>
        <v>1.44459207966815E-2</v>
      </c>
      <c r="O84" s="13">
        <f t="shared" si="132"/>
        <v>76.284033726368094</v>
      </c>
      <c r="P84" s="13">
        <f t="shared" si="133"/>
        <v>1.2604965813981926E-2</v>
      </c>
      <c r="Q84" s="38">
        <v>904.42600000000004</v>
      </c>
      <c r="R84" s="38">
        <v>48.628300000000003</v>
      </c>
      <c r="S84" s="38">
        <v>907.44600000000003</v>
      </c>
      <c r="T84" s="38">
        <v>14.887499999999999</v>
      </c>
      <c r="U84" s="38">
        <v>942.10500000000002</v>
      </c>
      <c r="V84" s="38">
        <v>50.5976</v>
      </c>
      <c r="W84" s="38">
        <v>946.17499999999995</v>
      </c>
      <c r="X84" s="38">
        <v>21.320499999999999</v>
      </c>
      <c r="Y84" s="38">
        <v>925.43200000000002</v>
      </c>
      <c r="Z84" s="38">
        <v>33.924100000000003</v>
      </c>
      <c r="AA84" s="38">
        <v>925.69500000000005</v>
      </c>
      <c r="AB84" s="38">
        <v>28.2788</v>
      </c>
      <c r="AC84" s="38">
        <v>925.43200000000002</v>
      </c>
      <c r="AD84" s="38">
        <v>40.225900000000003</v>
      </c>
      <c r="AE84" s="14" t="s">
        <v>217</v>
      </c>
      <c r="AF84" s="14" t="s">
        <v>214</v>
      </c>
      <c r="AG84" s="14" t="s">
        <v>223</v>
      </c>
      <c r="AH84" s="14" t="s">
        <v>223</v>
      </c>
      <c r="AI84" s="14" t="s">
        <v>223</v>
      </c>
      <c r="AJ84" s="55">
        <v>5.0554255827169301E-5</v>
      </c>
      <c r="AK84" s="55">
        <v>6.0406395751974198E-5</v>
      </c>
      <c r="AL84" s="55">
        <v>3.2547692127240698E-5</v>
      </c>
      <c r="AM84" s="55">
        <v>3.6482452862098198E-5</v>
      </c>
      <c r="AN84" s="51">
        <v>0.62211373137172599</v>
      </c>
    </row>
    <row r="85" spans="1:40" x14ac:dyDescent="0.35">
      <c r="A85" s="38" t="s">
        <v>126</v>
      </c>
      <c r="B85" s="14">
        <v>1</v>
      </c>
      <c r="C85" s="38">
        <v>90</v>
      </c>
      <c r="D85" s="14">
        <v>2345</v>
      </c>
      <c r="E85" s="12">
        <f t="shared" si="124"/>
        <v>44.516998615737805</v>
      </c>
      <c r="F85" s="12">
        <f t="shared" si="103"/>
        <v>1.4941423165716485</v>
      </c>
      <c r="G85" s="12">
        <f t="shared" si="125"/>
        <v>12.025058803498634</v>
      </c>
      <c r="H85" s="12">
        <f t="shared" si="126"/>
        <v>28.998467847174261</v>
      </c>
      <c r="I85" s="12">
        <f t="shared" si="106"/>
        <v>1.2624026965419797</v>
      </c>
      <c r="J85" s="12">
        <f t="shared" si="127"/>
        <v>27.406405891982633</v>
      </c>
      <c r="K85" s="13">
        <f t="shared" si="128"/>
        <v>1.8983794718864737E-2</v>
      </c>
      <c r="L85" s="13">
        <f t="shared" si="129"/>
        <v>85.608048731455227</v>
      </c>
      <c r="M85" s="13">
        <f t="shared" si="130"/>
        <v>5.1279568458416349E-3</v>
      </c>
      <c r="N85" s="13">
        <f t="shared" si="131"/>
        <v>1.2366084369797126E-2</v>
      </c>
      <c r="O85" s="13">
        <f t="shared" si="132"/>
        <v>72.330346557789838</v>
      </c>
      <c r="P85" s="13">
        <f t="shared" si="133"/>
        <v>1.1687166691677029E-2</v>
      </c>
      <c r="Q85" s="38">
        <v>660.56600000000003</v>
      </c>
      <c r="R85" s="38">
        <v>-1.71536</v>
      </c>
      <c r="S85" s="38">
        <v>668.125</v>
      </c>
      <c r="T85" s="38">
        <v>-29.711300000000001</v>
      </c>
      <c r="U85" s="38">
        <v>693.32100000000003</v>
      </c>
      <c r="V85" s="38">
        <v>6.8233899999999998</v>
      </c>
      <c r="W85" s="38">
        <v>701.44</v>
      </c>
      <c r="X85" s="38">
        <v>-19.352799999999998</v>
      </c>
      <c r="Y85" s="38">
        <v>679.60400000000004</v>
      </c>
      <c r="Z85" s="38">
        <v>-12.213800000000001</v>
      </c>
      <c r="AA85" s="38">
        <v>681.00300000000004</v>
      </c>
      <c r="AB85" s="38">
        <v>-17.672999999999998</v>
      </c>
      <c r="AC85" s="38">
        <v>678.48400000000004</v>
      </c>
      <c r="AD85" s="38">
        <v>-5.9147400000000001</v>
      </c>
      <c r="AE85" s="14" t="s">
        <v>217</v>
      </c>
      <c r="AF85" s="14" t="s">
        <v>214</v>
      </c>
      <c r="AG85" s="14" t="s">
        <v>223</v>
      </c>
      <c r="AH85" s="14" t="s">
        <v>223</v>
      </c>
      <c r="AI85" s="14" t="s">
        <v>223</v>
      </c>
      <c r="AJ85" s="55">
        <v>4.67011646464601E-5</v>
      </c>
      <c r="AK85" s="55">
        <v>4.1246311642518497E-5</v>
      </c>
      <c r="AL85" s="55">
        <v>2.6418139070107901E-5</v>
      </c>
      <c r="AM85" s="55">
        <v>2.4336968962679799E-5</v>
      </c>
      <c r="AN85" s="51">
        <v>0.57710704359515796</v>
      </c>
    </row>
    <row r="86" spans="1:40" x14ac:dyDescent="0.35">
      <c r="A86" s="38" t="s">
        <v>127</v>
      </c>
      <c r="B86" s="14">
        <v>1</v>
      </c>
      <c r="C86" s="38">
        <v>20</v>
      </c>
      <c r="D86" s="14">
        <v>1466</v>
      </c>
      <c r="E86" s="12">
        <f t="shared" ref="E86:E93" si="134">DIST2(Q86,R86,W86,X86)</f>
        <v>40.813877492833207</v>
      </c>
      <c r="F86" s="12">
        <f t="shared" si="103"/>
        <v>1.1178679548227382</v>
      </c>
      <c r="G86" s="12">
        <f t="shared" ref="G86:G93" si="135">DIST2(AA86,AB86,AC86,AD86)</f>
        <v>4.3735122041672785</v>
      </c>
      <c r="H86" s="12">
        <f t="shared" ref="H86:H93" si="136">DIST2(Q86,R86,S86,T86)</f>
        <v>22.207191087573399</v>
      </c>
      <c r="I86" s="12">
        <f t="shared" si="106"/>
        <v>0.97735604993152958</v>
      </c>
      <c r="J86" s="12">
        <f t="shared" ref="J86:J93" si="137">DIST2(U86,V86,W86,X86)</f>
        <v>18.640419013530767</v>
      </c>
      <c r="K86" s="13">
        <f t="shared" ref="K86:K93" si="138">E86/D86</f>
        <v>2.7840298426216374E-2</v>
      </c>
      <c r="L86" s="13">
        <f t="shared" ref="L86:L93" si="139">F86*180/PI()</f>
        <v>64.049115864263882</v>
      </c>
      <c r="M86" s="13">
        <f t="shared" ref="M86:M93" si="140">G86/D86</f>
        <v>2.9832961829244736E-3</v>
      </c>
      <c r="N86" s="13">
        <f t="shared" ref="N86:N93" si="141">H86/D86</f>
        <v>1.5148152174333834E-2</v>
      </c>
      <c r="O86" s="13">
        <f t="shared" ref="O86:O93" si="142">I86*180/PI()</f>
        <v>55.998376742654003</v>
      </c>
      <c r="P86" s="13">
        <f t="shared" ref="P86:P93" si="143">J86/D86</f>
        <v>1.2715156216596704E-2</v>
      </c>
      <c r="Q86" s="38">
        <v>337.25599999999997</v>
      </c>
      <c r="R86" s="38">
        <v>-250.417</v>
      </c>
      <c r="S86" s="38">
        <v>337.02600000000001</v>
      </c>
      <c r="T86" s="38">
        <v>-272.62299999999999</v>
      </c>
      <c r="U86" s="38">
        <v>302.05</v>
      </c>
      <c r="V86" s="38">
        <v>-252.02799999999999</v>
      </c>
      <c r="W86" s="38">
        <v>301.82</v>
      </c>
      <c r="X86" s="38">
        <v>-270.66699999999997</v>
      </c>
      <c r="Y86" s="38">
        <v>319.423</v>
      </c>
      <c r="Z86" s="38">
        <v>-262.38299999999998</v>
      </c>
      <c r="AA86" s="38">
        <v>319.423</v>
      </c>
      <c r="AB86" s="38">
        <v>-260.31200000000001</v>
      </c>
      <c r="AC86" s="38">
        <v>319.53800000000001</v>
      </c>
      <c r="AD86" s="38">
        <v>-264.68400000000003</v>
      </c>
      <c r="AE86" s="14" t="s">
        <v>215</v>
      </c>
      <c r="AF86" s="14" t="s">
        <v>211</v>
      </c>
      <c r="AG86" s="14" t="s">
        <v>222</v>
      </c>
      <c r="AH86" s="14" t="s">
        <v>222</v>
      </c>
      <c r="AI86" s="51" t="s">
        <v>222</v>
      </c>
      <c r="AJ86" s="55">
        <v>7.5889557807809103E-5</v>
      </c>
      <c r="AK86" s="55">
        <v>9.1488802581106204E-5</v>
      </c>
      <c r="AL86" s="51">
        <v>1.1021542968495601E-4</v>
      </c>
      <c r="AM86" s="55">
        <v>9.2824717703135398E-5</v>
      </c>
      <c r="AN86" s="51">
        <v>1.2130609172913001</v>
      </c>
    </row>
    <row r="87" spans="1:40" x14ac:dyDescent="0.35">
      <c r="A87" s="38" t="s">
        <v>127</v>
      </c>
      <c r="B87" s="14">
        <v>1</v>
      </c>
      <c r="C87" s="38">
        <v>30</v>
      </c>
      <c r="D87" s="14">
        <v>1466</v>
      </c>
      <c r="E87" s="12">
        <f t="shared" si="134"/>
        <v>39.175081020975568</v>
      </c>
      <c r="F87" s="12">
        <f t="shared" si="103"/>
        <v>1.0725914558668901</v>
      </c>
      <c r="G87" s="12">
        <f t="shared" si="135"/>
        <v>4.2583758641058997</v>
      </c>
      <c r="H87" s="12">
        <f t="shared" si="136"/>
        <v>22.240245367351488</v>
      </c>
      <c r="I87" s="12">
        <f t="shared" si="106"/>
        <v>1.2188901179221188</v>
      </c>
      <c r="J87" s="12">
        <f t="shared" si="137"/>
        <v>19.915236227572059</v>
      </c>
      <c r="K87" s="13">
        <f t="shared" si="138"/>
        <v>2.6722429072971055E-2</v>
      </c>
      <c r="L87" s="13">
        <f t="shared" si="139"/>
        <v>61.454963562965304</v>
      </c>
      <c r="M87" s="13">
        <f t="shared" si="140"/>
        <v>2.9047584339057979E-3</v>
      </c>
      <c r="N87" s="13">
        <f t="shared" si="141"/>
        <v>1.5170699432026936E-2</v>
      </c>
      <c r="O87" s="13">
        <f t="shared" si="142"/>
        <v>69.837259447140625</v>
      </c>
      <c r="P87" s="13">
        <f t="shared" si="143"/>
        <v>1.3584745039271528E-2</v>
      </c>
      <c r="Q87" s="38">
        <v>476.41500000000002</v>
      </c>
      <c r="R87" s="38">
        <v>-251.21700000000001</v>
      </c>
      <c r="S87" s="38">
        <v>476.89800000000002</v>
      </c>
      <c r="T87" s="38">
        <v>-273.452</v>
      </c>
      <c r="U87" s="38">
        <v>443.73899999999998</v>
      </c>
      <c r="V87" s="38">
        <v>-252.76400000000001</v>
      </c>
      <c r="W87" s="38">
        <v>443.642</v>
      </c>
      <c r="X87" s="38">
        <v>-272.67899999999997</v>
      </c>
      <c r="Y87" s="38">
        <v>457.95</v>
      </c>
      <c r="Z87" s="38">
        <v>-262.43099999999998</v>
      </c>
      <c r="AA87" s="38">
        <v>457.75700000000001</v>
      </c>
      <c r="AB87" s="38">
        <v>-264.65499999999997</v>
      </c>
      <c r="AC87" s="38">
        <v>457.95</v>
      </c>
      <c r="AD87" s="38">
        <v>-260.40100000000001</v>
      </c>
      <c r="AE87" s="14" t="s">
        <v>215</v>
      </c>
      <c r="AF87" s="14" t="s">
        <v>211</v>
      </c>
      <c r="AG87" s="14" t="s">
        <v>222</v>
      </c>
      <c r="AH87" s="14" t="s">
        <v>222</v>
      </c>
      <c r="AI87" s="51" t="s">
        <v>222</v>
      </c>
      <c r="AJ87" s="55">
        <v>6.6060761526850396E-5</v>
      </c>
      <c r="AK87" s="55">
        <v>9.67788371342053E-5</v>
      </c>
      <c r="AL87" s="55">
        <v>6.3171549436150801E-5</v>
      </c>
      <c r="AM87" s="55">
        <v>6.4620027350271599E-5</v>
      </c>
      <c r="AN87" s="51">
        <v>0.78476966190770103</v>
      </c>
    </row>
    <row r="88" spans="1:40" x14ac:dyDescent="0.35">
      <c r="A88" s="38" t="s">
        <v>127</v>
      </c>
      <c r="B88" s="14">
        <v>1</v>
      </c>
      <c r="C88" s="38">
        <v>40</v>
      </c>
      <c r="D88" s="14">
        <v>1466</v>
      </c>
      <c r="E88" s="12">
        <f t="shared" si="134"/>
        <v>41.612671267295433</v>
      </c>
      <c r="F88" s="12">
        <f t="shared" si="103"/>
        <v>1.1006175827869173</v>
      </c>
      <c r="G88" s="12">
        <f t="shared" si="135"/>
        <v>3.4700144091919554</v>
      </c>
      <c r="H88" s="12">
        <f t="shared" si="136"/>
        <v>22.226540464048803</v>
      </c>
      <c r="I88" s="12">
        <f t="shared" si="106"/>
        <v>1.1787900522214438</v>
      </c>
      <c r="J88" s="12">
        <f t="shared" si="137"/>
        <v>22.534999999999997</v>
      </c>
      <c r="K88" s="13">
        <f t="shared" si="138"/>
        <v>2.8385178217800431E-2</v>
      </c>
      <c r="L88" s="13">
        <f t="shared" si="139"/>
        <v>63.060742351580842</v>
      </c>
      <c r="M88" s="13">
        <f t="shared" si="140"/>
        <v>2.3669948220954675E-3</v>
      </c>
      <c r="N88" s="13">
        <f t="shared" si="141"/>
        <v>1.5161350930456209E-2</v>
      </c>
      <c r="O88" s="13">
        <f t="shared" si="142"/>
        <v>67.539694924294636</v>
      </c>
      <c r="P88" s="13">
        <f t="shared" si="143"/>
        <v>1.5371759890859479E-2</v>
      </c>
      <c r="Q88" s="38">
        <v>646.37699999999995</v>
      </c>
      <c r="R88" s="38">
        <v>-249.554</v>
      </c>
      <c r="S88" s="38">
        <v>646.53200000000004</v>
      </c>
      <c r="T88" s="38">
        <v>-271.77999999999997</v>
      </c>
      <c r="U88" s="38">
        <v>611.49400000000003</v>
      </c>
      <c r="V88" s="38">
        <v>-249.708</v>
      </c>
      <c r="W88" s="38">
        <v>611.49400000000003</v>
      </c>
      <c r="X88" s="38">
        <v>-272.24299999999999</v>
      </c>
      <c r="Y88" s="38">
        <v>628.34100000000001</v>
      </c>
      <c r="Z88" s="38">
        <v>-260.68900000000002</v>
      </c>
      <c r="AA88" s="38">
        <v>628.40499999999997</v>
      </c>
      <c r="AB88" s="38">
        <v>-262.30399999999997</v>
      </c>
      <c r="AC88" s="38">
        <v>628.41499999999996</v>
      </c>
      <c r="AD88" s="38">
        <v>-258.834</v>
      </c>
      <c r="AE88" s="14" t="s">
        <v>215</v>
      </c>
      <c r="AF88" s="14" t="s">
        <v>211</v>
      </c>
      <c r="AG88" s="14" t="s">
        <v>222</v>
      </c>
      <c r="AH88" s="14" t="s">
        <v>222</v>
      </c>
      <c r="AI88" s="51" t="s">
        <v>222</v>
      </c>
      <c r="AJ88" s="55">
        <v>8.8324706303311495E-5</v>
      </c>
      <c r="AK88" s="55">
        <v>9.3663294102428894E-5</v>
      </c>
      <c r="AL88" s="55">
        <v>7.4668402852096202E-5</v>
      </c>
      <c r="AM88" s="55">
        <v>7.9196877518430606E-5</v>
      </c>
      <c r="AN88" s="51">
        <v>0.84546937175795001</v>
      </c>
    </row>
    <row r="89" spans="1:40" x14ac:dyDescent="0.35">
      <c r="A89" s="38" t="s">
        <v>127</v>
      </c>
      <c r="B89" s="14">
        <v>1</v>
      </c>
      <c r="C89" s="38">
        <v>50</v>
      </c>
      <c r="D89" s="14">
        <v>1466</v>
      </c>
      <c r="E89" s="12">
        <f t="shared" si="134"/>
        <v>43.416812987597375</v>
      </c>
      <c r="F89" s="12">
        <f t="shared" si="103"/>
        <v>1.137504506506108</v>
      </c>
      <c r="G89" s="12">
        <f t="shared" si="135"/>
        <v>4.4022727084995408</v>
      </c>
      <c r="H89" s="12">
        <f t="shared" si="136"/>
        <v>25.892884350724618</v>
      </c>
      <c r="I89" s="12">
        <f t="shared" si="106"/>
        <v>1.2808686177237434</v>
      </c>
      <c r="J89" s="12">
        <f t="shared" si="137"/>
        <v>22.793018777687159</v>
      </c>
      <c r="K89" s="13">
        <f t="shared" si="138"/>
        <v>2.9615834234377473E-2</v>
      </c>
      <c r="L89" s="13">
        <f t="shared" si="139"/>
        <v>65.174207399911481</v>
      </c>
      <c r="M89" s="13">
        <f t="shared" si="140"/>
        <v>3.0029145351292913E-3</v>
      </c>
      <c r="N89" s="13">
        <f t="shared" si="141"/>
        <v>1.7662267633509289E-2</v>
      </c>
      <c r="O89" s="13">
        <f t="shared" si="142"/>
        <v>73.388365906326129</v>
      </c>
      <c r="P89" s="13">
        <f t="shared" si="143"/>
        <v>1.5547761785598335E-2</v>
      </c>
      <c r="Q89" s="38">
        <v>786.05200000000002</v>
      </c>
      <c r="R89" s="38">
        <v>-246.44</v>
      </c>
      <c r="S89" s="38">
        <v>785.83799999999997</v>
      </c>
      <c r="T89" s="38">
        <v>-272.33199999999999</v>
      </c>
      <c r="U89" s="38">
        <v>750.63699999999994</v>
      </c>
      <c r="V89" s="38">
        <v>-248.15199999999999</v>
      </c>
      <c r="W89" s="38">
        <v>750.20899999999995</v>
      </c>
      <c r="X89" s="38">
        <v>-270.94099999999997</v>
      </c>
      <c r="Y89" s="38">
        <v>765.70799999999997</v>
      </c>
      <c r="Z89" s="38">
        <v>-260.02499999999998</v>
      </c>
      <c r="AA89" s="38">
        <v>765.65899999999999</v>
      </c>
      <c r="AB89" s="38">
        <v>-262.10199999999998</v>
      </c>
      <c r="AC89" s="38">
        <v>765.70799999999997</v>
      </c>
      <c r="AD89" s="38">
        <v>-257.7</v>
      </c>
      <c r="AE89" s="14" t="s">
        <v>215</v>
      </c>
      <c r="AF89" s="14" t="s">
        <v>211</v>
      </c>
      <c r="AG89" s="14" t="s">
        <v>222</v>
      </c>
      <c r="AH89" s="14" t="s">
        <v>222</v>
      </c>
      <c r="AI89" s="51" t="s">
        <v>222</v>
      </c>
      <c r="AJ89" s="55">
        <v>8.1086403918561605E-5</v>
      </c>
      <c r="AK89" s="51">
        <v>1.2187101773905699E-4</v>
      </c>
      <c r="AL89" s="55">
        <v>8.4671371459307896E-5</v>
      </c>
      <c r="AM89" s="55">
        <v>7.8266929203836406E-5</v>
      </c>
      <c r="AN89" s="51">
        <v>0.802820115334413</v>
      </c>
    </row>
    <row r="90" spans="1:40" x14ac:dyDescent="0.35">
      <c r="A90" s="38" t="s">
        <v>127</v>
      </c>
      <c r="B90" s="14">
        <v>1</v>
      </c>
      <c r="C90" s="38">
        <v>60</v>
      </c>
      <c r="D90" s="14">
        <v>1466</v>
      </c>
      <c r="E90" s="12">
        <f t="shared" si="134"/>
        <v>43.947944775609265</v>
      </c>
      <c r="F90" s="12">
        <f t="shared" si="103"/>
        <v>1.2324204715648639</v>
      </c>
      <c r="G90" s="12">
        <f t="shared" si="135"/>
        <v>5.4590792263897248</v>
      </c>
      <c r="H90" s="12">
        <f t="shared" si="136"/>
        <v>26.357387920657082</v>
      </c>
      <c r="I90" s="12">
        <f t="shared" si="106"/>
        <v>1.3643520825275737</v>
      </c>
      <c r="J90" s="12">
        <f t="shared" si="137"/>
        <v>26.357387920657082</v>
      </c>
      <c r="K90" s="13">
        <f t="shared" si="138"/>
        <v>2.9978134226200045E-2</v>
      </c>
      <c r="L90" s="13">
        <f t="shared" si="139"/>
        <v>70.61249160618938</v>
      </c>
      <c r="M90" s="13">
        <f t="shared" si="140"/>
        <v>3.7237921053135913E-3</v>
      </c>
      <c r="N90" s="13">
        <f t="shared" si="141"/>
        <v>1.7979118636191734E-2</v>
      </c>
      <c r="O90" s="13">
        <f t="shared" si="142"/>
        <v>78.171616098714566</v>
      </c>
      <c r="P90" s="13">
        <f t="shared" si="143"/>
        <v>1.7979118636191734E-2</v>
      </c>
      <c r="Q90" s="38">
        <v>928.01099999999997</v>
      </c>
      <c r="R90" s="38">
        <v>-245.85900000000001</v>
      </c>
      <c r="S90" s="38">
        <v>927.86800000000005</v>
      </c>
      <c r="T90" s="38">
        <v>-272.21600000000001</v>
      </c>
      <c r="U90" s="38">
        <v>893.20299999999997</v>
      </c>
      <c r="V90" s="38">
        <v>-246.14500000000001</v>
      </c>
      <c r="W90" s="38">
        <v>893.06</v>
      </c>
      <c r="X90" s="38">
        <v>-272.50200000000001</v>
      </c>
      <c r="Y90" s="38">
        <v>909.35</v>
      </c>
      <c r="Z90" s="38">
        <v>-259.74200000000002</v>
      </c>
      <c r="AA90" s="38">
        <v>909.26199999999994</v>
      </c>
      <c r="AB90" s="38">
        <v>-262.33499999999998</v>
      </c>
      <c r="AC90" s="38">
        <v>909.47299999999996</v>
      </c>
      <c r="AD90" s="38">
        <v>-256.88</v>
      </c>
      <c r="AE90" s="14" t="s">
        <v>215</v>
      </c>
      <c r="AF90" s="14" t="s">
        <v>211</v>
      </c>
      <c r="AG90" s="14" t="s">
        <v>222</v>
      </c>
      <c r="AH90" s="14" t="s">
        <v>222</v>
      </c>
      <c r="AI90" s="51" t="s">
        <v>222</v>
      </c>
      <c r="AJ90" s="55">
        <v>9.9464824796339105E-5</v>
      </c>
      <c r="AK90" s="51">
        <v>1.13966298398069E-4</v>
      </c>
      <c r="AL90" s="55">
        <v>8.8015272041675797E-5</v>
      </c>
      <c r="AM90" s="55">
        <v>8.1254958690761005E-5</v>
      </c>
      <c r="AN90" s="51">
        <v>0.79309066175064702</v>
      </c>
    </row>
    <row r="91" spans="1:40" x14ac:dyDescent="0.35">
      <c r="A91" s="38" t="s">
        <v>127</v>
      </c>
      <c r="B91" s="14">
        <v>1</v>
      </c>
      <c r="C91" s="38">
        <v>70</v>
      </c>
      <c r="D91" s="14">
        <v>1466</v>
      </c>
      <c r="E91" s="12">
        <f t="shared" si="134"/>
        <v>42.64480315349104</v>
      </c>
      <c r="F91" s="12">
        <f t="shared" si="103"/>
        <v>1.221063631166792</v>
      </c>
      <c r="G91" s="12">
        <f t="shared" si="135"/>
        <v>5.3815704027727795</v>
      </c>
      <c r="H91" s="12">
        <f t="shared" si="136"/>
        <v>25.46371498819445</v>
      </c>
      <c r="I91" s="12">
        <f t="shared" si="106"/>
        <v>1.3149835561853607</v>
      </c>
      <c r="J91" s="12">
        <f t="shared" si="137"/>
        <v>25.339233295425462</v>
      </c>
      <c r="K91" s="13">
        <f t="shared" si="138"/>
        <v>2.9089224524891568E-2</v>
      </c>
      <c r="L91" s="13">
        <f t="shared" si="139"/>
        <v>69.961792582776184</v>
      </c>
      <c r="M91" s="13">
        <f t="shared" si="140"/>
        <v>3.6709211478668344E-3</v>
      </c>
      <c r="N91" s="13">
        <f t="shared" si="141"/>
        <v>1.7369519091537826E-2</v>
      </c>
      <c r="O91" s="13">
        <f t="shared" si="142"/>
        <v>75.343007898525329</v>
      </c>
      <c r="P91" s="13">
        <f t="shared" si="143"/>
        <v>1.7284606613523507E-2</v>
      </c>
      <c r="Q91" s="38">
        <v>1071.76</v>
      </c>
      <c r="R91" s="38">
        <v>-246.59700000000001</v>
      </c>
      <c r="S91" s="38">
        <v>1072.25</v>
      </c>
      <c r="T91" s="38">
        <v>-272.05599999999998</v>
      </c>
      <c r="U91" s="38">
        <v>1037.53</v>
      </c>
      <c r="V91" s="38">
        <v>-246.35300000000001</v>
      </c>
      <c r="W91" s="38">
        <v>1037.28</v>
      </c>
      <c r="X91" s="38">
        <v>-271.69099999999997</v>
      </c>
      <c r="Y91" s="38">
        <v>1053.81</v>
      </c>
      <c r="Z91" s="38">
        <v>-259.38900000000001</v>
      </c>
      <c r="AA91" s="38">
        <v>1053.92</v>
      </c>
      <c r="AB91" s="38">
        <v>-261.85500000000002</v>
      </c>
      <c r="AC91" s="38">
        <v>1053.79</v>
      </c>
      <c r="AD91" s="38">
        <v>-256.47500000000002</v>
      </c>
      <c r="AE91" s="14" t="s">
        <v>215</v>
      </c>
      <c r="AF91" s="14" t="s">
        <v>211</v>
      </c>
      <c r="AG91" s="14" t="s">
        <v>222</v>
      </c>
      <c r="AH91" s="14" t="s">
        <v>222</v>
      </c>
      <c r="AI91" s="51" t="s">
        <v>222</v>
      </c>
      <c r="AJ91" s="55">
        <v>9.6726724351326501E-5</v>
      </c>
      <c r="AK91" s="51">
        <v>1.07776524831143E-4</v>
      </c>
      <c r="AL91" s="55">
        <v>7.9684448220604002E-5</v>
      </c>
      <c r="AM91" s="55">
        <v>8.1436275449525098E-5</v>
      </c>
      <c r="AN91" s="51">
        <v>0.78786388145044906</v>
      </c>
    </row>
    <row r="92" spans="1:40" x14ac:dyDescent="0.35">
      <c r="A92" s="38" t="s">
        <v>127</v>
      </c>
      <c r="B92" s="14">
        <v>1</v>
      </c>
      <c r="C92" s="38">
        <v>80</v>
      </c>
      <c r="D92" s="14">
        <v>1466</v>
      </c>
      <c r="E92" s="12">
        <f t="shared" si="134"/>
        <v>40.935705734724962</v>
      </c>
      <c r="F92" s="12">
        <f t="shared" si="103"/>
        <v>1.1113232022147594</v>
      </c>
      <c r="G92" s="12">
        <f t="shared" si="135"/>
        <v>4.9370405102652457</v>
      </c>
      <c r="H92" s="12">
        <f t="shared" si="136"/>
        <v>23.360791938630843</v>
      </c>
      <c r="I92" s="12">
        <f t="shared" si="106"/>
        <v>1.2159496811266528</v>
      </c>
      <c r="J92" s="12">
        <f t="shared" si="137"/>
        <v>22.403285562613341</v>
      </c>
      <c r="K92" s="13">
        <f t="shared" si="138"/>
        <v>2.7923400910453589E-2</v>
      </c>
      <c r="L92" s="13">
        <f t="shared" si="139"/>
        <v>63.674129161869459</v>
      </c>
      <c r="M92" s="13">
        <f t="shared" si="140"/>
        <v>3.3676947546147653E-3</v>
      </c>
      <c r="N92" s="13">
        <f t="shared" si="141"/>
        <v>1.5935055892654055E-2</v>
      </c>
      <c r="O92" s="13">
        <f t="shared" si="142"/>
        <v>69.668784828835456</v>
      </c>
      <c r="P92" s="13">
        <f t="shared" si="143"/>
        <v>1.5281913753487954E-2</v>
      </c>
      <c r="Q92" s="38">
        <v>1217.81</v>
      </c>
      <c r="R92" s="38">
        <v>-249.542</v>
      </c>
      <c r="S92" s="38">
        <v>1217.0999999999999</v>
      </c>
      <c r="T92" s="38">
        <v>-272.892</v>
      </c>
      <c r="U92" s="38">
        <v>1182.49</v>
      </c>
      <c r="V92" s="38">
        <v>-248.238</v>
      </c>
      <c r="W92" s="38">
        <v>1182.73</v>
      </c>
      <c r="X92" s="38">
        <v>-270.64</v>
      </c>
      <c r="Y92" s="38">
        <v>1198.6600000000001</v>
      </c>
      <c r="Z92" s="38">
        <v>-260.44400000000002</v>
      </c>
      <c r="AA92" s="38">
        <v>1198.71</v>
      </c>
      <c r="AB92" s="38">
        <v>-262.77600000000001</v>
      </c>
      <c r="AC92" s="38">
        <v>1198.73</v>
      </c>
      <c r="AD92" s="38">
        <v>-257.839</v>
      </c>
      <c r="AE92" s="14" t="s">
        <v>215</v>
      </c>
      <c r="AF92" s="14" t="s">
        <v>211</v>
      </c>
      <c r="AG92" s="14" t="s">
        <v>222</v>
      </c>
      <c r="AH92" s="14" t="s">
        <v>222</v>
      </c>
      <c r="AI92" s="51" t="s">
        <v>222</v>
      </c>
      <c r="AJ92" s="55">
        <v>8.3593489723407996E-5</v>
      </c>
      <c r="AK92" s="51">
        <v>1.0222898663475299E-4</v>
      </c>
      <c r="AL92" s="55">
        <v>7.3966329107798403E-5</v>
      </c>
      <c r="AM92" s="55">
        <v>7.1254166751971097E-5</v>
      </c>
      <c r="AN92" s="51">
        <v>0.78150124089330697</v>
      </c>
    </row>
    <row r="93" spans="1:40" x14ac:dyDescent="0.35">
      <c r="A93" s="38" t="s">
        <v>127</v>
      </c>
      <c r="B93" s="14">
        <v>1</v>
      </c>
      <c r="C93" s="38">
        <v>90</v>
      </c>
      <c r="D93" s="14">
        <v>1466</v>
      </c>
      <c r="E93" s="12">
        <f t="shared" si="134"/>
        <v>39.530831777234319</v>
      </c>
      <c r="F93" s="12">
        <f t="shared" si="103"/>
        <v>1.0955927676365456</v>
      </c>
      <c r="G93" s="12">
        <f t="shared" si="135"/>
        <v>4.9200163617613972</v>
      </c>
      <c r="H93" s="12">
        <f t="shared" si="136"/>
        <v>20.409196848479898</v>
      </c>
      <c r="I93" s="12">
        <f t="shared" si="106"/>
        <v>1.1079755898287051</v>
      </c>
      <c r="J93" s="12">
        <f t="shared" si="137"/>
        <v>21.035978917083952</v>
      </c>
      <c r="K93" s="13">
        <f t="shared" si="138"/>
        <v>2.6965096710255335E-2</v>
      </c>
      <c r="L93" s="13">
        <f t="shared" si="139"/>
        <v>62.77284165063115</v>
      </c>
      <c r="M93" s="13">
        <f t="shared" si="140"/>
        <v>3.3560821021564784E-3</v>
      </c>
      <c r="N93" s="13">
        <f t="shared" si="141"/>
        <v>1.3921689528294609E-2</v>
      </c>
      <c r="O93" s="13">
        <f t="shared" si="142"/>
        <v>63.48232510070283</v>
      </c>
      <c r="P93" s="13">
        <f t="shared" si="143"/>
        <v>1.434923527768346E-2</v>
      </c>
      <c r="Q93" s="38">
        <v>1362.75</v>
      </c>
      <c r="R93" s="38">
        <v>-258.91699999999997</v>
      </c>
      <c r="S93" s="38">
        <v>1361.25</v>
      </c>
      <c r="T93" s="38">
        <v>-279.27100000000002</v>
      </c>
      <c r="U93" s="38">
        <v>1329</v>
      </c>
      <c r="V93" s="38">
        <v>-256.23899999999998</v>
      </c>
      <c r="W93" s="38">
        <v>1327.72</v>
      </c>
      <c r="X93" s="38">
        <v>-277.23599999999999</v>
      </c>
      <c r="Y93" s="38">
        <v>1345.3</v>
      </c>
      <c r="Z93" s="38">
        <v>-268.17200000000003</v>
      </c>
      <c r="AA93" s="38">
        <v>1345.3</v>
      </c>
      <c r="AB93" s="38">
        <v>-270.41300000000001</v>
      </c>
      <c r="AC93" s="38">
        <v>1345.4</v>
      </c>
      <c r="AD93" s="38">
        <v>-265.49400000000003</v>
      </c>
      <c r="AE93" s="14" t="s">
        <v>215</v>
      </c>
      <c r="AF93" s="14" t="s">
        <v>211</v>
      </c>
      <c r="AG93" s="14" t="s">
        <v>222</v>
      </c>
      <c r="AH93" s="14" t="s">
        <v>222</v>
      </c>
      <c r="AI93" s="51" t="s">
        <v>222</v>
      </c>
      <c r="AJ93" s="55">
        <v>8.3178080139366099E-5</v>
      </c>
      <c r="AK93" s="55">
        <v>7.9402053643384097E-5</v>
      </c>
      <c r="AL93" s="55">
        <v>6.2451736867868496E-5</v>
      </c>
      <c r="AM93" s="55">
        <v>6.1547530751606495E-5</v>
      </c>
      <c r="AN93" s="51">
        <v>0.762696306949597</v>
      </c>
    </row>
    <row r="94" spans="1:40" x14ac:dyDescent="0.35">
      <c r="A94" s="38" t="s">
        <v>128</v>
      </c>
      <c r="B94" s="14">
        <v>1</v>
      </c>
      <c r="C94" s="38">
        <v>30</v>
      </c>
      <c r="D94" s="14">
        <v>1071</v>
      </c>
      <c r="E94" s="12">
        <f t="shared" ref="E94:E100" si="144">DIST2(Q94,R94,W94,X94)</f>
        <v>25.088822212292005</v>
      </c>
      <c r="F94" s="12">
        <f t="shared" si="103"/>
        <v>1.5809036481029195</v>
      </c>
      <c r="G94" s="12">
        <f t="shared" ref="G94:G100" si="145">DIST2(AA94,AB94,AC94,AD94)</f>
        <v>0</v>
      </c>
      <c r="H94" s="12">
        <f t="shared" ref="H94:H100" si="146">DIST2(Q94,R94,S94,T94)</f>
        <v>22.392107292526116</v>
      </c>
      <c r="I94" s="12">
        <f t="shared" si="106"/>
        <v>1.536841791487477</v>
      </c>
      <c r="J94" s="12">
        <f t="shared" ref="J94:J100" si="147">DIST2(U94,V94,W94,X94)</f>
        <v>15.000816644436384</v>
      </c>
      <c r="K94" s="13">
        <f t="shared" ref="K94:K100" si="148">E94/D94</f>
        <v>2.3425604306528482E-2</v>
      </c>
      <c r="L94" s="13">
        <f t="shared" ref="L94:L100" si="149">F94*180/PI()</f>
        <v>90.579106853132359</v>
      </c>
      <c r="M94" s="13">
        <f t="shared" ref="M94:M100" si="150">G94/D94</f>
        <v>0</v>
      </c>
      <c r="N94" s="13">
        <f t="shared" ref="N94:N100" si="151">H94/D94</f>
        <v>2.0907663204973032E-2</v>
      </c>
      <c r="O94" s="13">
        <f t="shared" ref="O94:O100" si="152">I94*180/PI()</f>
        <v>88.054548431556924</v>
      </c>
      <c r="P94" s="13">
        <f t="shared" ref="P94:P100" si="153">J94/D94</f>
        <v>1.4006364747372907E-2</v>
      </c>
      <c r="Q94" s="38">
        <v>1072.17</v>
      </c>
      <c r="R94" s="38">
        <v>-165.98699999999999</v>
      </c>
      <c r="S94" s="38">
        <v>1070.5999999999999</v>
      </c>
      <c r="T94" s="38">
        <v>-188.32400000000001</v>
      </c>
      <c r="U94" s="38">
        <v>1090.57</v>
      </c>
      <c r="V94" s="38">
        <v>-168.87700000000001</v>
      </c>
      <c r="W94" s="38">
        <v>1089.78</v>
      </c>
      <c r="X94" s="38">
        <v>-183.857</v>
      </c>
      <c r="Y94" s="38">
        <v>1082.42</v>
      </c>
      <c r="Z94" s="38">
        <v>-176.10400000000001</v>
      </c>
      <c r="AA94" s="38">
        <v>1082.42</v>
      </c>
      <c r="AB94" s="38">
        <v>-176.10400000000001</v>
      </c>
      <c r="AC94" s="38">
        <v>1082.42</v>
      </c>
      <c r="AD94" s="38">
        <v>-176.10400000000001</v>
      </c>
      <c r="AE94" s="14" t="s">
        <v>215</v>
      </c>
      <c r="AF94" s="14" t="s">
        <v>214</v>
      </c>
      <c r="AG94" s="14" t="s">
        <v>223</v>
      </c>
      <c r="AH94" s="14" t="s">
        <v>223</v>
      </c>
      <c r="AI94" s="51" t="s">
        <v>223</v>
      </c>
      <c r="AJ94" s="55">
        <v>5.0729516207353598E-5</v>
      </c>
      <c r="AK94" s="51">
        <v>1.06725888612526E-4</v>
      </c>
      <c r="AL94" s="55">
        <v>6.8232216633929701E-5</v>
      </c>
      <c r="AM94" s="55">
        <v>7.9151338095150904E-5</v>
      </c>
      <c r="AN94" s="51">
        <v>0.93603363376239102</v>
      </c>
    </row>
    <row r="95" spans="1:40" x14ac:dyDescent="0.35">
      <c r="A95" s="38" t="s">
        <v>128</v>
      </c>
      <c r="B95" s="14">
        <v>1</v>
      </c>
      <c r="C95" s="38">
        <v>40</v>
      </c>
      <c r="D95" s="14">
        <v>1071</v>
      </c>
      <c r="E95" s="12">
        <f t="shared" si="144"/>
        <v>27.713986829758024</v>
      </c>
      <c r="F95" s="12">
        <f t="shared" si="103"/>
        <v>1.2328941166256269</v>
      </c>
      <c r="G95" s="12">
        <f t="shared" si="145"/>
        <v>0.56514776828718705</v>
      </c>
      <c r="H95" s="12">
        <f t="shared" si="146"/>
        <v>16.729744110416039</v>
      </c>
      <c r="I95" s="12">
        <f t="shared" si="106"/>
        <v>1.3413204394944864</v>
      </c>
      <c r="J95" s="12">
        <f t="shared" si="147"/>
        <v>16.527759346021472</v>
      </c>
      <c r="K95" s="13">
        <f t="shared" si="148"/>
        <v>2.587673840313541E-2</v>
      </c>
      <c r="L95" s="13">
        <f t="shared" si="149"/>
        <v>70.639629469158322</v>
      </c>
      <c r="M95" s="13">
        <f t="shared" si="150"/>
        <v>5.2768232333070685E-4</v>
      </c>
      <c r="N95" s="13">
        <f t="shared" si="151"/>
        <v>1.5620676106831035E-2</v>
      </c>
      <c r="O95" s="13">
        <f t="shared" si="152"/>
        <v>76.852000157666765</v>
      </c>
      <c r="P95" s="13">
        <f t="shared" si="153"/>
        <v>1.5432081555575605E-2</v>
      </c>
      <c r="Q95" s="38">
        <v>968.64599999999996</v>
      </c>
      <c r="R95" s="38">
        <v>-164.25899999999999</v>
      </c>
      <c r="S95" s="38">
        <v>968.34299999999996</v>
      </c>
      <c r="T95" s="38">
        <v>-180.98599999999999</v>
      </c>
      <c r="U95" s="38">
        <v>990.81299999999999</v>
      </c>
      <c r="V95" s="38">
        <v>-164.76300000000001</v>
      </c>
      <c r="W95" s="38">
        <v>990.51099999999997</v>
      </c>
      <c r="X95" s="38">
        <v>-181.28800000000001</v>
      </c>
      <c r="Y95" s="38">
        <v>980.26099999999997</v>
      </c>
      <c r="Z95" s="38">
        <v>-173.501</v>
      </c>
      <c r="AA95" s="38">
        <v>980.33199999999999</v>
      </c>
      <c r="AB95" s="38">
        <v>-173.71299999999999</v>
      </c>
      <c r="AC95" s="38">
        <v>980.29600000000005</v>
      </c>
      <c r="AD95" s="38">
        <v>-173.149</v>
      </c>
      <c r="AE95" s="14" t="s">
        <v>215</v>
      </c>
      <c r="AF95" s="14" t="s">
        <v>214</v>
      </c>
      <c r="AG95" s="14" t="s">
        <v>223</v>
      </c>
      <c r="AH95" s="14" t="s">
        <v>223</v>
      </c>
      <c r="AI95" s="51" t="s">
        <v>223</v>
      </c>
      <c r="AJ95" s="55">
        <v>7.4859104426084299E-5</v>
      </c>
      <c r="AK95" s="55">
        <v>8.5909933036395494E-5</v>
      </c>
      <c r="AL95" s="55">
        <v>8.3341846542538706E-5</v>
      </c>
      <c r="AM95" s="55">
        <v>7.1858173334693497E-5</v>
      </c>
      <c r="AN95" s="51">
        <v>0.96536013604891302</v>
      </c>
    </row>
    <row r="96" spans="1:40" x14ac:dyDescent="0.35">
      <c r="A96" s="38" t="s">
        <v>128</v>
      </c>
      <c r="B96" s="14">
        <v>1</v>
      </c>
      <c r="C96" s="38">
        <v>50</v>
      </c>
      <c r="D96" s="14">
        <v>1071</v>
      </c>
      <c r="E96" s="12">
        <f t="shared" si="144"/>
        <v>27.801934554990989</v>
      </c>
      <c r="F96" s="12">
        <f t="shared" si="103"/>
        <v>1.1118181252725274</v>
      </c>
      <c r="G96" s="12">
        <f t="shared" si="145"/>
        <v>0.91703107908073422</v>
      </c>
      <c r="H96" s="12">
        <f t="shared" si="146"/>
        <v>14.651355056785714</v>
      </c>
      <c r="I96" s="12">
        <f t="shared" si="106"/>
        <v>1.1489390024804136</v>
      </c>
      <c r="J96" s="12">
        <f t="shared" si="147"/>
        <v>15.024633938968384</v>
      </c>
      <c r="K96" s="13">
        <f t="shared" si="148"/>
        <v>2.595885579364238E-2</v>
      </c>
      <c r="L96" s="13">
        <f t="shared" si="149"/>
        <v>63.70248616426327</v>
      </c>
      <c r="M96" s="13">
        <f t="shared" si="150"/>
        <v>8.5623816907631582E-4</v>
      </c>
      <c r="N96" s="13">
        <f t="shared" si="151"/>
        <v>1.3680070081032412E-2</v>
      </c>
      <c r="O96" s="13">
        <f t="shared" si="152"/>
        <v>65.829355760098522</v>
      </c>
      <c r="P96" s="13">
        <f t="shared" si="153"/>
        <v>1.4028603117617538E-2</v>
      </c>
      <c r="Q96" s="38">
        <v>866.20899999999995</v>
      </c>
      <c r="R96" s="38">
        <v>-170.47499999999999</v>
      </c>
      <c r="S96" s="38">
        <v>866.31100000000004</v>
      </c>
      <c r="T96" s="38">
        <v>-185.126</v>
      </c>
      <c r="U96" s="38">
        <v>888.899</v>
      </c>
      <c r="V96" s="38">
        <v>-169.35499999999999</v>
      </c>
      <c r="W96" s="38">
        <v>890.32299999999998</v>
      </c>
      <c r="X96" s="38">
        <v>-184.31200000000001</v>
      </c>
      <c r="Y96" s="38">
        <v>878.05100000000004</v>
      </c>
      <c r="Z96" s="38">
        <v>-177.86199999999999</v>
      </c>
      <c r="AA96" s="38">
        <v>878.11199999999997</v>
      </c>
      <c r="AB96" s="38">
        <v>-178.35</v>
      </c>
      <c r="AC96" s="38">
        <v>878.05100000000004</v>
      </c>
      <c r="AD96" s="38">
        <v>-177.435</v>
      </c>
      <c r="AE96" s="14" t="s">
        <v>215</v>
      </c>
      <c r="AF96" s="14" t="s">
        <v>214</v>
      </c>
      <c r="AG96" s="14" t="s">
        <v>223</v>
      </c>
      <c r="AH96" s="14" t="s">
        <v>223</v>
      </c>
      <c r="AI96" s="51" t="s">
        <v>223</v>
      </c>
      <c r="AJ96" s="55">
        <v>7.6007528937500698E-5</v>
      </c>
      <c r="AK96" s="55">
        <v>7.5299691990086203E-5</v>
      </c>
      <c r="AL96" s="55">
        <v>7.4620453846026706E-5</v>
      </c>
      <c r="AM96" s="55">
        <v>6.6736628420431394E-5</v>
      </c>
      <c r="AN96" s="51">
        <v>0.93423883804005103</v>
      </c>
    </row>
    <row r="97" spans="1:40" x14ac:dyDescent="0.35">
      <c r="A97" s="38" t="s">
        <v>128</v>
      </c>
      <c r="B97" s="14">
        <v>1</v>
      </c>
      <c r="C97" s="38">
        <v>60</v>
      </c>
      <c r="D97" s="14">
        <v>1071</v>
      </c>
      <c r="E97" s="12">
        <f t="shared" si="144"/>
        <v>29.491502115016132</v>
      </c>
      <c r="F97" s="12">
        <f t="shared" si="103"/>
        <v>1.1479209906471766</v>
      </c>
      <c r="G97" s="12">
        <f t="shared" si="145"/>
        <v>0.84600000000000364</v>
      </c>
      <c r="H97" s="12">
        <f t="shared" si="146"/>
        <v>16.040878030831099</v>
      </c>
      <c r="I97" s="12">
        <f t="shared" si="106"/>
        <v>1.2503526681098669</v>
      </c>
      <c r="J97" s="12">
        <f t="shared" si="147"/>
        <v>17.263920528083986</v>
      </c>
      <c r="K97" s="13">
        <f t="shared" si="148"/>
        <v>2.7536416540631308E-2</v>
      </c>
      <c r="L97" s="13">
        <f t="shared" si="149"/>
        <v>65.771027978559673</v>
      </c>
      <c r="M97" s="13">
        <f t="shared" si="150"/>
        <v>7.8991596638655799E-4</v>
      </c>
      <c r="N97" s="13">
        <f t="shared" si="151"/>
        <v>1.4977477152970214E-2</v>
      </c>
      <c r="O97" s="13">
        <f t="shared" si="152"/>
        <v>71.639930785617139</v>
      </c>
      <c r="P97" s="13">
        <f t="shared" si="153"/>
        <v>1.6119440268985982E-2</v>
      </c>
      <c r="Q97" s="38">
        <v>740.26499999999999</v>
      </c>
      <c r="R97" s="38">
        <v>-179.017</v>
      </c>
      <c r="S97" s="38">
        <v>741.04300000000001</v>
      </c>
      <c r="T97" s="38">
        <v>-195.03899999999999</v>
      </c>
      <c r="U97" s="38">
        <v>763.85199999999998</v>
      </c>
      <c r="V97" s="38">
        <v>-176.34700000000001</v>
      </c>
      <c r="W97" s="38">
        <v>765.96600000000001</v>
      </c>
      <c r="X97" s="38">
        <v>-193.48099999999999</v>
      </c>
      <c r="Y97" s="38">
        <v>752.98299999999995</v>
      </c>
      <c r="Z97" s="38">
        <v>-185.73500000000001</v>
      </c>
      <c r="AA97" s="38">
        <v>752.98299999999995</v>
      </c>
      <c r="AB97" s="38">
        <v>-186.12</v>
      </c>
      <c r="AC97" s="38">
        <v>752.98299999999995</v>
      </c>
      <c r="AD97" s="38">
        <v>-185.274</v>
      </c>
      <c r="AE97" s="14" t="s">
        <v>215</v>
      </c>
      <c r="AF97" s="14" t="s">
        <v>214</v>
      </c>
      <c r="AG97" s="14" t="s">
        <v>223</v>
      </c>
      <c r="AH97" s="14" t="s">
        <v>223</v>
      </c>
      <c r="AI97" s="51" t="s">
        <v>223</v>
      </c>
      <c r="AJ97" s="55">
        <v>8.9829255449456804E-5</v>
      </c>
      <c r="AK97" s="55">
        <v>8.65449412880617E-5</v>
      </c>
      <c r="AL97" s="55">
        <v>7.9134450730183095E-5</v>
      </c>
      <c r="AM97" s="55">
        <v>8.8787461389784603E-5</v>
      </c>
      <c r="AN97" s="51">
        <v>0.95207754436931802</v>
      </c>
    </row>
    <row r="98" spans="1:40" x14ac:dyDescent="0.35">
      <c r="A98" s="38" t="s">
        <v>128</v>
      </c>
      <c r="B98" s="14">
        <v>1</v>
      </c>
      <c r="C98" s="38">
        <v>70</v>
      </c>
      <c r="D98" s="14">
        <v>1071</v>
      </c>
      <c r="E98" s="12">
        <f t="shared" si="144"/>
        <v>27.792139608169805</v>
      </c>
      <c r="F98" s="12">
        <f t="shared" si="103"/>
        <v>1.2307052368208085</v>
      </c>
      <c r="G98" s="12">
        <f t="shared" si="145"/>
        <v>0.73441813703095327</v>
      </c>
      <c r="H98" s="12">
        <f t="shared" si="146"/>
        <v>15.527185997469092</v>
      </c>
      <c r="I98" s="12">
        <f t="shared" si="106"/>
        <v>1.2729673259917769</v>
      </c>
      <c r="J98" s="12">
        <f t="shared" si="147"/>
        <v>17.117323622576027</v>
      </c>
      <c r="K98" s="13">
        <f t="shared" si="148"/>
        <v>2.5949710185032497E-2</v>
      </c>
      <c r="L98" s="13">
        <f t="shared" si="149"/>
        <v>70.514215894480799</v>
      </c>
      <c r="M98" s="13">
        <f t="shared" si="150"/>
        <v>6.8573122038370984E-4</v>
      </c>
      <c r="N98" s="13">
        <f t="shared" si="151"/>
        <v>1.4497839400064511E-2</v>
      </c>
      <c r="O98" s="13">
        <f t="shared" si="152"/>
        <v>72.935655237382832</v>
      </c>
      <c r="P98" s="13">
        <f t="shared" si="153"/>
        <v>1.5982561739099933E-2</v>
      </c>
      <c r="Q98" s="38">
        <v>639.76099999999997</v>
      </c>
      <c r="R98" s="38">
        <v>-192.56899999999999</v>
      </c>
      <c r="S98" s="38">
        <v>642.64499999999998</v>
      </c>
      <c r="T98" s="38">
        <v>-207.82599999999999</v>
      </c>
      <c r="U98" s="38">
        <v>662.18100000000004</v>
      </c>
      <c r="V98" s="38">
        <v>-187.917</v>
      </c>
      <c r="W98" s="38">
        <v>664.69299999999998</v>
      </c>
      <c r="X98" s="38">
        <v>-204.84899999999999</v>
      </c>
      <c r="Y98" s="38">
        <v>652.04100000000005</v>
      </c>
      <c r="Z98" s="38">
        <v>-198.43</v>
      </c>
      <c r="AA98" s="38">
        <v>652.12199999999996</v>
      </c>
      <c r="AB98" s="38">
        <v>-198.762</v>
      </c>
      <c r="AC98" s="38">
        <v>651.96299999999997</v>
      </c>
      <c r="AD98" s="38">
        <v>-198.04499999999999</v>
      </c>
      <c r="AE98" s="14" t="s">
        <v>215</v>
      </c>
      <c r="AF98" s="14" t="s">
        <v>214</v>
      </c>
      <c r="AG98" s="14" t="s">
        <v>223</v>
      </c>
      <c r="AH98" s="14" t="s">
        <v>223</v>
      </c>
      <c r="AI98" s="51" t="s">
        <v>223</v>
      </c>
      <c r="AJ98" s="55">
        <v>8.6352247216969202E-5</v>
      </c>
      <c r="AK98" s="55">
        <v>7.4301108678766201E-5</v>
      </c>
      <c r="AL98" s="55">
        <v>7.8260334199039197E-5</v>
      </c>
      <c r="AM98" s="55">
        <v>7.4814258165139595E-5</v>
      </c>
      <c r="AN98" s="51">
        <v>0.95282536434237197</v>
      </c>
    </row>
    <row r="99" spans="1:40" x14ac:dyDescent="0.35">
      <c r="A99" s="38" t="s">
        <v>128</v>
      </c>
      <c r="B99" s="14">
        <v>1</v>
      </c>
      <c r="C99" s="38">
        <v>80</v>
      </c>
      <c r="D99" s="14">
        <v>1071</v>
      </c>
      <c r="E99" s="12">
        <f t="shared" si="144"/>
        <v>29.209482877997075</v>
      </c>
      <c r="F99" s="12">
        <f t="shared" si="103"/>
        <v>1.2454283815083496</v>
      </c>
      <c r="G99" s="12">
        <f t="shared" si="145"/>
        <v>0.69703730172781353</v>
      </c>
      <c r="H99" s="12">
        <f t="shared" si="146"/>
        <v>15.908980922736726</v>
      </c>
      <c r="I99" s="12">
        <f t="shared" si="106"/>
        <v>1.1453977604887846</v>
      </c>
      <c r="J99" s="12">
        <f t="shared" si="147"/>
        <v>17.05910141244258</v>
      </c>
      <c r="K99" s="13">
        <f t="shared" si="148"/>
        <v>2.7273093256766644E-2</v>
      </c>
      <c r="L99" s="13">
        <f t="shared" si="149"/>
        <v>71.357789946237361</v>
      </c>
      <c r="M99" s="13">
        <f t="shared" si="150"/>
        <v>6.5082847967116108E-4</v>
      </c>
      <c r="N99" s="13">
        <f t="shared" si="151"/>
        <v>1.4854323924123928E-2</v>
      </c>
      <c r="O99" s="13">
        <f t="shared" si="152"/>
        <v>65.626457539743683</v>
      </c>
      <c r="P99" s="13">
        <f t="shared" si="153"/>
        <v>1.5928199264652269E-2</v>
      </c>
      <c r="Q99" s="38">
        <v>537.56899999999996</v>
      </c>
      <c r="R99" s="38">
        <v>-211.30699999999999</v>
      </c>
      <c r="S99" s="38">
        <v>540.72400000000005</v>
      </c>
      <c r="T99" s="38">
        <v>-226.9</v>
      </c>
      <c r="U99" s="38">
        <v>561.36400000000003</v>
      </c>
      <c r="V99" s="38">
        <v>-205.809</v>
      </c>
      <c r="W99" s="38">
        <v>564.51800000000003</v>
      </c>
      <c r="X99" s="38">
        <v>-222.57400000000001</v>
      </c>
      <c r="Y99" s="38">
        <v>550.04700000000003</v>
      </c>
      <c r="Z99" s="38">
        <v>-217.13</v>
      </c>
      <c r="AA99" s="38">
        <v>550.10400000000004</v>
      </c>
      <c r="AB99" s="38">
        <v>-217.417</v>
      </c>
      <c r="AC99" s="38">
        <v>550.03899999999999</v>
      </c>
      <c r="AD99" s="38">
        <v>-216.72300000000001</v>
      </c>
      <c r="AE99" s="14" t="s">
        <v>215</v>
      </c>
      <c r="AF99" s="14" t="s">
        <v>214</v>
      </c>
      <c r="AG99" s="14" t="s">
        <v>223</v>
      </c>
      <c r="AH99" s="14" t="s">
        <v>223</v>
      </c>
      <c r="AI99" s="51" t="s">
        <v>223</v>
      </c>
      <c r="AJ99" s="55">
        <v>9.8268474710145598E-5</v>
      </c>
      <c r="AK99" s="55">
        <v>7.6805401463417896E-5</v>
      </c>
      <c r="AL99" s="55">
        <v>8.6062215735967993E-5</v>
      </c>
      <c r="AM99" s="55">
        <v>8.0668704082940395E-5</v>
      </c>
      <c r="AN99" s="51">
        <v>0.95234608076887395</v>
      </c>
    </row>
    <row r="100" spans="1:40" x14ac:dyDescent="0.35">
      <c r="A100" s="38" t="s">
        <v>128</v>
      </c>
      <c r="B100" s="14">
        <v>1</v>
      </c>
      <c r="C100" s="38">
        <v>90</v>
      </c>
      <c r="D100" s="14">
        <v>1071</v>
      </c>
      <c r="E100" s="12">
        <f t="shared" si="144"/>
        <v>27.5868535719462</v>
      </c>
      <c r="F100" s="12">
        <f t="shared" si="103"/>
        <v>1.3102633256621719</v>
      </c>
      <c r="G100" s="12">
        <f t="shared" si="145"/>
        <v>0.58563640597217315</v>
      </c>
      <c r="H100" s="12">
        <f t="shared" si="146"/>
        <v>16.108504399850389</v>
      </c>
      <c r="I100" s="12">
        <f t="shared" si="106"/>
        <v>1.2217347918769657</v>
      </c>
      <c r="J100" s="12">
        <f t="shared" si="147"/>
        <v>16.453918986065293</v>
      </c>
      <c r="K100" s="13">
        <f t="shared" si="148"/>
        <v>2.5758033213768627E-2</v>
      </c>
      <c r="L100" s="13">
        <f t="shared" si="149"/>
        <v>75.072558611217772</v>
      </c>
      <c r="M100" s="13">
        <f t="shared" si="150"/>
        <v>5.4681270398895723E-4</v>
      </c>
      <c r="N100" s="13">
        <f t="shared" si="151"/>
        <v>1.5040620354668898E-2</v>
      </c>
      <c r="O100" s="13">
        <f t="shared" si="152"/>
        <v>70.000247258844141</v>
      </c>
      <c r="P100" s="13">
        <f t="shared" si="153"/>
        <v>1.5363136308184214E-2</v>
      </c>
      <c r="Q100" s="38">
        <v>416.69499999999999</v>
      </c>
      <c r="R100" s="38">
        <v>-242.822</v>
      </c>
      <c r="S100" s="38">
        <v>420.58</v>
      </c>
      <c r="T100" s="38">
        <v>-258.45499999999998</v>
      </c>
      <c r="U100" s="38">
        <v>438.10700000000003</v>
      </c>
      <c r="V100" s="38">
        <v>-237.232</v>
      </c>
      <c r="W100" s="38">
        <v>442.27600000000001</v>
      </c>
      <c r="X100" s="38">
        <v>-253.149</v>
      </c>
      <c r="Y100" s="38">
        <v>428.80799999999999</v>
      </c>
      <c r="Z100" s="38">
        <v>-248.09899999999999</v>
      </c>
      <c r="AA100" s="38">
        <v>428.86799999999999</v>
      </c>
      <c r="AB100" s="38">
        <v>-248.40100000000001</v>
      </c>
      <c r="AC100" s="38">
        <v>428.74700000000001</v>
      </c>
      <c r="AD100" s="38">
        <v>-247.828</v>
      </c>
      <c r="AE100" s="14" t="s">
        <v>215</v>
      </c>
      <c r="AF100" s="14" t="s">
        <v>214</v>
      </c>
      <c r="AG100" s="14" t="s">
        <v>223</v>
      </c>
      <c r="AH100" s="14" t="s">
        <v>223</v>
      </c>
      <c r="AI100" s="51" t="s">
        <v>223</v>
      </c>
      <c r="AJ100" s="55">
        <v>8.4267565849869495E-5</v>
      </c>
      <c r="AK100" s="55">
        <v>7.3607388053260507E-5</v>
      </c>
      <c r="AL100" s="55">
        <v>7.6091069107381696E-5</v>
      </c>
      <c r="AM100" s="55">
        <v>7.5915096321753004E-5</v>
      </c>
      <c r="AN100" s="51">
        <v>0.96282634877222895</v>
      </c>
    </row>
    <row r="101" spans="1:40" x14ac:dyDescent="0.35">
      <c r="A101" s="38" t="s">
        <v>129</v>
      </c>
      <c r="B101" s="14">
        <v>1</v>
      </c>
      <c r="C101" s="38">
        <v>30</v>
      </c>
      <c r="D101" s="14">
        <v>1398</v>
      </c>
      <c r="E101" s="12">
        <f t="shared" ref="E101:E107" si="154">DIST2(Q101,R101,W101,X101)</f>
        <v>29.171287952539899</v>
      </c>
      <c r="F101" s="12">
        <f t="shared" si="103"/>
        <v>1.6509151731667415</v>
      </c>
      <c r="G101" s="12">
        <f t="shared" ref="G101:G107" si="155">DIST2(AA101,AB101,AC101,AD101)</f>
        <v>1.8344096843399089</v>
      </c>
      <c r="H101" s="12">
        <f t="shared" ref="H101:H107" si="156">DIST2(Q101,R101,S101,T101)</f>
        <v>22.016885247464039</v>
      </c>
      <c r="I101" s="12">
        <f t="shared" si="106"/>
        <v>1.4929733360547903</v>
      </c>
      <c r="J101" s="12">
        <f t="shared" ref="J101:J107" si="157">DIST2(U101,V101,W101,X101)</f>
        <v>20.570708301854868</v>
      </c>
      <c r="K101" s="13">
        <f t="shared" ref="K101:K107" si="158">E101/D101</f>
        <v>2.0866443456752433E-2</v>
      </c>
      <c r="L101" s="13">
        <f t="shared" ref="L101:L107" si="159">F101*180/PI()</f>
        <v>94.590471756563744</v>
      </c>
      <c r="M101" s="13">
        <f t="shared" ref="M101:M107" si="160">G101/D101</f>
        <v>1.3121671561801924E-3</v>
      </c>
      <c r="N101" s="13">
        <f t="shared" ref="N101:N107" si="161">H101/D101</f>
        <v>1.5748844955267554E-2</v>
      </c>
      <c r="O101" s="13">
        <f t="shared" ref="O101:O107" si="162">I101*180/PI()</f>
        <v>85.541071081506232</v>
      </c>
      <c r="P101" s="13">
        <f t="shared" ref="P101:P107" si="163">J101/D101</f>
        <v>1.4714383620783167E-2</v>
      </c>
      <c r="Q101" s="14">
        <v>1113.21</v>
      </c>
      <c r="R101" s="14">
        <v>75.695999999999998</v>
      </c>
      <c r="S101" s="14">
        <v>1116.25</v>
      </c>
      <c r="T101" s="14">
        <v>53.89</v>
      </c>
      <c r="U101" s="38">
        <v>1091.55</v>
      </c>
      <c r="V101" s="38">
        <v>72.521699999999996</v>
      </c>
      <c r="W101" s="14">
        <v>1095.69</v>
      </c>
      <c r="X101" s="14">
        <v>52.371899999999997</v>
      </c>
      <c r="Y101" s="14">
        <v>1104.71</v>
      </c>
      <c r="Z101" s="14">
        <v>63.110300000000002</v>
      </c>
      <c r="AA101" s="14">
        <v>1104.8</v>
      </c>
      <c r="AB101" s="14">
        <v>62.351399999999998</v>
      </c>
      <c r="AC101" s="14">
        <v>1104.3699999999999</v>
      </c>
      <c r="AD101" s="14">
        <v>64.134699999999995</v>
      </c>
      <c r="AE101" s="14" t="s">
        <v>215</v>
      </c>
      <c r="AF101" s="14" t="s">
        <v>214</v>
      </c>
      <c r="AG101" s="14" t="s">
        <v>223</v>
      </c>
      <c r="AH101" s="14" t="s">
        <v>223</v>
      </c>
      <c r="AI101" s="51" t="s">
        <v>223</v>
      </c>
      <c r="AJ101" s="55">
        <v>5.78713950646849E-5</v>
      </c>
      <c r="AK101" s="55">
        <v>5.7207089220038302E-5</v>
      </c>
      <c r="AL101" s="55">
        <v>5.6886126409892899E-5</v>
      </c>
      <c r="AM101" s="55">
        <v>4.8953192124043898E-5</v>
      </c>
      <c r="AN101" s="51">
        <v>0.91971422105345702</v>
      </c>
    </row>
    <row r="102" spans="1:40" x14ac:dyDescent="0.35">
      <c r="A102" s="38" t="s">
        <v>129</v>
      </c>
      <c r="B102" s="14">
        <v>1</v>
      </c>
      <c r="C102" s="38">
        <v>40</v>
      </c>
      <c r="D102" s="14">
        <v>1398</v>
      </c>
      <c r="E102" s="12">
        <f t="shared" si="154"/>
        <v>31.39303738984168</v>
      </c>
      <c r="F102" s="12">
        <f t="shared" si="103"/>
        <v>1.6462611989133813</v>
      </c>
      <c r="G102" s="12">
        <f t="shared" si="155"/>
        <v>2.7906000000000049</v>
      </c>
      <c r="H102" s="12">
        <f t="shared" si="156"/>
        <v>22.994546016175239</v>
      </c>
      <c r="I102" s="12">
        <f t="shared" si="106"/>
        <v>1.3386725450769497</v>
      </c>
      <c r="J102" s="12">
        <f t="shared" si="157"/>
        <v>20.187824236653142</v>
      </c>
      <c r="K102" s="13">
        <f t="shared" si="158"/>
        <v>2.245567767513711E-2</v>
      </c>
      <c r="L102" s="13">
        <f t="shared" si="159"/>
        <v>94.32381867388365</v>
      </c>
      <c r="M102" s="13">
        <f t="shared" si="160"/>
        <v>1.9961373390557976E-3</v>
      </c>
      <c r="N102" s="13">
        <f t="shared" si="161"/>
        <v>1.6448173116005178E-2</v>
      </c>
      <c r="O102" s="13">
        <f t="shared" si="162"/>
        <v>76.700286982945656</v>
      </c>
      <c r="P102" s="13">
        <f t="shared" si="163"/>
        <v>1.4440503745817698E-2</v>
      </c>
      <c r="Q102" s="14">
        <v>973.43</v>
      </c>
      <c r="R102" s="14">
        <v>72.168000000000006</v>
      </c>
      <c r="S102" s="14">
        <v>975.226</v>
      </c>
      <c r="T102" s="14">
        <v>49.243699999999997</v>
      </c>
      <c r="U102" s="38">
        <v>950.84799999999996</v>
      </c>
      <c r="V102" s="38">
        <v>70.371700000000004</v>
      </c>
      <c r="W102" s="14">
        <v>951.01900000000001</v>
      </c>
      <c r="X102" s="14">
        <v>50.184600000000003</v>
      </c>
      <c r="Y102" s="14">
        <v>963.66700000000003</v>
      </c>
      <c r="Z102" s="14">
        <v>61.011600000000001</v>
      </c>
      <c r="AA102" s="14">
        <v>963.70299999999997</v>
      </c>
      <c r="AB102" s="14">
        <v>59.561999999999998</v>
      </c>
      <c r="AC102" s="14">
        <v>963.70299999999997</v>
      </c>
      <c r="AD102" s="14">
        <v>62.352600000000002</v>
      </c>
      <c r="AE102" s="14" t="s">
        <v>215</v>
      </c>
      <c r="AF102" s="14" t="s">
        <v>214</v>
      </c>
      <c r="AG102" s="14" t="s">
        <v>223</v>
      </c>
      <c r="AH102" s="14" t="s">
        <v>223</v>
      </c>
      <c r="AI102" s="51" t="s">
        <v>223</v>
      </c>
      <c r="AJ102" s="55">
        <v>6.5794446235272001E-5</v>
      </c>
      <c r="AK102" s="55">
        <v>6.2383937839873105E-5</v>
      </c>
      <c r="AL102" s="55">
        <v>5.2235554342909701E-5</v>
      </c>
      <c r="AM102" s="55">
        <v>6.1126844142766806E-5</v>
      </c>
      <c r="AN102" s="51">
        <v>0.88441120009140695</v>
      </c>
    </row>
    <row r="103" spans="1:40" x14ac:dyDescent="0.35">
      <c r="A103" s="38" t="s">
        <v>129</v>
      </c>
      <c r="B103" s="14">
        <v>1</v>
      </c>
      <c r="C103" s="38">
        <v>50</v>
      </c>
      <c r="D103" s="14">
        <v>1398</v>
      </c>
      <c r="E103" s="12">
        <f t="shared" si="154"/>
        <v>22.765843587269025</v>
      </c>
      <c r="F103" s="12">
        <f t="shared" si="103"/>
        <v>1.5440959913675283</v>
      </c>
      <c r="G103" s="12">
        <f t="shared" si="155"/>
        <v>3.2749093132482217</v>
      </c>
      <c r="H103" s="12">
        <f t="shared" si="156"/>
        <v>21.214034535891557</v>
      </c>
      <c r="I103" s="12">
        <f t="shared" si="106"/>
        <v>1.4765748574848259</v>
      </c>
      <c r="J103" s="12">
        <f t="shared" si="157"/>
        <v>21.585542717522763</v>
      </c>
      <c r="K103" s="13">
        <f t="shared" si="158"/>
        <v>1.62845805345272E-2</v>
      </c>
      <c r="L103" s="13">
        <f t="shared" si="159"/>
        <v>88.470183468428175</v>
      </c>
      <c r="M103" s="13">
        <f t="shared" si="160"/>
        <v>2.3425674629815605E-3</v>
      </c>
      <c r="N103" s="13">
        <f t="shared" si="161"/>
        <v>1.5174559753856622E-2</v>
      </c>
      <c r="O103" s="13">
        <f t="shared" si="162"/>
        <v>84.601507469011551</v>
      </c>
      <c r="P103" s="13">
        <f t="shared" si="163"/>
        <v>1.5440302373049187E-2</v>
      </c>
      <c r="Q103" s="14">
        <v>811.72400000000005</v>
      </c>
      <c r="R103" s="14">
        <v>60.532899999999998</v>
      </c>
      <c r="S103" s="14">
        <v>813.33600000000001</v>
      </c>
      <c r="T103" s="14">
        <v>39.380200000000002</v>
      </c>
      <c r="U103" s="38">
        <v>835.91200000000003</v>
      </c>
      <c r="V103" s="38">
        <v>41.087600000000002</v>
      </c>
      <c r="W103" s="14">
        <v>834.39400000000001</v>
      </c>
      <c r="X103" s="14">
        <v>62.619700000000002</v>
      </c>
      <c r="Y103" s="14">
        <v>823.29600000000005</v>
      </c>
      <c r="Z103" s="14">
        <v>51.616500000000002</v>
      </c>
      <c r="AA103" s="14">
        <v>823.67499999999995</v>
      </c>
      <c r="AB103" s="14">
        <v>50.003900000000002</v>
      </c>
      <c r="AC103" s="14">
        <v>823.10599999999999</v>
      </c>
      <c r="AD103" s="14">
        <v>53.228999999999999</v>
      </c>
      <c r="AE103" s="14" t="s">
        <v>215</v>
      </c>
      <c r="AF103" s="14" t="s">
        <v>214</v>
      </c>
      <c r="AG103" s="14" t="s">
        <v>223</v>
      </c>
      <c r="AH103" s="14" t="s">
        <v>223</v>
      </c>
      <c r="AI103" s="51" t="s">
        <v>223</v>
      </c>
      <c r="AJ103" s="55">
        <v>6.5407690375172996E-5</v>
      </c>
      <c r="AK103" s="55">
        <v>5.8945286542598201E-5</v>
      </c>
      <c r="AL103" s="55">
        <v>1.14253939820014E-5</v>
      </c>
      <c r="AM103" s="55">
        <v>4.2364106653482896E-6</v>
      </c>
      <c r="AN103" s="51">
        <v>0.12594635878887001</v>
      </c>
    </row>
    <row r="104" spans="1:40" x14ac:dyDescent="0.35">
      <c r="A104" s="38" t="s">
        <v>129</v>
      </c>
      <c r="B104" s="14">
        <v>1</v>
      </c>
      <c r="C104" s="38">
        <v>60</v>
      </c>
      <c r="D104" s="14">
        <v>1398</v>
      </c>
      <c r="E104" s="12">
        <f t="shared" si="154"/>
        <v>32.177358487141213</v>
      </c>
      <c r="F104" s="12">
        <f t="shared" si="103"/>
        <v>1.4723292821353247</v>
      </c>
      <c r="G104" s="12">
        <f t="shared" si="155"/>
        <v>2.6323673451857039</v>
      </c>
      <c r="H104" s="12">
        <f t="shared" si="156"/>
        <v>21.210695763222859</v>
      </c>
      <c r="I104" s="12">
        <f t="shared" si="106"/>
        <v>1.5393219956587685</v>
      </c>
      <c r="J104" s="12">
        <f t="shared" si="157"/>
        <v>22.867897009563425</v>
      </c>
      <c r="K104" s="13">
        <f t="shared" si="158"/>
        <v>2.3016708502962242E-2</v>
      </c>
      <c r="L104" s="13">
        <f t="shared" si="159"/>
        <v>84.358253919880326</v>
      </c>
      <c r="M104" s="13">
        <f t="shared" si="160"/>
        <v>1.8829523213059398E-3</v>
      </c>
      <c r="N104" s="13">
        <f t="shared" si="161"/>
        <v>1.5172171504451258E-2</v>
      </c>
      <c r="O104" s="13">
        <f t="shared" si="162"/>
        <v>88.196653662902662</v>
      </c>
      <c r="P104" s="13">
        <f t="shared" si="163"/>
        <v>1.6357580121290002E-2</v>
      </c>
      <c r="Q104" s="14">
        <v>692.62300000000005</v>
      </c>
      <c r="R104" s="14">
        <v>52.495100000000001</v>
      </c>
      <c r="S104" s="14">
        <v>693.81100000000004</v>
      </c>
      <c r="T104" s="14">
        <v>31.317699999999999</v>
      </c>
      <c r="U104" s="38">
        <v>715.53200000000004</v>
      </c>
      <c r="V104" s="38">
        <v>55.165399999999998</v>
      </c>
      <c r="W104" s="14">
        <v>717.75900000000001</v>
      </c>
      <c r="X104" s="14">
        <v>32.406199999999998</v>
      </c>
      <c r="Y104" s="14">
        <v>704.88800000000003</v>
      </c>
      <c r="Z104" s="14">
        <v>42.790199999999999</v>
      </c>
      <c r="AA104" s="14">
        <v>704.94</v>
      </c>
      <c r="AB104" s="14">
        <v>41.502000000000002</v>
      </c>
      <c r="AC104" s="14">
        <v>704.78499999999997</v>
      </c>
      <c r="AD104" s="14">
        <v>44.129800000000003</v>
      </c>
      <c r="AE104" s="14" t="s">
        <v>215</v>
      </c>
      <c r="AF104" s="14" t="s">
        <v>214</v>
      </c>
      <c r="AG104" s="14" t="s">
        <v>223</v>
      </c>
      <c r="AH104" s="14" t="s">
        <v>223</v>
      </c>
      <c r="AI104" s="51" t="s">
        <v>223</v>
      </c>
      <c r="AJ104" s="55">
        <v>6.9025773381552603E-5</v>
      </c>
      <c r="AK104" s="55">
        <v>6.3500532592033096E-5</v>
      </c>
      <c r="AL104" s="55">
        <v>5.7336366048166002E-5</v>
      </c>
      <c r="AM104" s="55">
        <v>5.9296772801324598E-5</v>
      </c>
      <c r="AN104" s="51">
        <v>0.88007537818746095</v>
      </c>
    </row>
    <row r="105" spans="1:40" x14ac:dyDescent="0.35">
      <c r="A105" s="38" t="s">
        <v>129</v>
      </c>
      <c r="B105" s="14">
        <v>1</v>
      </c>
      <c r="C105" s="38">
        <v>70</v>
      </c>
      <c r="D105" s="14">
        <v>1398</v>
      </c>
      <c r="E105" s="12">
        <f t="shared" si="154"/>
        <v>32.3266712799199</v>
      </c>
      <c r="F105" s="12">
        <f t="shared" si="103"/>
        <v>1.3484293560273193</v>
      </c>
      <c r="G105" s="12">
        <f t="shared" si="155"/>
        <v>2.4584254635843656</v>
      </c>
      <c r="H105" s="12">
        <f t="shared" si="156"/>
        <v>19.877473179456182</v>
      </c>
      <c r="I105" s="12">
        <f t="shared" si="106"/>
        <v>1.438379581579655</v>
      </c>
      <c r="J105" s="12">
        <f t="shared" si="157"/>
        <v>21.787605352814708</v>
      </c>
      <c r="K105" s="13">
        <f t="shared" si="158"/>
        <v>2.3123513075765309E-2</v>
      </c>
      <c r="L105" s="13">
        <f t="shared" si="159"/>
        <v>77.259311071908868</v>
      </c>
      <c r="M105" s="13">
        <f t="shared" si="160"/>
        <v>1.7585303745238667E-3</v>
      </c>
      <c r="N105" s="13">
        <f t="shared" si="161"/>
        <v>1.4218507281442191E-2</v>
      </c>
      <c r="O105" s="13">
        <f t="shared" si="162"/>
        <v>82.413079362307528</v>
      </c>
      <c r="P105" s="13">
        <f t="shared" si="163"/>
        <v>1.5584839308165028E-2</v>
      </c>
      <c r="Q105" s="14">
        <v>543.01700000000005</v>
      </c>
      <c r="R105" s="14">
        <v>37.364199999999997</v>
      </c>
      <c r="S105" s="14">
        <v>544.02300000000002</v>
      </c>
      <c r="T105" s="14">
        <v>17.5122</v>
      </c>
      <c r="U105" s="38">
        <v>566.803</v>
      </c>
      <c r="V105" s="38">
        <v>40.749099999999999</v>
      </c>
      <c r="W105" s="14">
        <v>569.73</v>
      </c>
      <c r="X105" s="14">
        <v>19.158999999999999</v>
      </c>
      <c r="Y105" s="14">
        <v>555.89800000000002</v>
      </c>
      <c r="Z105" s="14">
        <v>28.618300000000001</v>
      </c>
      <c r="AA105" s="14">
        <v>555.90300000000002</v>
      </c>
      <c r="AB105" s="14">
        <v>27.510899999999999</v>
      </c>
      <c r="AC105" s="14">
        <v>555.83199999999999</v>
      </c>
      <c r="AD105" s="14">
        <v>29.968299999999999</v>
      </c>
      <c r="AE105" s="14" t="s">
        <v>215</v>
      </c>
      <c r="AF105" s="14" t="s">
        <v>214</v>
      </c>
      <c r="AG105" s="14" t="s">
        <v>223</v>
      </c>
      <c r="AH105" s="14" t="s">
        <v>223</v>
      </c>
      <c r="AI105" s="51" t="s">
        <v>223</v>
      </c>
      <c r="AJ105" s="55">
        <v>6.9317012270748396E-5</v>
      </c>
      <c r="AK105" s="55">
        <v>6.3168934519167904E-5</v>
      </c>
      <c r="AL105" s="55">
        <v>5.6103131926663897E-5</v>
      </c>
      <c r="AM105" s="55">
        <v>6.07532006944316E-5</v>
      </c>
      <c r="AN105" s="51">
        <v>0.88202813545496495</v>
      </c>
    </row>
    <row r="106" spans="1:40" x14ac:dyDescent="0.35">
      <c r="A106" s="38" t="s">
        <v>129</v>
      </c>
      <c r="B106" s="14">
        <v>1</v>
      </c>
      <c r="C106" s="38">
        <v>80</v>
      </c>
      <c r="D106" s="14">
        <v>1398</v>
      </c>
      <c r="E106" s="12">
        <f t="shared" si="154"/>
        <v>30.451088473197487</v>
      </c>
      <c r="F106" s="12">
        <f t="shared" si="103"/>
        <v>1.2870635089703371</v>
      </c>
      <c r="G106" s="12">
        <f t="shared" si="155"/>
        <v>2.1293818938837652</v>
      </c>
      <c r="H106" s="12">
        <f t="shared" si="156"/>
        <v>17.63733740497414</v>
      </c>
      <c r="I106" s="12">
        <f t="shared" si="106"/>
        <v>1.3471712161987253</v>
      </c>
      <c r="J106" s="12">
        <f t="shared" si="157"/>
        <v>19.87353930487723</v>
      </c>
      <c r="K106" s="13">
        <f t="shared" si="158"/>
        <v>2.1781894472959577E-2</v>
      </c>
      <c r="L106" s="13">
        <f t="shared" si="159"/>
        <v>73.743307029298478</v>
      </c>
      <c r="M106" s="13">
        <f t="shared" si="160"/>
        <v>1.5231630142230081E-3</v>
      </c>
      <c r="N106" s="13">
        <f t="shared" si="161"/>
        <v>1.2616121176662476E-2</v>
      </c>
      <c r="O106" s="13">
        <f t="shared" si="162"/>
        <v>77.187224969693119</v>
      </c>
      <c r="P106" s="13">
        <f t="shared" si="163"/>
        <v>1.4215693351128204E-2</v>
      </c>
      <c r="Q106" s="14">
        <v>414.25200000000001</v>
      </c>
      <c r="R106" s="14">
        <v>19.708400000000001</v>
      </c>
      <c r="S106" s="14">
        <v>416.214</v>
      </c>
      <c r="T106" s="14">
        <v>2.1805300000000001</v>
      </c>
      <c r="U106" s="38">
        <v>438.108</v>
      </c>
      <c r="V106" s="38">
        <v>23.821400000000001</v>
      </c>
      <c r="W106" s="14">
        <v>440.38600000000002</v>
      </c>
      <c r="X106" s="14">
        <v>4.0788500000000001</v>
      </c>
      <c r="Y106" s="14">
        <v>426.86599999999999</v>
      </c>
      <c r="Z106" s="14">
        <v>12.638299999999999</v>
      </c>
      <c r="AA106" s="14">
        <v>427.05</v>
      </c>
      <c r="AB106" s="14">
        <v>11.686500000000001</v>
      </c>
      <c r="AC106" s="14">
        <v>426.83499999999998</v>
      </c>
      <c r="AD106" s="14">
        <v>13.805</v>
      </c>
      <c r="AE106" s="14" t="s">
        <v>215</v>
      </c>
      <c r="AF106" s="14" t="s">
        <v>214</v>
      </c>
      <c r="AG106" s="14" t="s">
        <v>223</v>
      </c>
      <c r="AH106" s="14" t="s">
        <v>223</v>
      </c>
      <c r="AI106" s="51" t="s">
        <v>223</v>
      </c>
      <c r="AJ106" s="55">
        <v>6.3298286562041595E-5</v>
      </c>
      <c r="AK106" s="55">
        <v>5.30148873978972E-5</v>
      </c>
      <c r="AL106" s="55">
        <v>4.9269595590266903E-5</v>
      </c>
      <c r="AM106" s="55">
        <v>5.3522227574237497E-5</v>
      </c>
      <c r="AN106" s="51">
        <v>0.88375047868531698</v>
      </c>
    </row>
    <row r="107" spans="1:40" x14ac:dyDescent="0.35">
      <c r="A107" s="38" t="s">
        <v>129</v>
      </c>
      <c r="B107" s="14">
        <v>1</v>
      </c>
      <c r="C107" s="38">
        <v>90</v>
      </c>
      <c r="D107" s="14">
        <v>1398</v>
      </c>
      <c r="E107" s="12">
        <f t="shared" si="154"/>
        <v>30.330002681584148</v>
      </c>
      <c r="F107" s="12">
        <f t="shared" si="103"/>
        <v>1.1852724712755125</v>
      </c>
      <c r="G107" s="12">
        <f t="shared" si="155"/>
        <v>1.9155411767957393</v>
      </c>
      <c r="H107" s="12">
        <f t="shared" si="156"/>
        <v>16.818222892710747</v>
      </c>
      <c r="I107" s="12">
        <f t="shared" si="106"/>
        <v>1.3102847219636629</v>
      </c>
      <c r="J107" s="12">
        <f t="shared" si="157"/>
        <v>17.947784105401119</v>
      </c>
      <c r="K107" s="13">
        <f t="shared" si="158"/>
        <v>2.1695280888114555E-2</v>
      </c>
      <c r="L107" s="13">
        <f t="shared" si="159"/>
        <v>67.911110177127966</v>
      </c>
      <c r="M107" s="13">
        <f t="shared" si="160"/>
        <v>1.370201127893948E-3</v>
      </c>
      <c r="N107" s="13">
        <f t="shared" si="161"/>
        <v>1.2030202355300963E-2</v>
      </c>
      <c r="O107" s="13">
        <f t="shared" si="162"/>
        <v>75.073784528990402</v>
      </c>
      <c r="P107" s="13">
        <f t="shared" si="163"/>
        <v>1.2838186055365608E-2</v>
      </c>
      <c r="Q107" s="14">
        <v>260.49799999999999</v>
      </c>
      <c r="R107" s="14">
        <v>-5.4472699999999996</v>
      </c>
      <c r="S107" s="14">
        <v>264.38099999999997</v>
      </c>
      <c r="T107" s="14">
        <v>-21.8111</v>
      </c>
      <c r="U107" s="38">
        <v>284.221</v>
      </c>
      <c r="V107" s="38">
        <v>-0.41373300000000002</v>
      </c>
      <c r="W107" s="14">
        <v>288.14100000000002</v>
      </c>
      <c r="X107" s="14">
        <v>-17.9282</v>
      </c>
      <c r="Y107" s="14">
        <v>274.666</v>
      </c>
      <c r="Z107" s="14">
        <v>-11.097</v>
      </c>
      <c r="AA107" s="14">
        <v>274.80099999999999</v>
      </c>
      <c r="AB107" s="14">
        <v>-11.9984</v>
      </c>
      <c r="AC107" s="14">
        <v>274.50799999999998</v>
      </c>
      <c r="AD107" s="14">
        <v>-10.105399999999999</v>
      </c>
      <c r="AE107" s="14" t="s">
        <v>215</v>
      </c>
      <c r="AF107" s="14" t="s">
        <v>214</v>
      </c>
      <c r="AG107" s="14" t="s">
        <v>223</v>
      </c>
      <c r="AH107" s="14" t="s">
        <v>223</v>
      </c>
      <c r="AI107" s="51" t="s">
        <v>223</v>
      </c>
      <c r="AJ107" s="55">
        <v>5.35276070927506E-5</v>
      </c>
      <c r="AK107" s="55">
        <v>5.37004738656901E-5</v>
      </c>
      <c r="AL107" s="55">
        <v>4.6311988555078702E-5</v>
      </c>
      <c r="AM107" s="55">
        <v>4.9296341493365897E-5</v>
      </c>
      <c r="AN107" s="51">
        <v>0.89163518729296598</v>
      </c>
    </row>
    <row r="108" spans="1:40" x14ac:dyDescent="0.35">
      <c r="A108" s="38" t="s">
        <v>130</v>
      </c>
      <c r="B108" s="14">
        <v>1</v>
      </c>
      <c r="C108" s="38">
        <v>30</v>
      </c>
      <c r="D108" s="14">
        <v>1401</v>
      </c>
      <c r="E108" s="12">
        <f t="shared" ref="E108:E114" si="164">DIST2(Q108,R108,W108,X108)</f>
        <v>47.47363769504085</v>
      </c>
      <c r="F108" s="12">
        <f t="shared" si="103"/>
        <v>1.1350189979834429</v>
      </c>
      <c r="G108" s="12">
        <f t="shared" ref="G108:G114" si="165">DIST2(AA108,AB108,AC108,AD108)</f>
        <v>1.1015062414711752</v>
      </c>
      <c r="H108" s="12">
        <f t="shared" ref="H108:H114" si="166">DIST2(Q108,R108,S108,T108)</f>
        <v>26.195652311022911</v>
      </c>
      <c r="I108" s="12">
        <f t="shared" si="106"/>
        <v>1.1848480285615581</v>
      </c>
      <c r="J108" s="12">
        <f t="shared" ref="J108:J114" si="167">DIST2(U108,V108,W108,X108)</f>
        <v>25.479223398683089</v>
      </c>
      <c r="K108" s="13">
        <f t="shared" ref="K108:K114" si="168">E108/D108</f>
        <v>3.388553725556092E-2</v>
      </c>
      <c r="L108" s="13">
        <f t="shared" ref="L108:L114" si="169">F108*180/PI()</f>
        <v>65.031798251618966</v>
      </c>
      <c r="M108" s="13">
        <f t="shared" ref="M108:M114" si="170">G108/D108</f>
        <v>7.8622858063609935E-4</v>
      </c>
      <c r="N108" s="13">
        <f t="shared" ref="N108:N114" si="171">H108/D108</f>
        <v>1.8697824633135553E-2</v>
      </c>
      <c r="O108" s="13">
        <f t="shared" ref="O108:O114" si="172">I108*180/PI()</f>
        <v>67.886791400973294</v>
      </c>
      <c r="P108" s="13">
        <f t="shared" ref="P108:P114" si="173">J108/D108</f>
        <v>1.8186454959802346E-2</v>
      </c>
      <c r="Q108" s="14">
        <v>1378.94</v>
      </c>
      <c r="R108" s="14">
        <v>-104.39</v>
      </c>
      <c r="S108" s="14">
        <v>1374.95</v>
      </c>
      <c r="T108" s="14">
        <v>-130.28</v>
      </c>
      <c r="U108" s="38">
        <v>1417.53</v>
      </c>
      <c r="V108" s="38">
        <v>-110.681</v>
      </c>
      <c r="W108" s="14">
        <v>1414.39</v>
      </c>
      <c r="X108" s="14">
        <v>-135.96600000000001</v>
      </c>
      <c r="Y108" s="14">
        <v>1397.24</v>
      </c>
      <c r="Z108" s="14">
        <v>-120.542</v>
      </c>
      <c r="AA108" s="14">
        <v>1397.35</v>
      </c>
      <c r="AB108" s="14">
        <v>-121.145</v>
      </c>
      <c r="AC108" s="14">
        <v>1397.24</v>
      </c>
      <c r="AD108" s="14">
        <v>-120.04900000000001</v>
      </c>
      <c r="AE108" s="14" t="s">
        <v>213</v>
      </c>
      <c r="AF108" s="14" t="s">
        <v>214</v>
      </c>
      <c r="AG108" s="14" t="s">
        <v>223</v>
      </c>
      <c r="AH108" s="14" t="s">
        <v>223</v>
      </c>
      <c r="AI108" s="51" t="s">
        <v>223</v>
      </c>
      <c r="AJ108" s="51">
        <v>1.2280132066368399E-4</v>
      </c>
      <c r="AK108" s="51">
        <v>1.3710851991618101E-4</v>
      </c>
      <c r="AL108" s="51">
        <v>1.24606496022775E-4</v>
      </c>
      <c r="AM108" s="51">
        <v>1.24223189207668E-4</v>
      </c>
      <c r="AN108" s="51">
        <v>0.95736923494431203</v>
      </c>
    </row>
    <row r="109" spans="1:40" x14ac:dyDescent="0.35">
      <c r="A109" s="38" t="s">
        <v>130</v>
      </c>
      <c r="B109" s="14">
        <v>1</v>
      </c>
      <c r="C109" s="38">
        <v>40</v>
      </c>
      <c r="D109" s="14">
        <v>1401</v>
      </c>
      <c r="E109" s="12">
        <f t="shared" si="164"/>
        <v>42.817324732986457</v>
      </c>
      <c r="F109" s="12">
        <f t="shared" si="103"/>
        <v>1.1018218685068313</v>
      </c>
      <c r="G109" s="12">
        <f t="shared" si="165"/>
        <v>2.7472895733795641</v>
      </c>
      <c r="H109" s="12">
        <f t="shared" si="166"/>
        <v>23.224992066521772</v>
      </c>
      <c r="I109" s="12">
        <f t="shared" si="106"/>
        <v>1.1453536633911825</v>
      </c>
      <c r="J109" s="12">
        <f t="shared" si="167"/>
        <v>21.724220511677718</v>
      </c>
      <c r="K109" s="13">
        <f t="shared" si="168"/>
        <v>3.0561973399704824E-2</v>
      </c>
      <c r="L109" s="13">
        <f t="shared" si="169"/>
        <v>63.129742840659794</v>
      </c>
      <c r="M109" s="13">
        <f t="shared" si="170"/>
        <v>1.9609490174015446E-3</v>
      </c>
      <c r="N109" s="13">
        <f t="shared" si="171"/>
        <v>1.6577439019644376E-2</v>
      </c>
      <c r="O109" s="13">
        <f t="shared" si="172"/>
        <v>65.623930962162305</v>
      </c>
      <c r="P109" s="13">
        <f t="shared" si="173"/>
        <v>1.5506224490847764E-2</v>
      </c>
      <c r="Q109" s="14">
        <v>1231.8599999999999</v>
      </c>
      <c r="R109" s="14">
        <v>-79.6053</v>
      </c>
      <c r="S109" s="14">
        <v>1228.94</v>
      </c>
      <c r="T109" s="14">
        <v>-102.646</v>
      </c>
      <c r="U109" s="38">
        <v>1266.8599999999999</v>
      </c>
      <c r="V109" s="38">
        <v>-85.875799999999998</v>
      </c>
      <c r="W109" s="14">
        <v>1264.3800000000001</v>
      </c>
      <c r="X109" s="14">
        <v>-107.458</v>
      </c>
      <c r="Y109" s="14">
        <v>1249.2</v>
      </c>
      <c r="Z109" s="14">
        <v>-93.061999999999998</v>
      </c>
      <c r="AA109" s="14">
        <v>1249.1199999999999</v>
      </c>
      <c r="AB109" s="14">
        <v>-94.372500000000002</v>
      </c>
      <c r="AC109" s="14">
        <v>1249.32</v>
      </c>
      <c r="AD109" s="14">
        <v>-91.632499999999993</v>
      </c>
      <c r="AE109" s="14" t="s">
        <v>213</v>
      </c>
      <c r="AF109" s="14" t="s">
        <v>214</v>
      </c>
      <c r="AG109" s="14" t="s">
        <v>223</v>
      </c>
      <c r="AH109" s="14" t="s">
        <v>223</v>
      </c>
      <c r="AI109" s="51" t="s">
        <v>223</v>
      </c>
      <c r="AJ109" s="55">
        <v>9.2551378361840694E-5</v>
      </c>
      <c r="AK109" s="51">
        <v>1.11783951098456E-4</v>
      </c>
      <c r="AL109" s="55">
        <v>7.9343007773075195E-5</v>
      </c>
      <c r="AM109" s="55">
        <v>9.9429081195699306E-5</v>
      </c>
      <c r="AN109" s="51">
        <v>0.87489564061662095</v>
      </c>
    </row>
    <row r="110" spans="1:40" x14ac:dyDescent="0.35">
      <c r="A110" s="38" t="s">
        <v>130</v>
      </c>
      <c r="B110" s="14">
        <v>1</v>
      </c>
      <c r="C110" s="38">
        <v>50</v>
      </c>
      <c r="D110" s="14">
        <v>1401</v>
      </c>
      <c r="E110" s="12">
        <f t="shared" si="164"/>
        <v>43.713936401221112</v>
      </c>
      <c r="F110" s="12">
        <f t="shared" si="103"/>
        <v>0.92788094314050551</v>
      </c>
      <c r="G110" s="12">
        <f t="shared" si="165"/>
        <v>3.0777602262034627</v>
      </c>
      <c r="H110" s="12">
        <f t="shared" si="166"/>
        <v>21.427294304461299</v>
      </c>
      <c r="I110" s="12">
        <f t="shared" si="106"/>
        <v>1.1683495951049279</v>
      </c>
      <c r="J110" s="12">
        <f t="shared" si="167"/>
        <v>21.147912740741099</v>
      </c>
      <c r="K110" s="13">
        <f t="shared" si="168"/>
        <v>3.1201953177174242E-2</v>
      </c>
      <c r="L110" s="13">
        <f t="shared" si="169"/>
        <v>53.163661932569283</v>
      </c>
      <c r="M110" s="13">
        <f t="shared" si="170"/>
        <v>2.1968309965763474E-3</v>
      </c>
      <c r="N110" s="13">
        <f t="shared" si="171"/>
        <v>1.5294285727666879E-2</v>
      </c>
      <c r="O110" s="13">
        <f t="shared" si="172"/>
        <v>66.941500795330953</v>
      </c>
      <c r="P110" s="13">
        <f t="shared" si="173"/>
        <v>1.5094869907738114E-2</v>
      </c>
      <c r="Q110" s="14">
        <v>1120.23</v>
      </c>
      <c r="R110" s="14">
        <v>-68.230199999999996</v>
      </c>
      <c r="S110" s="14">
        <v>1118.1500000000001</v>
      </c>
      <c r="T110" s="14">
        <v>-89.556299999999993</v>
      </c>
      <c r="U110" s="38">
        <v>1156.98</v>
      </c>
      <c r="V110" s="38">
        <v>-72.714200000000005</v>
      </c>
      <c r="W110" s="14">
        <v>1155.67</v>
      </c>
      <c r="X110" s="14">
        <v>-93.8215</v>
      </c>
      <c r="Y110" s="14">
        <v>1140.46</v>
      </c>
      <c r="Z110" s="14">
        <v>-81.335400000000007</v>
      </c>
      <c r="AA110" s="14">
        <v>1140.7</v>
      </c>
      <c r="AB110" s="14">
        <v>-82.764200000000002</v>
      </c>
      <c r="AC110" s="14">
        <v>1140.22</v>
      </c>
      <c r="AD110" s="14">
        <v>-79.724100000000007</v>
      </c>
      <c r="AE110" s="14" t="s">
        <v>213</v>
      </c>
      <c r="AF110" s="14" t="s">
        <v>214</v>
      </c>
      <c r="AG110" s="14" t="s">
        <v>223</v>
      </c>
      <c r="AH110" s="14" t="s">
        <v>223</v>
      </c>
      <c r="AI110" s="51" t="s">
        <v>223</v>
      </c>
      <c r="AJ110" s="55">
        <v>8.5948301432493696E-5</v>
      </c>
      <c r="AK110" s="51">
        <v>1.16844707894483E-4</v>
      </c>
      <c r="AL110" s="55">
        <v>8.4768059777837898E-5</v>
      </c>
      <c r="AM110" s="55">
        <v>8.9418094855260301E-5</v>
      </c>
      <c r="AN110" s="51">
        <v>0.85893569611290699</v>
      </c>
    </row>
    <row r="111" spans="1:40" x14ac:dyDescent="0.35">
      <c r="A111" s="38" t="s">
        <v>130</v>
      </c>
      <c r="B111" s="14">
        <v>1</v>
      </c>
      <c r="C111" s="38">
        <v>60</v>
      </c>
      <c r="D111" s="14">
        <v>1401</v>
      </c>
      <c r="E111" s="12">
        <f t="shared" si="164"/>
        <v>44.216449871625827</v>
      </c>
      <c r="F111" s="12">
        <f t="shared" si="103"/>
        <v>1.0982072537484759</v>
      </c>
      <c r="G111" s="12">
        <f t="shared" si="165"/>
        <v>4.4286080251022284</v>
      </c>
      <c r="H111" s="12">
        <f t="shared" si="166"/>
        <v>24.060756206944127</v>
      </c>
      <c r="I111" s="12">
        <f t="shared" si="106"/>
        <v>1.1311675425464802</v>
      </c>
      <c r="J111" s="12">
        <f t="shared" si="167"/>
        <v>22.590208002805117</v>
      </c>
      <c r="K111" s="13">
        <f t="shared" si="168"/>
        <v>3.1560635168897809E-2</v>
      </c>
      <c r="L111" s="13">
        <f t="shared" si="169"/>
        <v>62.922640670440323</v>
      </c>
      <c r="M111" s="13">
        <f t="shared" si="170"/>
        <v>3.1610335653834607E-3</v>
      </c>
      <c r="N111" s="13">
        <f t="shared" si="171"/>
        <v>1.7173987299745987E-2</v>
      </c>
      <c r="O111" s="13">
        <f t="shared" si="172"/>
        <v>64.8111261100983</v>
      </c>
      <c r="P111" s="13">
        <f t="shared" si="173"/>
        <v>1.6124345469525424E-2</v>
      </c>
      <c r="Q111" s="14">
        <v>967.447</v>
      </c>
      <c r="R111" s="14">
        <v>-70.131900000000002</v>
      </c>
      <c r="S111" s="14">
        <v>970.35400000000004</v>
      </c>
      <c r="T111" s="14">
        <v>-94.016400000000004</v>
      </c>
      <c r="U111" s="38">
        <v>1004.47</v>
      </c>
      <c r="V111" s="38">
        <v>-66.214299999999994</v>
      </c>
      <c r="W111" s="14">
        <v>1007.63</v>
      </c>
      <c r="X111" s="14">
        <v>-88.582400000000007</v>
      </c>
      <c r="Y111" s="14">
        <v>988.35900000000004</v>
      </c>
      <c r="Z111" s="14">
        <v>-79.270700000000005</v>
      </c>
      <c r="AA111" s="14">
        <v>988.65099999999995</v>
      </c>
      <c r="AB111" s="14">
        <v>-81.465599999999995</v>
      </c>
      <c r="AC111" s="14">
        <v>988.06600000000003</v>
      </c>
      <c r="AD111" s="14">
        <v>-77.075800000000001</v>
      </c>
      <c r="AE111" s="14" t="s">
        <v>213</v>
      </c>
      <c r="AF111" s="14" t="s">
        <v>214</v>
      </c>
      <c r="AG111" s="14" t="s">
        <v>223</v>
      </c>
      <c r="AH111" s="14" t="s">
        <v>223</v>
      </c>
      <c r="AI111" s="51" t="s">
        <v>223</v>
      </c>
      <c r="AJ111" s="51">
        <v>1.02310596718669E-4</v>
      </c>
      <c r="AK111" s="51">
        <v>1.2046717227064799E-4</v>
      </c>
      <c r="AL111" s="55">
        <v>8.6066036266539602E-5</v>
      </c>
      <c r="AM111" s="55">
        <v>9.3849993657023906E-5</v>
      </c>
      <c r="AN111" s="51">
        <v>0.80760315869843902</v>
      </c>
    </row>
    <row r="112" spans="1:40" x14ac:dyDescent="0.35">
      <c r="A112" s="38" t="s">
        <v>130</v>
      </c>
      <c r="B112" s="14">
        <v>1</v>
      </c>
      <c r="C112" s="38">
        <v>70</v>
      </c>
      <c r="D112" s="14">
        <v>1401</v>
      </c>
      <c r="E112" s="12">
        <f t="shared" si="164"/>
        <v>43.990173630027918</v>
      </c>
      <c r="F112" s="12">
        <f t="shared" si="103"/>
        <v>1.0987951370586004</v>
      </c>
      <c r="G112" s="12">
        <f t="shared" si="165"/>
        <v>4.0771393157457867</v>
      </c>
      <c r="H112" s="12">
        <f t="shared" si="166"/>
        <v>24.344012261745196</v>
      </c>
      <c r="I112" s="12">
        <f t="shared" si="106"/>
        <v>1.1705670719310195</v>
      </c>
      <c r="J112" s="12">
        <f t="shared" si="167"/>
        <v>22.996203158130271</v>
      </c>
      <c r="K112" s="13">
        <f t="shared" si="168"/>
        <v>3.1399124646700867E-2</v>
      </c>
      <c r="L112" s="13">
        <f t="shared" si="169"/>
        <v>62.956323902956647</v>
      </c>
      <c r="M112" s="13">
        <f t="shared" si="170"/>
        <v>2.910163680046957E-3</v>
      </c>
      <c r="N112" s="13">
        <f t="shared" si="171"/>
        <v>1.7376168637933759E-2</v>
      </c>
      <c r="O112" s="13">
        <f t="shared" si="172"/>
        <v>67.068552858634064</v>
      </c>
      <c r="P112" s="13">
        <f t="shared" si="173"/>
        <v>1.6414135016509828E-2</v>
      </c>
      <c r="Q112" s="14">
        <v>816.62</v>
      </c>
      <c r="R112" s="14">
        <v>-104.28</v>
      </c>
      <c r="S112" s="14">
        <v>821.65800000000002</v>
      </c>
      <c r="T112" s="14">
        <v>-128.09700000000001</v>
      </c>
      <c r="U112" s="38">
        <v>852.19200000000001</v>
      </c>
      <c r="V112" s="38">
        <v>-96.188699999999997</v>
      </c>
      <c r="W112" s="14">
        <v>858.29600000000005</v>
      </c>
      <c r="X112" s="14">
        <v>-118.36</v>
      </c>
      <c r="Y112" s="14">
        <v>838.29700000000003</v>
      </c>
      <c r="Z112" s="14">
        <v>-110.93899999999999</v>
      </c>
      <c r="AA112" s="14">
        <v>838.83900000000006</v>
      </c>
      <c r="AB112" s="14">
        <v>-112.78</v>
      </c>
      <c r="AC112" s="14">
        <v>837.64700000000005</v>
      </c>
      <c r="AD112" s="14">
        <v>-108.881</v>
      </c>
      <c r="AE112" s="14" t="s">
        <v>213</v>
      </c>
      <c r="AF112" s="14" t="s">
        <v>214</v>
      </c>
      <c r="AG112" s="14" t="s">
        <v>223</v>
      </c>
      <c r="AH112" s="14" t="s">
        <v>223</v>
      </c>
      <c r="AI112" s="51" t="s">
        <v>223</v>
      </c>
      <c r="AJ112" s="51">
        <v>1.01412737383973E-4</v>
      </c>
      <c r="AK112" s="51">
        <v>1.2297045574156501E-4</v>
      </c>
      <c r="AL112" s="55">
        <v>8.5032190502246595E-5</v>
      </c>
      <c r="AM112" s="51">
        <v>1.00339476340189E-4</v>
      </c>
      <c r="AN112" s="51">
        <v>0.82613882198709798</v>
      </c>
    </row>
    <row r="113" spans="1:40" x14ac:dyDescent="0.35">
      <c r="A113" s="38" t="s">
        <v>130</v>
      </c>
      <c r="B113" s="14">
        <v>1</v>
      </c>
      <c r="C113" s="38">
        <v>80</v>
      </c>
      <c r="D113" s="14">
        <v>1401</v>
      </c>
      <c r="E113" s="12">
        <f t="shared" si="164"/>
        <v>44.871820221604544</v>
      </c>
      <c r="F113" s="12">
        <f t="shared" si="103"/>
        <v>1.1212572446521836</v>
      </c>
      <c r="G113" s="12">
        <f t="shared" si="165"/>
        <v>2.774463912181953</v>
      </c>
      <c r="H113" s="12">
        <f t="shared" si="166"/>
        <v>24.440640273937188</v>
      </c>
      <c r="I113" s="12">
        <f t="shared" si="106"/>
        <v>1.1376233181455642</v>
      </c>
      <c r="J113" s="12">
        <f t="shared" si="167"/>
        <v>23.666120932675028</v>
      </c>
      <c r="K113" s="13">
        <f t="shared" si="168"/>
        <v>3.2028422713493605E-2</v>
      </c>
      <c r="L113" s="13">
        <f t="shared" si="169"/>
        <v>64.243307867037714</v>
      </c>
      <c r="M113" s="13">
        <f t="shared" si="170"/>
        <v>1.9803454048407942E-3</v>
      </c>
      <c r="N113" s="13">
        <f t="shared" si="171"/>
        <v>1.7445139381825257E-2</v>
      </c>
      <c r="O113" s="13">
        <f t="shared" si="172"/>
        <v>65.181014805409347</v>
      </c>
      <c r="P113" s="13">
        <f t="shared" si="173"/>
        <v>1.6892306161795167E-2</v>
      </c>
      <c r="Q113" s="14">
        <v>662.08699999999999</v>
      </c>
      <c r="R113" s="14">
        <v>-138.684</v>
      </c>
      <c r="S113" s="14">
        <v>666.54300000000001</v>
      </c>
      <c r="T113" s="14">
        <v>-162.715</v>
      </c>
      <c r="U113" s="38">
        <v>698.85</v>
      </c>
      <c r="V113" s="38">
        <v>-131.363</v>
      </c>
      <c r="W113" s="14">
        <v>704.10199999999998</v>
      </c>
      <c r="X113" s="14">
        <v>-154.43899999999999</v>
      </c>
      <c r="Y113" s="14">
        <v>683.36</v>
      </c>
      <c r="Z113" s="14">
        <v>-146.69200000000001</v>
      </c>
      <c r="AA113" s="14">
        <v>683.58699999999999</v>
      </c>
      <c r="AB113" s="14">
        <v>-147.999</v>
      </c>
      <c r="AC113" s="14">
        <v>683.07600000000002</v>
      </c>
      <c r="AD113" s="14">
        <v>-145.27199999999999</v>
      </c>
      <c r="AE113" s="14" t="s">
        <v>213</v>
      </c>
      <c r="AF113" s="14" t="s">
        <v>214</v>
      </c>
      <c r="AG113" s="14" t="s">
        <v>223</v>
      </c>
      <c r="AH113" s="14" t="s">
        <v>223</v>
      </c>
      <c r="AI113" s="51" t="s">
        <v>223</v>
      </c>
      <c r="AJ113" s="51">
        <v>1.1156381823730499E-4</v>
      </c>
      <c r="AK113" s="51">
        <v>1.21135004261767E-4</v>
      </c>
      <c r="AL113" s="51">
        <v>1.0083933954588401E-4</v>
      </c>
      <c r="AM113" s="51">
        <v>1.04865979791125E-4</v>
      </c>
      <c r="AN113" s="51">
        <v>0.88399811020887098</v>
      </c>
    </row>
    <row r="114" spans="1:40" x14ac:dyDescent="0.35">
      <c r="A114" s="38" t="s">
        <v>130</v>
      </c>
      <c r="B114" s="14">
        <v>1</v>
      </c>
      <c r="C114" s="38">
        <v>90</v>
      </c>
      <c r="D114" s="14">
        <v>1401</v>
      </c>
      <c r="E114" s="12">
        <f t="shared" si="164"/>
        <v>44.695020002232845</v>
      </c>
      <c r="F114" s="12">
        <f t="shared" si="103"/>
        <v>1.0705788189238246</v>
      </c>
      <c r="G114" s="12">
        <f t="shared" si="165"/>
        <v>3.1382724547113292</v>
      </c>
      <c r="H114" s="12">
        <f t="shared" si="166"/>
        <v>22.073079757931385</v>
      </c>
      <c r="I114" s="12">
        <f t="shared" si="106"/>
        <v>1.0402140749957365</v>
      </c>
      <c r="J114" s="12">
        <f t="shared" si="167"/>
        <v>23.009099287021215</v>
      </c>
      <c r="K114" s="13">
        <f t="shared" si="168"/>
        <v>3.1902226982321799E-2</v>
      </c>
      <c r="L114" s="13">
        <f t="shared" si="169"/>
        <v>61.339647960435535</v>
      </c>
      <c r="M114" s="13">
        <f t="shared" si="170"/>
        <v>2.2400231653899568E-3</v>
      </c>
      <c r="N114" s="13">
        <f t="shared" si="171"/>
        <v>1.5755231804376435E-2</v>
      </c>
      <c r="O114" s="13">
        <f t="shared" si="172"/>
        <v>59.599876287360601</v>
      </c>
      <c r="P114" s="13">
        <f t="shared" si="173"/>
        <v>1.6423339962185021E-2</v>
      </c>
      <c r="Q114" s="14">
        <v>543.19100000000003</v>
      </c>
      <c r="R114" s="14">
        <v>-165.05099999999999</v>
      </c>
      <c r="S114" s="14">
        <v>546.86599999999999</v>
      </c>
      <c r="T114" s="14">
        <v>-186.816</v>
      </c>
      <c r="U114" s="38">
        <v>580.50199999999995</v>
      </c>
      <c r="V114" s="38">
        <v>-157.137</v>
      </c>
      <c r="W114" s="14">
        <v>585.44899999999996</v>
      </c>
      <c r="X114" s="14">
        <v>-179.608</v>
      </c>
      <c r="Y114" s="14">
        <v>563.28300000000002</v>
      </c>
      <c r="Z114" s="14">
        <v>-172.33099999999999</v>
      </c>
      <c r="AA114" s="14">
        <v>563.59699999999998</v>
      </c>
      <c r="AB114" s="14">
        <v>-173.83699999999999</v>
      </c>
      <c r="AC114" s="14">
        <v>562.97</v>
      </c>
      <c r="AD114" s="14">
        <v>-170.762</v>
      </c>
      <c r="AE114" s="14" t="s">
        <v>213</v>
      </c>
      <c r="AF114" s="14" t="s">
        <v>214</v>
      </c>
      <c r="AG114" s="14" t="s">
        <v>223</v>
      </c>
      <c r="AH114" s="14" t="s">
        <v>223</v>
      </c>
      <c r="AI114" s="51" t="s">
        <v>223</v>
      </c>
      <c r="AJ114" s="51">
        <v>1.17712612485932E-4</v>
      </c>
      <c r="AK114" s="51">
        <v>1.0458227298641101E-4</v>
      </c>
      <c r="AL114" s="55">
        <v>9.4154763269429695E-5</v>
      </c>
      <c r="AM114" s="55">
        <v>9.6844180586824706E-5</v>
      </c>
      <c r="AN114" s="51">
        <v>0.85921429748782097</v>
      </c>
    </row>
    <row r="115" spans="1:40" x14ac:dyDescent="0.35">
      <c r="A115" s="38" t="s">
        <v>131</v>
      </c>
      <c r="B115" s="14">
        <v>1</v>
      </c>
      <c r="C115" s="38">
        <v>40</v>
      </c>
      <c r="D115" s="14">
        <v>597</v>
      </c>
      <c r="E115" s="12">
        <f t="shared" ref="E115:E120" si="174">DIST2(Q115,R115,W115,X115)</f>
        <v>21.253209704889287</v>
      </c>
      <c r="F115" s="12">
        <f t="shared" si="103"/>
        <v>1.2343961486670025</v>
      </c>
      <c r="G115" s="12">
        <f t="shared" ref="G115:G120" si="175">DIST2(AA115,AB115,AC115,AD115)</f>
        <v>0</v>
      </c>
      <c r="H115" s="12">
        <f t="shared" ref="H115:H120" si="176">DIST2(Q115,R115,S115,T115)</f>
        <v>13.222011202914633</v>
      </c>
      <c r="I115" s="12">
        <f t="shared" si="106"/>
        <v>1.5178038312054167</v>
      </c>
      <c r="J115" s="12">
        <f t="shared" ref="J115:J120" si="177">DIST2(U115,V115,W115,X115)</f>
        <v>13.962956015471789</v>
      </c>
      <c r="K115" s="13">
        <f t="shared" ref="K115:K120" si="178">E115/D115</f>
        <v>3.5600016256095955E-2</v>
      </c>
      <c r="L115" s="13">
        <f t="shared" ref="L115:L120" si="179">F115*180/PI()</f>
        <v>70.725689565822563</v>
      </c>
      <c r="M115" s="13">
        <f t="shared" ref="M115:M120" si="180">G115/D115</f>
        <v>0</v>
      </c>
      <c r="N115" s="13">
        <f t="shared" ref="N115:N120" si="181">H115/D115</f>
        <v>2.2147422450443269E-2</v>
      </c>
      <c r="O115" s="13">
        <f t="shared" ref="O115:O120" si="182">I115*180/PI()</f>
        <v>86.963753656857179</v>
      </c>
      <c r="P115" s="13">
        <f t="shared" ref="P115:P120" si="183">J115/D115</f>
        <v>2.3388536039316229E-2</v>
      </c>
      <c r="Q115" s="14">
        <v>260.89800000000002</v>
      </c>
      <c r="R115" s="14">
        <v>92.526499999999999</v>
      </c>
      <c r="S115" s="14">
        <v>267.26600000000002</v>
      </c>
      <c r="T115" s="14">
        <v>80.938999999999993</v>
      </c>
      <c r="U115" s="38">
        <v>246.07400000000001</v>
      </c>
      <c r="V115" s="38">
        <v>85.845399999999998</v>
      </c>
      <c r="W115" s="14">
        <v>252.02500000000001</v>
      </c>
      <c r="X115" s="14">
        <v>73.214100000000002</v>
      </c>
      <c r="Y115" s="14">
        <v>255.78299999999999</v>
      </c>
      <c r="Z115" s="14">
        <v>82.504900000000006</v>
      </c>
      <c r="AA115" s="14">
        <v>255.78299999999999</v>
      </c>
      <c r="AB115" s="14">
        <v>82.504900000000006</v>
      </c>
      <c r="AC115" s="14">
        <v>255.78299999999999</v>
      </c>
      <c r="AD115" s="14">
        <v>82.504900000000006</v>
      </c>
      <c r="AE115" s="14" t="s">
        <v>213</v>
      </c>
      <c r="AF115" s="14" t="s">
        <v>212</v>
      </c>
      <c r="AG115" s="14" t="s">
        <v>223</v>
      </c>
      <c r="AH115" s="14" t="s">
        <v>225</v>
      </c>
      <c r="AI115" s="51" t="s">
        <v>223</v>
      </c>
      <c r="AJ115" s="51">
        <v>1.4415738126702699E-4</v>
      </c>
      <c r="AK115" s="51">
        <v>1.7267747349253301E-4</v>
      </c>
      <c r="AL115" s="51">
        <v>1.6047065576346199E-4</v>
      </c>
      <c r="AM115" s="51">
        <v>1.57923773810426E-4</v>
      </c>
      <c r="AN115" s="51">
        <v>1.0049223587332701</v>
      </c>
    </row>
    <row r="116" spans="1:40" x14ac:dyDescent="0.35">
      <c r="A116" s="38" t="s">
        <v>131</v>
      </c>
      <c r="B116" s="14">
        <v>1</v>
      </c>
      <c r="C116" s="38">
        <v>50</v>
      </c>
      <c r="D116" s="14">
        <v>597</v>
      </c>
      <c r="E116" s="12">
        <f t="shared" si="174"/>
        <v>22.322679977099526</v>
      </c>
      <c r="F116" s="12">
        <f t="shared" si="103"/>
        <v>1.0147097840962842</v>
      </c>
      <c r="G116" s="12">
        <f t="shared" si="175"/>
        <v>1.3544508112146325</v>
      </c>
      <c r="H116" s="12">
        <f t="shared" si="176"/>
        <v>11.239232802998613</v>
      </c>
      <c r="I116" s="12">
        <f t="shared" si="106"/>
        <v>1.0987748137787874</v>
      </c>
      <c r="J116" s="12">
        <f t="shared" si="177"/>
        <v>11.199404285943068</v>
      </c>
      <c r="K116" s="13">
        <f t="shared" si="178"/>
        <v>3.7391423747235385E-2</v>
      </c>
      <c r="L116" s="13">
        <f t="shared" si="179"/>
        <v>58.138588059348066</v>
      </c>
      <c r="M116" s="13">
        <f t="shared" si="180"/>
        <v>2.2687618278302052E-3</v>
      </c>
      <c r="N116" s="13">
        <f t="shared" si="181"/>
        <v>1.8826185599662669E-2</v>
      </c>
      <c r="O116" s="13">
        <f t="shared" si="182"/>
        <v>62.955159464797489</v>
      </c>
      <c r="P116" s="13">
        <f t="shared" si="183"/>
        <v>1.8759471165733781E-2</v>
      </c>
      <c r="Q116" s="14">
        <v>317.77</v>
      </c>
      <c r="R116" s="14">
        <v>115.505</v>
      </c>
      <c r="S116" s="14">
        <v>320.14699999999999</v>
      </c>
      <c r="T116" s="14">
        <v>104.52</v>
      </c>
      <c r="U116" s="38">
        <v>298.67</v>
      </c>
      <c r="V116" s="38">
        <v>109.93</v>
      </c>
      <c r="W116" s="14">
        <v>302.35899999999998</v>
      </c>
      <c r="X116" s="14">
        <v>99.355599999999995</v>
      </c>
      <c r="Y116" s="14">
        <v>309.08999999999997</v>
      </c>
      <c r="Z116" s="14">
        <v>107.82</v>
      </c>
      <c r="AA116" s="14">
        <v>308.99900000000002</v>
      </c>
      <c r="AB116" s="14">
        <v>108.61499999999999</v>
      </c>
      <c r="AC116" s="14">
        <v>309.20299999999997</v>
      </c>
      <c r="AD116" s="14">
        <v>107.276</v>
      </c>
      <c r="AE116" s="14" t="s">
        <v>213</v>
      </c>
      <c r="AF116" s="14" t="s">
        <v>212</v>
      </c>
      <c r="AG116" s="14" t="s">
        <v>223</v>
      </c>
      <c r="AH116" s="14" t="s">
        <v>225</v>
      </c>
      <c r="AI116" s="51" t="s">
        <v>223</v>
      </c>
      <c r="AJ116" s="51">
        <v>1.43657228072242E-4</v>
      </c>
      <c r="AK116" s="51">
        <v>1.59391380408464E-4</v>
      </c>
      <c r="AL116" s="51">
        <v>1.5349342328616799E-4</v>
      </c>
      <c r="AM116" s="51">
        <v>1.82956366421723E-4</v>
      </c>
      <c r="AN116" s="51">
        <v>1.11021724004818</v>
      </c>
    </row>
    <row r="117" spans="1:40" x14ac:dyDescent="0.35">
      <c r="A117" s="38" t="s">
        <v>131</v>
      </c>
      <c r="B117" s="14">
        <v>1</v>
      </c>
      <c r="C117" s="38">
        <v>60</v>
      </c>
      <c r="D117" s="14">
        <v>597</v>
      </c>
      <c r="E117" s="12">
        <f t="shared" si="174"/>
        <v>22.393238711718322</v>
      </c>
      <c r="F117" s="12">
        <f t="shared" si="103"/>
        <v>0.82721988370799016</v>
      </c>
      <c r="G117" s="12">
        <f t="shared" si="175"/>
        <v>1.0249590235711852</v>
      </c>
      <c r="H117" s="12">
        <f t="shared" si="176"/>
        <v>9.3597565139270671</v>
      </c>
      <c r="I117" s="12">
        <f t="shared" si="106"/>
        <v>1.0148387878428422</v>
      </c>
      <c r="J117" s="12">
        <f t="shared" si="177"/>
        <v>10.341533010148929</v>
      </c>
      <c r="K117" s="13">
        <f t="shared" si="178"/>
        <v>3.7509612582442751E-2</v>
      </c>
      <c r="L117" s="13">
        <f t="shared" si="179"/>
        <v>47.396208065770601</v>
      </c>
      <c r="M117" s="13">
        <f t="shared" si="180"/>
        <v>1.716849285713878E-3</v>
      </c>
      <c r="N117" s="13">
        <f t="shared" si="181"/>
        <v>1.5677984110430598E-2</v>
      </c>
      <c r="O117" s="13">
        <f t="shared" si="182"/>
        <v>58.145979429567213</v>
      </c>
      <c r="P117" s="13">
        <f t="shared" si="183"/>
        <v>1.732250085452082E-2</v>
      </c>
      <c r="Q117" s="14">
        <v>378.892</v>
      </c>
      <c r="R117" s="14">
        <v>123.38500000000001</v>
      </c>
      <c r="S117" s="14">
        <v>379.01100000000002</v>
      </c>
      <c r="T117" s="14">
        <v>114.026</v>
      </c>
      <c r="U117" s="38">
        <v>358.65899999999999</v>
      </c>
      <c r="V117" s="38">
        <v>122.60299999999999</v>
      </c>
      <c r="W117" s="14">
        <v>359.44</v>
      </c>
      <c r="X117" s="14">
        <v>112.291</v>
      </c>
      <c r="Y117" s="14">
        <v>368.29300000000001</v>
      </c>
      <c r="Z117" s="14">
        <v>118.45</v>
      </c>
      <c r="AA117" s="14">
        <v>368.31299999999999</v>
      </c>
      <c r="AB117" s="14">
        <v>117.905</v>
      </c>
      <c r="AC117" s="14">
        <v>368.22300000000001</v>
      </c>
      <c r="AD117" s="14">
        <v>118.926</v>
      </c>
      <c r="AE117" s="14" t="s">
        <v>213</v>
      </c>
      <c r="AF117" s="14" t="s">
        <v>212</v>
      </c>
      <c r="AG117" s="14" t="s">
        <v>223</v>
      </c>
      <c r="AH117" s="14" t="s">
        <v>225</v>
      </c>
      <c r="AI117" s="51" t="s">
        <v>223</v>
      </c>
      <c r="AJ117" s="51">
        <v>1.3482026969016E-4</v>
      </c>
      <c r="AK117" s="51">
        <v>1.3998426807403899E-4</v>
      </c>
      <c r="AL117" s="51">
        <v>1.14862123290938E-4</v>
      </c>
      <c r="AM117" s="51">
        <v>1.3254005791099599E-4</v>
      </c>
      <c r="AN117" s="51">
        <v>0.90028419186521103</v>
      </c>
    </row>
    <row r="118" spans="1:40" x14ac:dyDescent="0.35">
      <c r="A118" s="38" t="s">
        <v>131</v>
      </c>
      <c r="B118" s="14">
        <v>1</v>
      </c>
      <c r="C118" s="38">
        <v>70</v>
      </c>
      <c r="D118" s="14">
        <v>597</v>
      </c>
      <c r="E118" s="12">
        <f t="shared" si="174"/>
        <v>21.127325931125334</v>
      </c>
      <c r="F118" s="12">
        <f t="shared" si="103"/>
        <v>1.0273464635313023</v>
      </c>
      <c r="G118" s="12">
        <f t="shared" si="175"/>
        <v>2.0973089901109074</v>
      </c>
      <c r="H118" s="12">
        <f t="shared" si="176"/>
        <v>10.529274666376594</v>
      </c>
      <c r="I118" s="12">
        <f t="shared" si="106"/>
        <v>1.1435564388595132</v>
      </c>
      <c r="J118" s="12">
        <f t="shared" si="177"/>
        <v>11.048080104705969</v>
      </c>
      <c r="K118" s="13">
        <f t="shared" si="178"/>
        <v>3.5389155663526524E-2</v>
      </c>
      <c r="L118" s="13">
        <f t="shared" si="179"/>
        <v>58.862616458034367</v>
      </c>
      <c r="M118" s="13">
        <f t="shared" si="180"/>
        <v>3.5130803854454061E-3</v>
      </c>
      <c r="N118" s="13">
        <f t="shared" si="181"/>
        <v>1.7636975990580558E-2</v>
      </c>
      <c r="O118" s="13">
        <f t="shared" si="182"/>
        <v>65.520957581660269</v>
      </c>
      <c r="P118" s="13">
        <f t="shared" si="183"/>
        <v>1.8505996825303132E-2</v>
      </c>
      <c r="Q118" s="14">
        <v>437.09800000000001</v>
      </c>
      <c r="R118" s="14">
        <v>122.625</v>
      </c>
      <c r="S118" s="14">
        <v>436.42899999999997</v>
      </c>
      <c r="T118" s="14">
        <v>112.117</v>
      </c>
      <c r="U118" s="38">
        <v>419.02800000000002</v>
      </c>
      <c r="V118" s="38">
        <v>123.294</v>
      </c>
      <c r="W118" s="14">
        <v>418.69299999999998</v>
      </c>
      <c r="X118" s="14">
        <v>112.251</v>
      </c>
      <c r="Y118" s="14">
        <v>427.44299999999998</v>
      </c>
      <c r="Z118" s="14">
        <v>117.80500000000001</v>
      </c>
      <c r="AA118" s="14">
        <v>427.49700000000001</v>
      </c>
      <c r="AB118" s="14">
        <v>116.82899999999999</v>
      </c>
      <c r="AC118" s="14">
        <v>427.46100000000001</v>
      </c>
      <c r="AD118" s="14">
        <v>118.926</v>
      </c>
      <c r="AE118" s="14" t="s">
        <v>213</v>
      </c>
      <c r="AF118" s="14" t="s">
        <v>212</v>
      </c>
      <c r="AG118" s="14" t="s">
        <v>223</v>
      </c>
      <c r="AH118" s="14" t="s">
        <v>225</v>
      </c>
      <c r="AI118" s="51" t="s">
        <v>223</v>
      </c>
      <c r="AJ118" s="51">
        <v>1.3294509959063799E-4</v>
      </c>
      <c r="AK118" s="51">
        <v>1.3780538650819699E-4</v>
      </c>
      <c r="AL118" s="51">
        <v>1.02814579598158E-4</v>
      </c>
      <c r="AM118" s="51">
        <v>1.15562659753261E-4</v>
      </c>
      <c r="AN118" s="51">
        <v>0.80656268617631099</v>
      </c>
    </row>
    <row r="119" spans="1:40" x14ac:dyDescent="0.35">
      <c r="A119" s="38" t="s">
        <v>131</v>
      </c>
      <c r="B119" s="14">
        <v>1</v>
      </c>
      <c r="C119" s="38">
        <v>80</v>
      </c>
      <c r="D119" s="14">
        <v>597</v>
      </c>
      <c r="E119" s="12">
        <f t="shared" si="174"/>
        <v>20.800305045840066</v>
      </c>
      <c r="F119" s="12">
        <f t="shared" si="103"/>
        <v>1.1229320593273242</v>
      </c>
      <c r="G119" s="12">
        <f t="shared" si="175"/>
        <v>0.85603563009958983</v>
      </c>
      <c r="H119" s="12">
        <f t="shared" si="176"/>
        <v>11.310169936831176</v>
      </c>
      <c r="I119" s="12">
        <f t="shared" si="106"/>
        <v>1.2310980861075287</v>
      </c>
      <c r="J119" s="12">
        <f t="shared" si="177"/>
        <v>11.507295294724994</v>
      </c>
      <c r="K119" s="13">
        <f t="shared" si="178"/>
        <v>3.4841381986331771E-2</v>
      </c>
      <c r="L119" s="13">
        <f t="shared" si="179"/>
        <v>64.339267679389849</v>
      </c>
      <c r="M119" s="13">
        <f t="shared" si="180"/>
        <v>1.4338955278050082E-3</v>
      </c>
      <c r="N119" s="13">
        <f t="shared" si="181"/>
        <v>1.8945008269398954E-2</v>
      </c>
      <c r="O119" s="13">
        <f t="shared" si="182"/>
        <v>70.536724500594602</v>
      </c>
      <c r="P119" s="13">
        <f t="shared" si="183"/>
        <v>1.9275201498701832E-2</v>
      </c>
      <c r="Q119" s="14">
        <v>493.26600000000002</v>
      </c>
      <c r="R119" s="14">
        <v>122.95699999999999</v>
      </c>
      <c r="S119" s="14">
        <v>493.32799999999997</v>
      </c>
      <c r="T119" s="14">
        <v>111.64700000000001</v>
      </c>
      <c r="U119" s="38">
        <v>475.93400000000003</v>
      </c>
      <c r="V119" s="38">
        <v>122.158</v>
      </c>
      <c r="W119" s="14">
        <v>476.48700000000002</v>
      </c>
      <c r="X119" s="14">
        <v>110.664</v>
      </c>
      <c r="Y119" s="14">
        <v>484.34300000000002</v>
      </c>
      <c r="Z119" s="14">
        <v>116.61</v>
      </c>
      <c r="AA119" s="14">
        <v>484.38200000000001</v>
      </c>
      <c r="AB119" s="14">
        <v>116.26</v>
      </c>
      <c r="AC119" s="14">
        <v>484.32299999999998</v>
      </c>
      <c r="AD119" s="14">
        <v>117.114</v>
      </c>
      <c r="AE119" s="14" t="s">
        <v>213</v>
      </c>
      <c r="AF119" s="14" t="s">
        <v>212</v>
      </c>
      <c r="AG119" s="14" t="s">
        <v>223</v>
      </c>
      <c r="AH119" s="14" t="s">
        <v>225</v>
      </c>
      <c r="AI119" s="51" t="s">
        <v>223</v>
      </c>
      <c r="AJ119" s="51">
        <v>1.3128877497481801E-4</v>
      </c>
      <c r="AK119" s="51">
        <v>1.4212974980990899E-4</v>
      </c>
      <c r="AL119" s="51">
        <v>1.3204691660423799E-4</v>
      </c>
      <c r="AM119" s="51">
        <v>1.21323326571439E-4</v>
      </c>
      <c r="AN119" s="51">
        <v>0.926675481755177</v>
      </c>
    </row>
    <row r="120" spans="1:40" x14ac:dyDescent="0.35">
      <c r="A120" s="38" t="s">
        <v>131</v>
      </c>
      <c r="B120" s="14">
        <v>1</v>
      </c>
      <c r="C120" s="38">
        <v>90</v>
      </c>
      <c r="D120" s="14">
        <v>597</v>
      </c>
      <c r="E120" s="12">
        <f t="shared" si="174"/>
        <v>20.621229667505258</v>
      </c>
      <c r="F120" s="12">
        <f t="shared" si="103"/>
        <v>1.2748249682397232</v>
      </c>
      <c r="G120" s="12">
        <f t="shared" si="175"/>
        <v>1.1412313525311162</v>
      </c>
      <c r="H120" s="12">
        <f t="shared" si="176"/>
        <v>11.863756656304107</v>
      </c>
      <c r="I120" s="12">
        <f t="shared" si="106"/>
        <v>1.0878222709612007</v>
      </c>
      <c r="J120" s="12">
        <f t="shared" si="177"/>
        <v>11.190273499785429</v>
      </c>
      <c r="K120" s="13">
        <f t="shared" si="178"/>
        <v>3.4541423228652023E-2</v>
      </c>
      <c r="L120" s="13">
        <f t="shared" si="179"/>
        <v>73.042090298035362</v>
      </c>
      <c r="M120" s="13">
        <f t="shared" si="180"/>
        <v>1.9116103057472632E-3</v>
      </c>
      <c r="N120" s="13">
        <f t="shared" si="181"/>
        <v>1.9872289206539544E-2</v>
      </c>
      <c r="O120" s="13">
        <f t="shared" si="182"/>
        <v>62.327624986413454</v>
      </c>
      <c r="P120" s="13">
        <f t="shared" si="183"/>
        <v>1.8744176716558508E-2</v>
      </c>
      <c r="Q120" s="14">
        <v>567.923</v>
      </c>
      <c r="R120" s="14">
        <v>128.11500000000001</v>
      </c>
      <c r="S120" s="14">
        <v>568.80399999999997</v>
      </c>
      <c r="T120" s="14">
        <v>116.28400000000001</v>
      </c>
      <c r="U120" s="38">
        <v>550.61599999999999</v>
      </c>
      <c r="V120" s="38">
        <v>126.542</v>
      </c>
      <c r="W120" s="14">
        <v>551.68600000000004</v>
      </c>
      <c r="X120" s="14">
        <v>115.40300000000001</v>
      </c>
      <c r="Y120" s="14">
        <v>560.38499999999999</v>
      </c>
      <c r="Z120" s="14">
        <v>121.489</v>
      </c>
      <c r="AA120" s="14">
        <v>560.42499999999995</v>
      </c>
      <c r="AB120" s="14">
        <v>120.965</v>
      </c>
      <c r="AC120" s="14">
        <v>560.37199999999996</v>
      </c>
      <c r="AD120" s="14">
        <v>122.105</v>
      </c>
      <c r="AE120" s="14" t="s">
        <v>213</v>
      </c>
      <c r="AF120" s="14" t="s">
        <v>212</v>
      </c>
      <c r="AG120" s="14" t="s">
        <v>223</v>
      </c>
      <c r="AH120" s="14" t="s">
        <v>225</v>
      </c>
      <c r="AI120" s="51" t="s">
        <v>223</v>
      </c>
      <c r="AJ120" s="51">
        <v>1.45072348060795E-4</v>
      </c>
      <c r="AK120" s="51">
        <v>1.3330132516294499E-4</v>
      </c>
      <c r="AL120" s="51">
        <v>1.2925788490189601E-4</v>
      </c>
      <c r="AM120" s="51">
        <v>1.2276802353475901E-4</v>
      </c>
      <c r="AN120" s="51">
        <v>0.905351089842796</v>
      </c>
    </row>
    <row r="121" spans="1:40" x14ac:dyDescent="0.35">
      <c r="A121" s="38" t="s">
        <v>132</v>
      </c>
      <c r="B121" s="14">
        <v>1</v>
      </c>
      <c r="C121" s="38">
        <v>40</v>
      </c>
      <c r="D121" s="14">
        <v>1015</v>
      </c>
      <c r="E121" s="12">
        <f t="shared" ref="E121:E126" si="184">DIST2(Q121,R121,W121,X121)</f>
        <v>30.795992109363848</v>
      </c>
      <c r="F121" s="12">
        <f t="shared" si="103"/>
        <v>1.2798262784240793</v>
      </c>
      <c r="G121" s="12">
        <f t="shared" ref="G121:G126" si="185">DIST2(AA121,AB121,AC121,AD121)</f>
        <v>0</v>
      </c>
      <c r="H121" s="12">
        <f t="shared" ref="H121:H126" si="186">DIST2(Q121,R121,S121,T121)</f>
        <v>18.162335780400056</v>
      </c>
      <c r="I121" s="12">
        <f t="shared" si="106"/>
        <v>1.8023477540985415</v>
      </c>
      <c r="J121" s="12">
        <f t="shared" ref="J121:J126" si="187">DIST2(U121,V121,W121,X121)</f>
        <v>24.057139834153205</v>
      </c>
      <c r="K121" s="13">
        <f t="shared" ref="K121:K126" si="188">E121/D121</f>
        <v>3.0340878925481624E-2</v>
      </c>
      <c r="L121" s="13">
        <f t="shared" ref="L121:L126" si="189">F121*180/PI()</f>
        <v>73.328644263634757</v>
      </c>
      <c r="M121" s="13">
        <f t="shared" ref="M121:M126" si="190">G121/D121</f>
        <v>0</v>
      </c>
      <c r="N121" s="13">
        <f t="shared" ref="N121:N126" si="191">H121/D121</f>
        <v>1.7893926877241433E-2</v>
      </c>
      <c r="O121" s="13">
        <f t="shared" ref="O121:O126" si="192">I121*180/PI()</f>
        <v>103.26691952472916</v>
      </c>
      <c r="P121" s="13">
        <f t="shared" ref="P121:P126" si="193">J121/D121</f>
        <v>2.3701615600150942E-2</v>
      </c>
      <c r="Q121" s="38">
        <v>464.28500000000003</v>
      </c>
      <c r="R121" s="38">
        <v>-129.066</v>
      </c>
      <c r="S121" s="38">
        <v>468.589</v>
      </c>
      <c r="T121" s="38">
        <v>-146.71100000000001</v>
      </c>
      <c r="U121" s="38">
        <v>443.19799999999998</v>
      </c>
      <c r="V121" s="38">
        <v>-131.21799999999999</v>
      </c>
      <c r="W121" s="38">
        <v>447.50200000000001</v>
      </c>
      <c r="X121" s="38">
        <v>-154.887</v>
      </c>
      <c r="Y121" s="38">
        <v>454.67399999999998</v>
      </c>
      <c r="Z121" s="38">
        <v>-141.11600000000001</v>
      </c>
      <c r="AA121" s="38">
        <v>454.67399999999998</v>
      </c>
      <c r="AB121" s="38">
        <v>-141.11600000000001</v>
      </c>
      <c r="AC121" s="38">
        <v>454.67399999999998</v>
      </c>
      <c r="AD121" s="38">
        <v>-141.11600000000001</v>
      </c>
      <c r="AE121" s="14" t="s">
        <v>216</v>
      </c>
      <c r="AF121" s="14" t="s">
        <v>212</v>
      </c>
      <c r="AG121" s="14" t="s">
        <v>224</v>
      </c>
      <c r="AH121" s="14" t="s">
        <v>225</v>
      </c>
      <c r="AI121" s="51" t="s">
        <v>224</v>
      </c>
      <c r="AJ121" s="51">
        <v>1.11152637530636E-4</v>
      </c>
      <c r="AK121" s="51">
        <v>1.07476179960689E-4</v>
      </c>
      <c r="AL121" s="51">
        <v>1.13283738018394E-4</v>
      </c>
      <c r="AM121" s="51">
        <v>1.1247582081584101E-4</v>
      </c>
      <c r="AN121" s="51">
        <v>1.0326157430879099</v>
      </c>
    </row>
    <row r="122" spans="1:40" x14ac:dyDescent="0.35">
      <c r="A122" s="38" t="s">
        <v>132</v>
      </c>
      <c r="B122" s="14">
        <v>1</v>
      </c>
      <c r="C122" s="38">
        <v>50</v>
      </c>
      <c r="D122" s="14">
        <v>1015</v>
      </c>
      <c r="E122" s="12">
        <f t="shared" si="184"/>
        <v>31.215042591673601</v>
      </c>
      <c r="F122" s="12">
        <f t="shared" si="103"/>
        <v>1.0410891575250769</v>
      </c>
      <c r="G122" s="12">
        <f t="shared" si="185"/>
        <v>3.880949626058027</v>
      </c>
      <c r="H122" s="12">
        <f t="shared" si="186"/>
        <v>15.278993749589675</v>
      </c>
      <c r="I122" s="12">
        <f t="shared" si="106"/>
        <v>1.2949739887671732</v>
      </c>
      <c r="J122" s="12">
        <f t="shared" si="187"/>
        <v>18.699045136049062</v>
      </c>
      <c r="K122" s="13">
        <f t="shared" si="188"/>
        <v>3.0753736543520788E-2</v>
      </c>
      <c r="L122" s="13">
        <f t="shared" si="189"/>
        <v>59.650014823017436</v>
      </c>
      <c r="M122" s="13">
        <f t="shared" si="190"/>
        <v>3.8235956906975633E-3</v>
      </c>
      <c r="N122" s="13">
        <f t="shared" si="191"/>
        <v>1.5053195812403622E-2</v>
      </c>
      <c r="O122" s="13">
        <f t="shared" si="192"/>
        <v>74.196544135580695</v>
      </c>
      <c r="P122" s="13">
        <f t="shared" si="193"/>
        <v>1.842270456753602E-2</v>
      </c>
      <c r="Q122" s="38">
        <v>583.22299999999996</v>
      </c>
      <c r="R122" s="38">
        <v>-103.756</v>
      </c>
      <c r="S122" s="38">
        <v>585.44200000000001</v>
      </c>
      <c r="T122" s="38">
        <v>-118.873</v>
      </c>
      <c r="U122" s="38">
        <v>558.12099999999998</v>
      </c>
      <c r="V122" s="38">
        <v>-106.253</v>
      </c>
      <c r="W122" s="38">
        <v>560.20100000000002</v>
      </c>
      <c r="X122" s="38">
        <v>-124.836</v>
      </c>
      <c r="Y122" s="38">
        <v>571.49300000000005</v>
      </c>
      <c r="Z122" s="38">
        <v>-114.717</v>
      </c>
      <c r="AA122" s="38">
        <v>571.49300000000005</v>
      </c>
      <c r="AB122" s="38">
        <v>-116.749</v>
      </c>
      <c r="AC122" s="38">
        <v>571.37</v>
      </c>
      <c r="AD122" s="38">
        <v>-112.87</v>
      </c>
      <c r="AE122" s="14" t="s">
        <v>216</v>
      </c>
      <c r="AF122" s="14" t="s">
        <v>212</v>
      </c>
      <c r="AG122" s="14" t="s">
        <v>224</v>
      </c>
      <c r="AH122" s="14" t="s">
        <v>225</v>
      </c>
      <c r="AI122" s="51" t="s">
        <v>224</v>
      </c>
      <c r="AJ122" s="51">
        <v>1.12056471159213E-4</v>
      </c>
      <c r="AK122" s="55">
        <v>9.7864480574631397E-5</v>
      </c>
      <c r="AL122" s="55">
        <v>9.6669507631828004E-5</v>
      </c>
      <c r="AM122" s="55">
        <v>6.6388299157950896E-5</v>
      </c>
      <c r="AN122" s="51">
        <v>0.77675813415955397</v>
      </c>
    </row>
    <row r="123" spans="1:40" x14ac:dyDescent="0.35">
      <c r="A123" s="38" t="s">
        <v>132</v>
      </c>
      <c r="B123" s="14">
        <v>1</v>
      </c>
      <c r="C123" s="38">
        <v>60</v>
      </c>
      <c r="D123" s="14">
        <v>1015</v>
      </c>
      <c r="E123" s="12">
        <f t="shared" si="184"/>
        <v>28.198256204949971</v>
      </c>
      <c r="F123" s="12">
        <f t="shared" si="103"/>
        <v>1.2151710672060085</v>
      </c>
      <c r="G123" s="12">
        <f t="shared" si="185"/>
        <v>1.6699643708774123</v>
      </c>
      <c r="H123" s="12">
        <f t="shared" si="186"/>
        <v>15.488788622742586</v>
      </c>
      <c r="I123" s="12">
        <f t="shared" si="106"/>
        <v>1.3976399810212381</v>
      </c>
      <c r="J123" s="12">
        <f t="shared" si="187"/>
        <v>18.050099999999986</v>
      </c>
      <c r="K123" s="13">
        <f t="shared" si="188"/>
        <v>2.7781533206847262E-2</v>
      </c>
      <c r="L123" s="13">
        <f t="shared" si="189"/>
        <v>69.624173537312416</v>
      </c>
      <c r="M123" s="13">
        <f t="shared" si="190"/>
        <v>1.6452850944605048E-3</v>
      </c>
      <c r="N123" s="13">
        <f t="shared" si="191"/>
        <v>1.5259890268711907E-2</v>
      </c>
      <c r="O123" s="13">
        <f t="shared" si="192"/>
        <v>80.078872191261411</v>
      </c>
      <c r="P123" s="13">
        <f t="shared" si="193"/>
        <v>1.7783349753694569E-2</v>
      </c>
      <c r="Q123" s="38">
        <v>677.08199999999999</v>
      </c>
      <c r="R123" s="38">
        <v>-100.395</v>
      </c>
      <c r="S123" s="38">
        <v>675.87900000000002</v>
      </c>
      <c r="T123" s="38">
        <v>-115.837</v>
      </c>
      <c r="U123" s="38">
        <v>654.62</v>
      </c>
      <c r="V123" s="38">
        <v>-99.391900000000007</v>
      </c>
      <c r="W123" s="38">
        <v>654.62</v>
      </c>
      <c r="X123" s="38">
        <v>-117.44199999999999</v>
      </c>
      <c r="Y123" s="38">
        <v>665.35900000000004</v>
      </c>
      <c r="Z123" s="38">
        <v>-108.245</v>
      </c>
      <c r="AA123" s="38">
        <v>665.41700000000003</v>
      </c>
      <c r="AB123" s="38">
        <v>-109.02</v>
      </c>
      <c r="AC123" s="38">
        <v>665.30200000000002</v>
      </c>
      <c r="AD123" s="38">
        <v>-107.354</v>
      </c>
      <c r="AE123" s="14" t="s">
        <v>216</v>
      </c>
      <c r="AF123" s="14" t="s">
        <v>212</v>
      </c>
      <c r="AG123" s="14" t="s">
        <v>224</v>
      </c>
      <c r="AH123" s="14" t="s">
        <v>225</v>
      </c>
      <c r="AI123" s="51" t="s">
        <v>224</v>
      </c>
      <c r="AJ123" s="55">
        <v>9.4076548278289006E-5</v>
      </c>
      <c r="AK123" s="55">
        <v>8.3274535174354894E-5</v>
      </c>
      <c r="AL123" s="55">
        <v>8.1598474119731106E-5</v>
      </c>
      <c r="AM123" s="55">
        <v>7.8484851852750695E-5</v>
      </c>
      <c r="AN123" s="51">
        <v>0.90263517344243904</v>
      </c>
    </row>
    <row r="124" spans="1:40" x14ac:dyDescent="0.35">
      <c r="A124" s="38" t="s">
        <v>132</v>
      </c>
      <c r="B124" s="14">
        <v>1</v>
      </c>
      <c r="C124" s="38">
        <v>70</v>
      </c>
      <c r="D124" s="14">
        <v>1015</v>
      </c>
      <c r="E124" s="12">
        <f t="shared" si="184"/>
        <v>29.273037457701644</v>
      </c>
      <c r="F124" s="12">
        <f t="shared" si="103"/>
        <v>1.197050929566553</v>
      </c>
      <c r="G124" s="12">
        <f t="shared" si="185"/>
        <v>1.4523501643887333</v>
      </c>
      <c r="H124" s="12">
        <f t="shared" si="186"/>
        <v>15.541741472563515</v>
      </c>
      <c r="I124" s="12">
        <f t="shared" si="106"/>
        <v>1.3059782005071718</v>
      </c>
      <c r="J124" s="12">
        <f t="shared" si="187"/>
        <v>16.850342192371041</v>
      </c>
      <c r="K124" s="13">
        <f t="shared" si="188"/>
        <v>2.8840430992809502E-2</v>
      </c>
      <c r="L124" s="13">
        <f t="shared" si="189"/>
        <v>68.585966126375453</v>
      </c>
      <c r="M124" s="13">
        <f t="shared" si="190"/>
        <v>1.4308868614667323E-3</v>
      </c>
      <c r="N124" s="13">
        <f t="shared" si="191"/>
        <v>1.5312060564101986E-2</v>
      </c>
      <c r="O124" s="13">
        <f t="shared" si="192"/>
        <v>74.827039025150938</v>
      </c>
      <c r="P124" s="13">
        <f t="shared" si="193"/>
        <v>1.6601322357015804E-2</v>
      </c>
      <c r="Q124" s="38">
        <v>767.67200000000003</v>
      </c>
      <c r="R124" s="38">
        <v>-113.306</v>
      </c>
      <c r="S124" s="38">
        <v>763.94399999999996</v>
      </c>
      <c r="T124" s="38">
        <v>-128.39400000000001</v>
      </c>
      <c r="U124" s="38">
        <v>746.62699999999995</v>
      </c>
      <c r="V124" s="38">
        <v>-109.28100000000001</v>
      </c>
      <c r="W124" s="38">
        <v>740.89099999999996</v>
      </c>
      <c r="X124" s="38">
        <v>-125.125</v>
      </c>
      <c r="Y124" s="38">
        <v>754.56399999999996</v>
      </c>
      <c r="Z124" s="38">
        <v>-119.10599999999999</v>
      </c>
      <c r="AA124" s="38">
        <v>754.67200000000003</v>
      </c>
      <c r="AB124" s="38">
        <v>-119.937</v>
      </c>
      <c r="AC124" s="38">
        <v>754.86099999999999</v>
      </c>
      <c r="AD124" s="38">
        <v>-118.497</v>
      </c>
      <c r="AE124" s="14" t="s">
        <v>216</v>
      </c>
      <c r="AF124" s="14" t="s">
        <v>212</v>
      </c>
      <c r="AG124" s="14" t="s">
        <v>224</v>
      </c>
      <c r="AH124" s="14" t="s">
        <v>225</v>
      </c>
      <c r="AI124" s="51" t="s">
        <v>224</v>
      </c>
      <c r="AJ124" s="55">
        <v>8.83836191123298E-5</v>
      </c>
      <c r="AK124" s="55">
        <v>8.5491569317382393E-5</v>
      </c>
      <c r="AL124" s="55">
        <v>7.8045509476085495E-5</v>
      </c>
      <c r="AM124" s="55">
        <v>7.9909268849038E-5</v>
      </c>
      <c r="AN124" s="51">
        <v>0.90843771185315203</v>
      </c>
    </row>
    <row r="125" spans="1:40" x14ac:dyDescent="0.35">
      <c r="A125" s="38" t="s">
        <v>132</v>
      </c>
      <c r="B125" s="14">
        <v>1</v>
      </c>
      <c r="C125" s="38">
        <v>80</v>
      </c>
      <c r="D125" s="14">
        <v>1015</v>
      </c>
      <c r="E125" s="12">
        <f t="shared" si="184"/>
        <v>24.644143421916734</v>
      </c>
      <c r="F125" s="12">
        <f t="shared" si="103"/>
        <v>1.328569766666118</v>
      </c>
      <c r="G125" s="12">
        <f t="shared" si="185"/>
        <v>0.65173767729047283</v>
      </c>
      <c r="H125" s="12">
        <f t="shared" si="186"/>
        <v>13.928829742659667</v>
      </c>
      <c r="I125" s="12">
        <f t="shared" si="106"/>
        <v>1.239614322695576</v>
      </c>
      <c r="J125" s="12">
        <f t="shared" si="187"/>
        <v>15.183795474123039</v>
      </c>
      <c r="K125" s="13">
        <f t="shared" si="188"/>
        <v>2.4279944258046044E-2</v>
      </c>
      <c r="L125" s="13">
        <f t="shared" si="189"/>
        <v>76.121440418649129</v>
      </c>
      <c r="M125" s="13">
        <f t="shared" si="190"/>
        <v>6.4210608600046579E-4</v>
      </c>
      <c r="N125" s="13">
        <f t="shared" si="191"/>
        <v>1.3722984968137604E-2</v>
      </c>
      <c r="O125" s="13">
        <f t="shared" si="192"/>
        <v>71.024668914424609</v>
      </c>
      <c r="P125" s="13">
        <f t="shared" si="193"/>
        <v>1.4959404408002995E-2</v>
      </c>
      <c r="Q125" s="38">
        <v>875.92600000000004</v>
      </c>
      <c r="R125" s="38">
        <v>-138.15799999999999</v>
      </c>
      <c r="S125" s="38">
        <v>872.62900000000002</v>
      </c>
      <c r="T125" s="38">
        <v>-151.691</v>
      </c>
      <c r="U125" s="38">
        <v>856.55399999999997</v>
      </c>
      <c r="V125" s="38">
        <v>-133.83000000000001</v>
      </c>
      <c r="W125" s="38">
        <v>853.66800000000001</v>
      </c>
      <c r="X125" s="38">
        <v>-148.73699999999999</v>
      </c>
      <c r="Y125" s="38">
        <v>865.48800000000006</v>
      </c>
      <c r="Z125" s="38">
        <v>-143.62100000000001</v>
      </c>
      <c r="AA125" s="38">
        <v>865.45699999999999</v>
      </c>
      <c r="AB125" s="38">
        <v>-143.96199999999999</v>
      </c>
      <c r="AC125" s="38">
        <v>865.48800000000006</v>
      </c>
      <c r="AD125" s="38">
        <v>-143.31100000000001</v>
      </c>
      <c r="AE125" s="14" t="s">
        <v>216</v>
      </c>
      <c r="AF125" s="14" t="s">
        <v>212</v>
      </c>
      <c r="AG125" s="14" t="s">
        <v>224</v>
      </c>
      <c r="AH125" s="14" t="s">
        <v>225</v>
      </c>
      <c r="AI125" s="51" t="s">
        <v>224</v>
      </c>
      <c r="AJ125" s="55">
        <v>7.8349857555388806E-5</v>
      </c>
      <c r="AK125" s="55">
        <v>5.9815061273022798E-5</v>
      </c>
      <c r="AL125" s="55">
        <v>7.0372772937950701E-5</v>
      </c>
      <c r="AM125" s="55">
        <v>6.08427678419764E-5</v>
      </c>
      <c r="AN125" s="51">
        <v>0.94970229702725795</v>
      </c>
    </row>
    <row r="126" spans="1:40" x14ac:dyDescent="0.35">
      <c r="A126" s="38" t="s">
        <v>132</v>
      </c>
      <c r="B126" s="14">
        <v>1</v>
      </c>
      <c r="C126" s="38">
        <v>90</v>
      </c>
      <c r="D126" s="14">
        <v>1015</v>
      </c>
      <c r="E126" s="12">
        <f t="shared" si="184"/>
        <v>23.699522547933288</v>
      </c>
      <c r="F126" s="12">
        <f t="shared" si="103"/>
        <v>1.3045852085951231</v>
      </c>
      <c r="G126" s="12">
        <f t="shared" si="185"/>
        <v>0</v>
      </c>
      <c r="H126" s="12">
        <f t="shared" si="186"/>
        <v>12.950114478258486</v>
      </c>
      <c r="I126" s="12">
        <f t="shared" si="106"/>
        <v>1.252916038704301</v>
      </c>
      <c r="J126" s="12">
        <f t="shared" si="187"/>
        <v>14.448757593647979</v>
      </c>
      <c r="K126" s="13">
        <f t="shared" si="188"/>
        <v>2.3349283298456442E-2</v>
      </c>
      <c r="L126" s="13">
        <f t="shared" si="189"/>
        <v>74.747226467694688</v>
      </c>
      <c r="M126" s="13">
        <f t="shared" si="190"/>
        <v>0</v>
      </c>
      <c r="N126" s="13">
        <f t="shared" si="191"/>
        <v>1.2758733476116736E-2</v>
      </c>
      <c r="O126" s="13">
        <f t="shared" si="192"/>
        <v>71.786801102006152</v>
      </c>
      <c r="P126" s="13">
        <f t="shared" si="193"/>
        <v>1.4235229156303427E-2</v>
      </c>
      <c r="Q126" s="38">
        <v>960.62599999999998</v>
      </c>
      <c r="R126" s="38">
        <v>-147.40899999999999</v>
      </c>
      <c r="S126" s="38">
        <v>960.91</v>
      </c>
      <c r="T126" s="38">
        <v>-160.35599999999999</v>
      </c>
      <c r="U126" s="38">
        <v>942.72500000000002</v>
      </c>
      <c r="V126" s="38">
        <v>-147.619</v>
      </c>
      <c r="W126" s="38">
        <v>941.98900000000003</v>
      </c>
      <c r="X126" s="38">
        <v>-162.04900000000001</v>
      </c>
      <c r="Y126" s="38">
        <v>952.29600000000005</v>
      </c>
      <c r="Z126" s="38">
        <v>-154.172</v>
      </c>
      <c r="AA126" s="38">
        <v>952.29600000000005</v>
      </c>
      <c r="AB126" s="38">
        <v>-154.172</v>
      </c>
      <c r="AC126" s="38">
        <v>952.29600000000005</v>
      </c>
      <c r="AD126" s="38">
        <v>-154.172</v>
      </c>
      <c r="AE126" s="14" t="s">
        <v>216</v>
      </c>
      <c r="AF126" s="14" t="s">
        <v>212</v>
      </c>
      <c r="AG126" s="14" t="s">
        <v>224</v>
      </c>
      <c r="AH126" s="14" t="s">
        <v>225</v>
      </c>
      <c r="AI126" s="51" t="s">
        <v>224</v>
      </c>
      <c r="AJ126" s="55">
        <v>6.9369573636827105E-5</v>
      </c>
      <c r="AK126" s="55">
        <v>5.3274382780460098E-5</v>
      </c>
      <c r="AL126" s="55">
        <v>5.79073323788491E-5</v>
      </c>
      <c r="AM126" s="55">
        <v>6.3865158581863E-5</v>
      </c>
      <c r="AN126" s="51">
        <v>0.99289434651300701</v>
      </c>
    </row>
    <row r="127" spans="1:40" x14ac:dyDescent="0.35">
      <c r="A127" s="38" t="s">
        <v>133</v>
      </c>
      <c r="B127" s="14">
        <v>1</v>
      </c>
      <c r="C127" s="38">
        <v>20</v>
      </c>
      <c r="D127" s="14">
        <v>1810</v>
      </c>
      <c r="E127" s="12">
        <f t="shared" ref="E127:E134" si="194">DIST2(Q127,R127,W127,X127)</f>
        <v>32.388877600960498</v>
      </c>
      <c r="F127" s="12">
        <f t="shared" si="103"/>
        <v>1.1077237692691955</v>
      </c>
      <c r="G127" s="12">
        <f t="shared" ref="G127:G134" si="195">DIST2(AA127,AB127,AC127,AD127)</f>
        <v>3.213130871906698</v>
      </c>
      <c r="H127" s="12">
        <f t="shared" ref="H127:H134" si="196">DIST2(Q127,R127,S127,T127)</f>
        <v>15.607098425075687</v>
      </c>
      <c r="I127" s="12">
        <f t="shared" si="106"/>
        <v>1.0901972578290475</v>
      </c>
      <c r="J127" s="12">
        <f t="shared" ref="J127:J134" si="197">DIST2(U127,V127,W127,X127)</f>
        <v>16.550250783598422</v>
      </c>
      <c r="K127" s="13">
        <f t="shared" ref="K127:K134" si="198">E127/D127</f>
        <v>1.7894407514342816E-2</v>
      </c>
      <c r="L127" s="13">
        <f t="shared" ref="L127:L134" si="199">F127*180/PI()</f>
        <v>63.467896845448301</v>
      </c>
      <c r="M127" s="13">
        <f t="shared" ref="M127:M134" si="200">G127/D127</f>
        <v>1.775210426467789E-3</v>
      </c>
      <c r="N127" s="13">
        <f t="shared" ref="N127:N134" si="201">H127/D127</f>
        <v>8.6227063121965125E-3</v>
      </c>
      <c r="O127" s="13">
        <f t="shared" ref="O127:O134" si="202">I127*180/PI()</f>
        <v>62.463701710340068</v>
      </c>
      <c r="P127" s="13">
        <f t="shared" ref="P127:P134" si="203">J127/D127</f>
        <v>9.1437849633140451E-3</v>
      </c>
      <c r="Q127" s="38">
        <v>433.71100000000001</v>
      </c>
      <c r="R127" s="38">
        <v>-91.040499999999994</v>
      </c>
      <c r="S127" s="38">
        <v>436.524</v>
      </c>
      <c r="T127" s="38">
        <v>-106.392</v>
      </c>
      <c r="U127" s="38">
        <v>408.197</v>
      </c>
      <c r="V127" s="38">
        <v>-101.494</v>
      </c>
      <c r="W127" s="38">
        <v>414.221</v>
      </c>
      <c r="X127" s="38">
        <v>-116.90900000000001</v>
      </c>
      <c r="Y127" s="38">
        <v>423.714</v>
      </c>
      <c r="Z127" s="38">
        <v>-103.749</v>
      </c>
      <c r="AA127" s="38">
        <v>424.26799999999997</v>
      </c>
      <c r="AB127" s="38">
        <v>-105.167</v>
      </c>
      <c r="AC127" s="38">
        <v>423.14100000000002</v>
      </c>
      <c r="AD127" s="38">
        <v>-102.158</v>
      </c>
      <c r="AE127" s="14" t="s">
        <v>215</v>
      </c>
      <c r="AF127" s="14" t="s">
        <v>211</v>
      </c>
      <c r="AG127" s="14" t="s">
        <v>222</v>
      </c>
      <c r="AH127" s="14" t="s">
        <v>222</v>
      </c>
      <c r="AI127" s="51" t="s">
        <v>222</v>
      </c>
      <c r="AJ127" s="55">
        <v>3.4432776014163198E-5</v>
      </c>
      <c r="AK127" s="55">
        <v>2.8878537895668599E-5</v>
      </c>
      <c r="AL127" s="55">
        <v>2.6427520527456499E-5</v>
      </c>
      <c r="AM127" s="55">
        <v>2.3841996123439499E-5</v>
      </c>
      <c r="AN127" s="51">
        <v>0.79400526614389899</v>
      </c>
    </row>
    <row r="128" spans="1:40" x14ac:dyDescent="0.35">
      <c r="A128" s="38" t="s">
        <v>133</v>
      </c>
      <c r="B128" s="14">
        <v>1</v>
      </c>
      <c r="C128" s="38">
        <v>30</v>
      </c>
      <c r="D128" s="14">
        <v>1810</v>
      </c>
      <c r="E128" s="12">
        <f t="shared" si="194"/>
        <v>45.909897952402382</v>
      </c>
      <c r="F128" s="12">
        <f t="shared" si="103"/>
        <v>0.7889423894081673</v>
      </c>
      <c r="G128" s="12">
        <f t="shared" si="195"/>
        <v>3.7638449755536043</v>
      </c>
      <c r="H128" s="12">
        <f t="shared" si="196"/>
        <v>17.491130609540367</v>
      </c>
      <c r="I128" s="12">
        <f t="shared" si="106"/>
        <v>0.85444789256070497</v>
      </c>
      <c r="J128" s="12">
        <f t="shared" si="197"/>
        <v>18.813600001063069</v>
      </c>
      <c r="K128" s="13">
        <f t="shared" si="198"/>
        <v>2.5364584504089713E-2</v>
      </c>
      <c r="L128" s="13">
        <f t="shared" si="199"/>
        <v>45.203069192054691</v>
      </c>
      <c r="M128" s="13">
        <f t="shared" si="200"/>
        <v>2.0794723621843118E-3</v>
      </c>
      <c r="N128" s="13">
        <f t="shared" si="201"/>
        <v>9.6636080715692633E-3</v>
      </c>
      <c r="O128" s="13">
        <f t="shared" si="202"/>
        <v>48.956258057576001</v>
      </c>
      <c r="P128" s="13">
        <f t="shared" si="203"/>
        <v>1.039425414423374E-2</v>
      </c>
      <c r="Q128" s="38">
        <v>635.46100000000001</v>
      </c>
      <c r="R128" s="38">
        <v>-126.63800000000001</v>
      </c>
      <c r="S128" s="38">
        <v>626.99</v>
      </c>
      <c r="T128" s="38">
        <v>-141.941</v>
      </c>
      <c r="U128" s="38">
        <v>601.27800000000002</v>
      </c>
      <c r="V128" s="38">
        <v>-105.254</v>
      </c>
      <c r="W128" s="38">
        <v>589.99</v>
      </c>
      <c r="X128" s="38">
        <v>-120.30500000000001</v>
      </c>
      <c r="Y128" s="38">
        <v>613.28700000000003</v>
      </c>
      <c r="Z128" s="38">
        <v>-123.379</v>
      </c>
      <c r="AA128" s="38">
        <v>612.19600000000003</v>
      </c>
      <c r="AB128" s="38">
        <v>-124.834</v>
      </c>
      <c r="AC128" s="38">
        <v>614.46900000000005</v>
      </c>
      <c r="AD128" s="38">
        <v>-121.834</v>
      </c>
      <c r="AE128" s="14" t="s">
        <v>215</v>
      </c>
      <c r="AF128" s="14" t="s">
        <v>211</v>
      </c>
      <c r="AG128" s="14" t="s">
        <v>222</v>
      </c>
      <c r="AH128" s="14" t="s">
        <v>222</v>
      </c>
      <c r="AI128" s="51" t="s">
        <v>222</v>
      </c>
      <c r="AJ128" s="55">
        <v>5.8811156405482197E-5</v>
      </c>
      <c r="AK128" s="55">
        <v>5.6001909434998901E-5</v>
      </c>
      <c r="AL128" s="55">
        <v>4.3447665822166498E-5</v>
      </c>
      <c r="AM128" s="55">
        <v>4.77512920851012E-5</v>
      </c>
      <c r="AN128" s="51">
        <v>0.794325604317349</v>
      </c>
    </row>
    <row r="129" spans="1:40" x14ac:dyDescent="0.35">
      <c r="A129" s="38" t="s">
        <v>133</v>
      </c>
      <c r="B129" s="14">
        <v>1</v>
      </c>
      <c r="C129" s="38">
        <v>40</v>
      </c>
      <c r="D129" s="14">
        <v>1810</v>
      </c>
      <c r="E129" s="12">
        <f t="shared" si="194"/>
        <v>46.950718556801675</v>
      </c>
      <c r="F129" s="12">
        <f t="shared" ref="F129:F192" si="204">ACOS((DIST2(Y129,Z129,S129,T129)^2 + DIST2(Y129,Z129,Q129,R129)^2 - DIST2(Q129,R129,S129,T129)^2)/(2*DIST2(Y129,Z129,S129,T129) * DIST2(Y129,Z129,Q129,R129)))</f>
        <v>0.80076871121231397</v>
      </c>
      <c r="G129" s="12">
        <f t="shared" si="195"/>
        <v>3.6019999999999754</v>
      </c>
      <c r="H129" s="12">
        <f t="shared" si="196"/>
        <v>18.901802797616952</v>
      </c>
      <c r="I129" s="12">
        <f t="shared" ref="I129:I192" si="205">ACOS((DIST2(Y129,Z129,W129,X129)^2 + DIST2(Y129,Z129,U129,V129)^2 - DIST2(U129,V129,W129,X129)^2)/(2*DIST2(Y129,Z129,W129,X129) * DIST2(Y129,Z129,U129,V129)))</f>
        <v>0.8591626409705917</v>
      </c>
      <c r="J129" s="12">
        <f t="shared" si="197"/>
        <v>19.171163371063333</v>
      </c>
      <c r="K129" s="13">
        <f t="shared" si="198"/>
        <v>2.5939623512045124E-2</v>
      </c>
      <c r="L129" s="13">
        <f t="shared" si="199"/>
        <v>45.880667518595835</v>
      </c>
      <c r="M129" s="13">
        <f t="shared" si="200"/>
        <v>1.9900552486187711E-3</v>
      </c>
      <c r="N129" s="13">
        <f t="shared" si="201"/>
        <v>1.044298497105909E-2</v>
      </c>
      <c r="O129" s="13">
        <f t="shared" si="202"/>
        <v>49.226393242928538</v>
      </c>
      <c r="P129" s="13">
        <f t="shared" si="203"/>
        <v>1.0591802967438306E-2</v>
      </c>
      <c r="Q129" s="38">
        <v>804.44500000000005</v>
      </c>
      <c r="R129" s="38">
        <v>-171.339</v>
      </c>
      <c r="S129" s="38">
        <v>805.31</v>
      </c>
      <c r="T129" s="38">
        <v>-190.221</v>
      </c>
      <c r="U129" s="38">
        <v>761.49400000000003</v>
      </c>
      <c r="V129" s="38">
        <v>-171.77199999999999</v>
      </c>
      <c r="W129" s="38">
        <v>761.78200000000004</v>
      </c>
      <c r="X129" s="38">
        <v>-190.941</v>
      </c>
      <c r="Y129" s="38">
        <v>782.55899999999997</v>
      </c>
      <c r="Z129" s="38">
        <v>-181.00399999999999</v>
      </c>
      <c r="AA129" s="38">
        <v>782.57100000000003</v>
      </c>
      <c r="AB129" s="38">
        <v>-182.95599999999999</v>
      </c>
      <c r="AC129" s="38">
        <v>782.57100000000003</v>
      </c>
      <c r="AD129" s="38">
        <v>-179.35400000000001</v>
      </c>
      <c r="AE129" s="14" t="s">
        <v>215</v>
      </c>
      <c r="AF129" s="14" t="s">
        <v>211</v>
      </c>
      <c r="AG129" s="14" t="s">
        <v>222</v>
      </c>
      <c r="AH129" s="14" t="s">
        <v>222</v>
      </c>
      <c r="AI129" s="51" t="s">
        <v>222</v>
      </c>
      <c r="AJ129" s="55">
        <v>6.1221600225878198E-5</v>
      </c>
      <c r="AK129" s="55">
        <v>6.4346582369280604E-5</v>
      </c>
      <c r="AL129" s="55">
        <v>5.10944145477856E-5</v>
      </c>
      <c r="AM129" s="55">
        <v>5.0762034125942401E-5</v>
      </c>
      <c r="AN129" s="51">
        <v>0.81116447310638295</v>
      </c>
    </row>
    <row r="130" spans="1:40" x14ac:dyDescent="0.35">
      <c r="A130" s="38" t="s">
        <v>133</v>
      </c>
      <c r="B130" s="14">
        <v>1</v>
      </c>
      <c r="C130" s="38">
        <v>50</v>
      </c>
      <c r="D130" s="14">
        <v>1810</v>
      </c>
      <c r="E130" s="12">
        <f t="shared" si="194"/>
        <v>46.316642365352799</v>
      </c>
      <c r="F130" s="12">
        <f t="shared" si="204"/>
        <v>0.79892353509762015</v>
      </c>
      <c r="G130" s="12">
        <f t="shared" si="195"/>
        <v>3.2829602495309183</v>
      </c>
      <c r="H130" s="12">
        <f t="shared" si="196"/>
        <v>18.58983499119881</v>
      </c>
      <c r="I130" s="12">
        <f t="shared" si="205"/>
        <v>0.84409979586854456</v>
      </c>
      <c r="J130" s="12">
        <f t="shared" si="197"/>
        <v>19.480161395635292</v>
      </c>
      <c r="K130" s="13">
        <f t="shared" si="198"/>
        <v>2.5589305174228066E-2</v>
      </c>
      <c r="L130" s="13">
        <f t="shared" si="199"/>
        <v>45.774946714765534</v>
      </c>
      <c r="M130" s="13">
        <f t="shared" si="200"/>
        <v>1.8137901931110046E-3</v>
      </c>
      <c r="N130" s="13">
        <f t="shared" si="201"/>
        <v>1.0270627066960669E-2</v>
      </c>
      <c r="O130" s="13">
        <f t="shared" si="202"/>
        <v>48.363355791121926</v>
      </c>
      <c r="P130" s="13">
        <f t="shared" si="203"/>
        <v>1.0762520108085797E-2</v>
      </c>
      <c r="Q130" s="38">
        <v>992.96699999999998</v>
      </c>
      <c r="R130" s="38">
        <v>-195.37</v>
      </c>
      <c r="S130" s="38">
        <v>988.33299999999997</v>
      </c>
      <c r="T130" s="38">
        <v>-213.37299999999999</v>
      </c>
      <c r="U130" s="38">
        <v>951.971</v>
      </c>
      <c r="V130" s="38">
        <v>-180.75399999999999</v>
      </c>
      <c r="W130" s="38">
        <v>946.83900000000006</v>
      </c>
      <c r="X130" s="38">
        <v>-199.54599999999999</v>
      </c>
      <c r="Y130" s="38">
        <v>969.899</v>
      </c>
      <c r="Z130" s="38">
        <v>-197.16800000000001</v>
      </c>
      <c r="AA130" s="38">
        <v>969.53599999999994</v>
      </c>
      <c r="AB130" s="38">
        <v>-198.65600000000001</v>
      </c>
      <c r="AC130" s="38">
        <v>970.45399999999995</v>
      </c>
      <c r="AD130" s="38">
        <v>-195.50399999999999</v>
      </c>
      <c r="AE130" s="14" t="s">
        <v>215</v>
      </c>
      <c r="AF130" s="14" t="s">
        <v>211</v>
      </c>
      <c r="AG130" s="14" t="s">
        <v>222</v>
      </c>
      <c r="AH130" s="14" t="s">
        <v>222</v>
      </c>
      <c r="AI130" s="51" t="s">
        <v>222</v>
      </c>
      <c r="AJ130" s="55">
        <v>6.4274537407282901E-5</v>
      </c>
      <c r="AK130" s="55">
        <v>6.2110630322639596E-5</v>
      </c>
      <c r="AL130" s="55">
        <v>5.1058189920942598E-5</v>
      </c>
      <c r="AM130" s="55">
        <v>5.35333291108327E-5</v>
      </c>
      <c r="AN130" s="51">
        <v>0.82756165862184905</v>
      </c>
    </row>
    <row r="131" spans="1:40" x14ac:dyDescent="0.35">
      <c r="A131" s="38" t="s">
        <v>133</v>
      </c>
      <c r="B131" s="14">
        <v>1</v>
      </c>
      <c r="C131" s="38">
        <v>60</v>
      </c>
      <c r="D131" s="14">
        <v>1810</v>
      </c>
      <c r="E131" s="12">
        <f t="shared" si="194"/>
        <v>47.016751578559656</v>
      </c>
      <c r="F131" s="12">
        <f t="shared" si="204"/>
        <v>0.87547414984338612</v>
      </c>
      <c r="G131" s="12">
        <f t="shared" si="195"/>
        <v>3.1583016005442857</v>
      </c>
      <c r="H131" s="12">
        <f t="shared" si="196"/>
        <v>20.664677205318203</v>
      </c>
      <c r="I131" s="12">
        <f t="shared" si="205"/>
        <v>0.87981954154885222</v>
      </c>
      <c r="J131" s="12">
        <f t="shared" si="197"/>
        <v>20.402834141363808</v>
      </c>
      <c r="K131" s="13">
        <f t="shared" si="198"/>
        <v>2.5976105844508098E-2</v>
      </c>
      <c r="L131" s="13">
        <f t="shared" si="199"/>
        <v>50.160973858829848</v>
      </c>
      <c r="M131" s="13">
        <f t="shared" si="200"/>
        <v>1.7449180113504341E-3</v>
      </c>
      <c r="N131" s="13">
        <f t="shared" si="201"/>
        <v>1.1416948732220001E-2</v>
      </c>
      <c r="O131" s="13">
        <f t="shared" si="202"/>
        <v>50.409946463884204</v>
      </c>
      <c r="P131" s="13">
        <f t="shared" si="203"/>
        <v>1.1272284056002104E-2</v>
      </c>
      <c r="Q131" s="38">
        <v>1169.33</v>
      </c>
      <c r="R131" s="38">
        <v>-259.83300000000003</v>
      </c>
      <c r="S131" s="38">
        <v>1164.24</v>
      </c>
      <c r="T131" s="38">
        <v>-279.86099999999999</v>
      </c>
      <c r="U131" s="38">
        <v>1129.45</v>
      </c>
      <c r="V131" s="38">
        <v>-244.727</v>
      </c>
      <c r="W131" s="38">
        <v>1122.49</v>
      </c>
      <c r="X131" s="38">
        <v>-263.90600000000001</v>
      </c>
      <c r="Y131" s="38">
        <v>1146.07</v>
      </c>
      <c r="Z131" s="38">
        <v>-262.404</v>
      </c>
      <c r="AA131" s="38">
        <v>1145.6199999999999</v>
      </c>
      <c r="AB131" s="38">
        <v>-263.98</v>
      </c>
      <c r="AC131" s="38">
        <v>1146.3900000000001</v>
      </c>
      <c r="AD131" s="38">
        <v>-260.91699999999997</v>
      </c>
      <c r="AE131" s="14" t="s">
        <v>215</v>
      </c>
      <c r="AF131" s="14" t="s">
        <v>211</v>
      </c>
      <c r="AG131" s="14" t="s">
        <v>222</v>
      </c>
      <c r="AH131" s="14" t="s">
        <v>222</v>
      </c>
      <c r="AI131" s="51" t="s">
        <v>222</v>
      </c>
      <c r="AJ131" s="55">
        <v>6.7425734867677803E-5</v>
      </c>
      <c r="AK131" s="55">
        <v>6.91012011232867E-5</v>
      </c>
      <c r="AL131" s="55">
        <v>5.9485601782606701E-5</v>
      </c>
      <c r="AM131" s="55">
        <v>5.5851416318182799E-5</v>
      </c>
      <c r="AN131" s="51">
        <v>0.84479313377707799</v>
      </c>
    </row>
    <row r="132" spans="1:40" x14ac:dyDescent="0.35">
      <c r="A132" s="38" t="s">
        <v>133</v>
      </c>
      <c r="B132" s="14">
        <v>1</v>
      </c>
      <c r="C132" s="38">
        <v>70</v>
      </c>
      <c r="D132" s="14">
        <v>1810</v>
      </c>
      <c r="E132" s="12">
        <f t="shared" si="194"/>
        <v>46.441368724446534</v>
      </c>
      <c r="F132" s="12">
        <f t="shared" si="204"/>
        <v>0.90308442944439493</v>
      </c>
      <c r="G132" s="12">
        <f t="shared" si="195"/>
        <v>2.6930742655931179</v>
      </c>
      <c r="H132" s="12">
        <f t="shared" si="196"/>
        <v>20.387001348898753</v>
      </c>
      <c r="I132" s="12">
        <f t="shared" si="205"/>
        <v>0.90192013036670737</v>
      </c>
      <c r="J132" s="12">
        <f t="shared" si="197"/>
        <v>20.368353492612009</v>
      </c>
      <c r="K132" s="13">
        <f t="shared" si="198"/>
        <v>2.5658214764887586E-2</v>
      </c>
      <c r="L132" s="13">
        <f t="shared" si="199"/>
        <v>51.742926351143801</v>
      </c>
      <c r="M132" s="13">
        <f t="shared" si="200"/>
        <v>1.4878863345818331E-3</v>
      </c>
      <c r="N132" s="13">
        <f t="shared" si="201"/>
        <v>1.126353665685014E-2</v>
      </c>
      <c r="O132" s="13">
        <f t="shared" si="202"/>
        <v>51.676216927901336</v>
      </c>
      <c r="P132" s="13">
        <f t="shared" si="203"/>
        <v>1.1253233973818789E-2</v>
      </c>
      <c r="Q132" s="38">
        <v>1347.31</v>
      </c>
      <c r="R132" s="38">
        <v>-281.88900000000001</v>
      </c>
      <c r="S132" s="38">
        <v>1346.43</v>
      </c>
      <c r="T132" s="38">
        <v>-302.25700000000001</v>
      </c>
      <c r="U132" s="38">
        <v>1304.93</v>
      </c>
      <c r="V132" s="38">
        <v>-280.24400000000003</v>
      </c>
      <c r="W132" s="38">
        <v>1304.81</v>
      </c>
      <c r="X132" s="38">
        <v>-300.61200000000002</v>
      </c>
      <c r="Y132" s="38">
        <v>1325.86</v>
      </c>
      <c r="Z132" s="38">
        <v>-291.50799999999998</v>
      </c>
      <c r="AA132" s="38">
        <v>1325.9</v>
      </c>
      <c r="AB132" s="38">
        <v>-292.834</v>
      </c>
      <c r="AC132" s="38">
        <v>1325.88</v>
      </c>
      <c r="AD132" s="38">
        <v>-290.14100000000002</v>
      </c>
      <c r="AE132" s="14" t="s">
        <v>215</v>
      </c>
      <c r="AF132" s="14" t="s">
        <v>211</v>
      </c>
      <c r="AG132" s="14" t="s">
        <v>222</v>
      </c>
      <c r="AH132" s="14" t="s">
        <v>222</v>
      </c>
      <c r="AI132" s="51" t="s">
        <v>222</v>
      </c>
      <c r="AJ132" s="55">
        <v>6.5268752480082706E-5</v>
      </c>
      <c r="AK132" s="55">
        <v>6.5387027258020496E-5</v>
      </c>
      <c r="AL132" s="55">
        <v>5.8754633558193999E-5</v>
      </c>
      <c r="AM132" s="55">
        <v>5.4701231647385901E-5</v>
      </c>
      <c r="AN132" s="51">
        <v>0.86835703275430898</v>
      </c>
    </row>
    <row r="133" spans="1:40" x14ac:dyDescent="0.35">
      <c r="A133" s="38" t="s">
        <v>133</v>
      </c>
      <c r="B133" s="14">
        <v>1</v>
      </c>
      <c r="C133" s="38">
        <v>80</v>
      </c>
      <c r="D133" s="14">
        <v>1810</v>
      </c>
      <c r="E133" s="12">
        <f t="shared" si="194"/>
        <v>45.886564526013579</v>
      </c>
      <c r="F133" s="12">
        <f t="shared" si="204"/>
        <v>0.92185482139810038</v>
      </c>
      <c r="G133" s="12">
        <f t="shared" si="195"/>
        <v>2.91447147867326</v>
      </c>
      <c r="H133" s="12">
        <f t="shared" si="196"/>
        <v>19.611008158684754</v>
      </c>
      <c r="I133" s="12">
        <f t="shared" si="205"/>
        <v>0.85438589240934482</v>
      </c>
      <c r="J133" s="12">
        <f t="shared" si="197"/>
        <v>19.330616674074324</v>
      </c>
      <c r="K133" s="13">
        <f t="shared" si="198"/>
        <v>2.5351693108294795E-2</v>
      </c>
      <c r="L133" s="13">
        <f t="shared" si="199"/>
        <v>52.818390589897447</v>
      </c>
      <c r="M133" s="13">
        <f t="shared" si="200"/>
        <v>1.6102052368360553E-3</v>
      </c>
      <c r="N133" s="13">
        <f t="shared" si="201"/>
        <v>1.0834811137394892E-2</v>
      </c>
      <c r="O133" s="13">
        <f t="shared" si="202"/>
        <v>48.952705710573895</v>
      </c>
      <c r="P133" s="13">
        <f t="shared" si="203"/>
        <v>1.067989871495819E-2</v>
      </c>
      <c r="Q133" s="38">
        <v>1522.98</v>
      </c>
      <c r="R133" s="38">
        <v>-280.01</v>
      </c>
      <c r="S133" s="38">
        <v>1524.1</v>
      </c>
      <c r="T133" s="38">
        <v>-299.589</v>
      </c>
      <c r="U133" s="38">
        <v>1482.57</v>
      </c>
      <c r="V133" s="38">
        <v>-282.87900000000002</v>
      </c>
      <c r="W133" s="38">
        <v>1482.82</v>
      </c>
      <c r="X133" s="38">
        <v>-302.20800000000003</v>
      </c>
      <c r="Y133" s="38">
        <v>1503.82</v>
      </c>
      <c r="Z133" s="38">
        <v>-290.78899999999999</v>
      </c>
      <c r="AA133" s="38">
        <v>1503.88</v>
      </c>
      <c r="AB133" s="38">
        <v>-292.21699999999998</v>
      </c>
      <c r="AC133" s="38">
        <v>1503.76</v>
      </c>
      <c r="AD133" s="38">
        <v>-289.30500000000001</v>
      </c>
      <c r="AE133" s="14" t="s">
        <v>215</v>
      </c>
      <c r="AF133" s="14" t="s">
        <v>211</v>
      </c>
      <c r="AG133" s="14" t="s">
        <v>222</v>
      </c>
      <c r="AH133" s="14" t="s">
        <v>222</v>
      </c>
      <c r="AI133" s="51" t="s">
        <v>222</v>
      </c>
      <c r="AJ133" s="55">
        <v>6.2385725405207399E-5</v>
      </c>
      <c r="AK133" s="55">
        <v>5.9095589267727003E-5</v>
      </c>
      <c r="AL133" s="55">
        <v>4.8910101950489999E-5</v>
      </c>
      <c r="AM133" s="55">
        <v>5.4527080980434098E-5</v>
      </c>
      <c r="AN133" s="51">
        <v>0.85146578475388801</v>
      </c>
    </row>
    <row r="134" spans="1:40" x14ac:dyDescent="0.35">
      <c r="A134" s="38" t="s">
        <v>133</v>
      </c>
      <c r="B134" s="14">
        <v>1</v>
      </c>
      <c r="C134" s="38">
        <v>90</v>
      </c>
      <c r="D134" s="14">
        <v>1810</v>
      </c>
      <c r="E134" s="12">
        <f t="shared" si="194"/>
        <v>42.024267620031218</v>
      </c>
      <c r="F134" s="12">
        <f t="shared" si="204"/>
        <v>1.1549210576226057</v>
      </c>
      <c r="G134" s="12">
        <f t="shared" si="195"/>
        <v>4.8016951173518008</v>
      </c>
      <c r="H134" s="12">
        <f t="shared" si="196"/>
        <v>18.774252688189762</v>
      </c>
      <c r="I134" s="12">
        <f t="shared" si="205"/>
        <v>0.56329326991676831</v>
      </c>
      <c r="J134" s="12">
        <f t="shared" si="197"/>
        <v>13.255011920024868</v>
      </c>
      <c r="K134" s="13">
        <f t="shared" si="198"/>
        <v>2.321782741438189E-2</v>
      </c>
      <c r="L134" s="13">
        <f t="shared" si="199"/>
        <v>66.17210227256065</v>
      </c>
      <c r="M134" s="13">
        <f t="shared" si="200"/>
        <v>2.6528702305811053E-3</v>
      </c>
      <c r="N134" s="13">
        <f t="shared" si="201"/>
        <v>1.037251529734241E-2</v>
      </c>
      <c r="O134" s="13">
        <f t="shared" si="202"/>
        <v>32.274326994354325</v>
      </c>
      <c r="P134" s="13">
        <f t="shared" si="203"/>
        <v>7.3232110055386013E-3</v>
      </c>
      <c r="Q134" s="38">
        <v>1698.88</v>
      </c>
      <c r="R134" s="38">
        <v>-262.07900000000001</v>
      </c>
      <c r="S134" s="38">
        <v>1699.98</v>
      </c>
      <c r="T134" s="38">
        <v>-280.82100000000003</v>
      </c>
      <c r="U134" s="38">
        <v>1662.36</v>
      </c>
      <c r="V134" s="38">
        <v>-271.03699999999998</v>
      </c>
      <c r="W134" s="38">
        <v>1663.19</v>
      </c>
      <c r="X134" s="38">
        <v>-284.26600000000002</v>
      </c>
      <c r="Y134" s="38">
        <v>1685.35</v>
      </c>
      <c r="Z134" s="38">
        <v>-274.23700000000002</v>
      </c>
      <c r="AA134" s="38">
        <v>1685.87</v>
      </c>
      <c r="AB134" s="38">
        <v>-276.63900000000001</v>
      </c>
      <c r="AC134" s="38">
        <v>1684.77</v>
      </c>
      <c r="AD134" s="38">
        <v>-271.96499999999997</v>
      </c>
      <c r="AE134" s="14" t="s">
        <v>215</v>
      </c>
      <c r="AF134" s="14" t="s">
        <v>211</v>
      </c>
      <c r="AG134" s="14" t="s">
        <v>222</v>
      </c>
      <c r="AH134" s="14" t="s">
        <v>222</v>
      </c>
      <c r="AI134" s="51" t="s">
        <v>222</v>
      </c>
      <c r="AJ134" s="55">
        <v>4.60118296144807E-5</v>
      </c>
      <c r="AK134" s="55">
        <v>4.0742507859955903E-5</v>
      </c>
      <c r="AL134" s="55">
        <v>3.5810771954458097E-5</v>
      </c>
      <c r="AM134" s="55">
        <v>3.0900267085864397E-5</v>
      </c>
      <c r="AN134" s="51">
        <v>0.76896488385932105</v>
      </c>
    </row>
    <row r="135" spans="1:40" x14ac:dyDescent="0.35">
      <c r="A135" s="38" t="s">
        <v>134</v>
      </c>
      <c r="B135" s="14">
        <v>1</v>
      </c>
      <c r="C135" s="38">
        <v>40</v>
      </c>
      <c r="D135" s="14">
        <v>617</v>
      </c>
      <c r="E135" s="12">
        <f t="shared" ref="E135:E140" si="206">DIST2(Q135,R135,W135,X135)</f>
        <v>16.789829328793065</v>
      </c>
      <c r="F135" s="12">
        <f t="shared" si="204"/>
        <v>0.81966606460298475</v>
      </c>
      <c r="G135" s="12">
        <f t="shared" ref="G135:G140" si="207">DIST2(AA135,AB135,AC135,AD135)</f>
        <v>5.5366998193869925</v>
      </c>
      <c r="H135" s="12">
        <f t="shared" ref="H135:H140" si="208">DIST2(Q135,R135,S135,T135)</f>
        <v>6.2245257851502167</v>
      </c>
      <c r="I135" s="12">
        <f t="shared" si="205"/>
        <v>1.3622526590219544</v>
      </c>
      <c r="J135" s="12">
        <f t="shared" ref="J135:J140" si="209">DIST2(U135,V135,W135,X135)</f>
        <v>11.140337133139191</v>
      </c>
      <c r="K135" s="13">
        <f t="shared" ref="K135:K140" si="210">E135/D135</f>
        <v>2.7212041051528468E-2</v>
      </c>
      <c r="L135" s="13">
        <f t="shared" ref="L135:L140" si="211">F135*180/PI()</f>
        <v>46.963406111848506</v>
      </c>
      <c r="M135" s="13">
        <f t="shared" ref="M135:M140" si="212">G135/D135</f>
        <v>8.9735815549221928E-3</v>
      </c>
      <c r="N135" s="13">
        <f t="shared" ref="N135:N140" si="213">H135/D135</f>
        <v>1.008837242325805E-2</v>
      </c>
      <c r="O135" s="13">
        <f t="shared" ref="O135:O140" si="214">I135*180/PI()</f>
        <v>78.051327992432007</v>
      </c>
      <c r="P135" s="13">
        <f t="shared" ref="P135:P140" si="215">J135/D135</f>
        <v>1.8055651755493018E-2</v>
      </c>
      <c r="Q135" s="38">
        <v>301.36500000000001</v>
      </c>
      <c r="R135" s="38">
        <v>-61.1997</v>
      </c>
      <c r="S135" s="38">
        <v>301.25200000000001</v>
      </c>
      <c r="T135" s="38">
        <v>-67.423199999999994</v>
      </c>
      <c r="U135" s="38">
        <v>288.07</v>
      </c>
      <c r="V135" s="38">
        <v>-58.034199999999998</v>
      </c>
      <c r="W135" s="38">
        <v>286.53300000000002</v>
      </c>
      <c r="X135" s="38">
        <v>-69.067999999999998</v>
      </c>
      <c r="Y135" s="38">
        <v>294.15899999999999</v>
      </c>
      <c r="Z135" s="38">
        <v>-63.913800000000002</v>
      </c>
      <c r="AA135" s="38">
        <v>294.08100000000002</v>
      </c>
      <c r="AB135" s="38">
        <v>-66.602599999999995</v>
      </c>
      <c r="AC135" s="38">
        <v>294.27499999999998</v>
      </c>
      <c r="AD135" s="38">
        <v>-61.069299999999998</v>
      </c>
      <c r="AE135" s="14" t="s">
        <v>213</v>
      </c>
      <c r="AF135" s="14" t="s">
        <v>212</v>
      </c>
      <c r="AG135" s="14" t="s">
        <v>223</v>
      </c>
      <c r="AH135" s="14" t="s">
        <v>225</v>
      </c>
      <c r="AI135" s="51" t="s">
        <v>223</v>
      </c>
      <c r="AJ135" s="51">
        <v>1.00110265072014E-4</v>
      </c>
      <c r="AK135" s="55">
        <v>5.8498994848813702E-5</v>
      </c>
      <c r="AL135" s="55">
        <v>2.72003223103374E-5</v>
      </c>
      <c r="AM135" s="55">
        <v>3.1355348066269302E-5</v>
      </c>
      <c r="AN135" s="51">
        <v>0.36918191539280698</v>
      </c>
    </row>
    <row r="136" spans="1:40" x14ac:dyDescent="0.35">
      <c r="A136" s="38" t="s">
        <v>134</v>
      </c>
      <c r="B136" s="14">
        <v>1</v>
      </c>
      <c r="C136" s="38">
        <v>50</v>
      </c>
      <c r="D136" s="14">
        <v>617</v>
      </c>
      <c r="E136" s="12">
        <f t="shared" si="206"/>
        <v>17.290317181590389</v>
      </c>
      <c r="F136" s="12">
        <f t="shared" si="204"/>
        <v>1.355762702741103</v>
      </c>
      <c r="G136" s="12">
        <f t="shared" si="207"/>
        <v>0.20913861432073078</v>
      </c>
      <c r="H136" s="12">
        <f t="shared" si="208"/>
        <v>13.262282099623725</v>
      </c>
      <c r="I136" s="12">
        <f t="shared" si="205"/>
        <v>0.75618973484791496</v>
      </c>
      <c r="J136" s="12">
        <f t="shared" si="209"/>
        <v>5.1051584147801004</v>
      </c>
      <c r="K136" s="13">
        <f t="shared" si="210"/>
        <v>2.8023204508250226E-2</v>
      </c>
      <c r="L136" s="13">
        <f t="shared" si="211"/>
        <v>77.679480888314814</v>
      </c>
      <c r="M136" s="13">
        <f t="shared" si="212"/>
        <v>3.3896047701901258E-4</v>
      </c>
      <c r="N136" s="13">
        <f t="shared" si="213"/>
        <v>2.1494784602307495E-2</v>
      </c>
      <c r="O136" s="13">
        <f t="shared" si="214"/>
        <v>43.326480317902323</v>
      </c>
      <c r="P136" s="13">
        <f t="shared" si="215"/>
        <v>8.2741627468072947E-3</v>
      </c>
      <c r="Q136" s="38">
        <v>363.041</v>
      </c>
      <c r="R136" s="38">
        <v>-66.709500000000006</v>
      </c>
      <c r="S136" s="38">
        <v>361.363</v>
      </c>
      <c r="T136" s="38">
        <v>-79.865200000000002</v>
      </c>
      <c r="U136" s="38">
        <v>347.73700000000002</v>
      </c>
      <c r="V136" s="38">
        <v>-69.260099999999994</v>
      </c>
      <c r="W136" s="38">
        <v>347.536</v>
      </c>
      <c r="X136" s="38">
        <v>-74.3613</v>
      </c>
      <c r="Y136" s="38">
        <v>353.99599999999998</v>
      </c>
      <c r="Z136" s="38">
        <v>-72.6083</v>
      </c>
      <c r="AA136" s="38">
        <v>353.98099999999999</v>
      </c>
      <c r="AB136" s="38">
        <v>-72.712599999999995</v>
      </c>
      <c r="AC136" s="38">
        <v>353.99599999999998</v>
      </c>
      <c r="AD136" s="38">
        <v>-72.504000000000005</v>
      </c>
      <c r="AE136" s="14" t="s">
        <v>213</v>
      </c>
      <c r="AF136" s="14" t="s">
        <v>212</v>
      </c>
      <c r="AG136" s="14" t="s">
        <v>223</v>
      </c>
      <c r="AH136" s="14" t="s">
        <v>225</v>
      </c>
      <c r="AI136" s="51" t="s">
        <v>223</v>
      </c>
      <c r="AJ136" s="55">
        <v>4.2818940132233797E-5</v>
      </c>
      <c r="AK136" s="51">
        <v>1.4328640977280701E-4</v>
      </c>
      <c r="AL136" s="55">
        <v>8.6171193546438003E-5</v>
      </c>
      <c r="AM136" s="55">
        <v>7.6531250443275306E-5</v>
      </c>
      <c r="AN136" s="51">
        <v>0.87424915013314397</v>
      </c>
    </row>
    <row r="137" spans="1:40" x14ac:dyDescent="0.35">
      <c r="A137" s="38" t="s">
        <v>134</v>
      </c>
      <c r="B137" s="14">
        <v>1</v>
      </c>
      <c r="C137" s="38">
        <v>60</v>
      </c>
      <c r="D137" s="14">
        <v>617</v>
      </c>
      <c r="E137" s="12">
        <f t="shared" si="206"/>
        <v>21.756716315657584</v>
      </c>
      <c r="F137" s="12">
        <f t="shared" si="204"/>
        <v>0.94259250509099735</v>
      </c>
      <c r="G137" s="12">
        <f t="shared" si="207"/>
        <v>0.12640000000000384</v>
      </c>
      <c r="H137" s="12">
        <f t="shared" si="208"/>
        <v>10.003839893260993</v>
      </c>
      <c r="I137" s="12">
        <f t="shared" si="205"/>
        <v>0.97586601288755925</v>
      </c>
      <c r="J137" s="12">
        <f t="shared" si="209"/>
        <v>10.330559505176874</v>
      </c>
      <c r="K137" s="13">
        <f t="shared" si="210"/>
        <v>3.5262100997824286E-2</v>
      </c>
      <c r="L137" s="13">
        <f t="shared" si="211"/>
        <v>54.006572342377709</v>
      </c>
      <c r="M137" s="13">
        <f t="shared" si="212"/>
        <v>2.048622366288555E-4</v>
      </c>
      <c r="N137" s="13">
        <f t="shared" si="213"/>
        <v>1.6213678919385726E-2</v>
      </c>
      <c r="O137" s="13">
        <f t="shared" si="214"/>
        <v>55.913003908716355</v>
      </c>
      <c r="P137" s="13">
        <f t="shared" si="215"/>
        <v>1.6743208274192664E-2</v>
      </c>
      <c r="Q137" s="38">
        <v>432.84300000000002</v>
      </c>
      <c r="R137" s="38">
        <v>-70.868499999999997</v>
      </c>
      <c r="S137" s="38">
        <v>432.64600000000002</v>
      </c>
      <c r="T137" s="38">
        <v>-80.870400000000004</v>
      </c>
      <c r="U137" s="38">
        <v>413.36200000000002</v>
      </c>
      <c r="V137" s="38">
        <v>-69.822599999999994</v>
      </c>
      <c r="W137" s="38">
        <v>413.166</v>
      </c>
      <c r="X137" s="38">
        <v>-80.151300000000006</v>
      </c>
      <c r="Y137" s="38">
        <v>422.99400000000003</v>
      </c>
      <c r="Z137" s="38">
        <v>-74.909099999999995</v>
      </c>
      <c r="AA137" s="38">
        <v>422.99900000000002</v>
      </c>
      <c r="AB137" s="38">
        <v>-74.928700000000006</v>
      </c>
      <c r="AC137" s="38">
        <v>422.99900000000002</v>
      </c>
      <c r="AD137" s="38">
        <v>-74.802300000000002</v>
      </c>
      <c r="AE137" s="14" t="s">
        <v>213</v>
      </c>
      <c r="AF137" s="14" t="s">
        <v>212</v>
      </c>
      <c r="AG137" s="14" t="s">
        <v>223</v>
      </c>
      <c r="AH137" s="14" t="s">
        <v>225</v>
      </c>
      <c r="AI137" s="51" t="s">
        <v>223</v>
      </c>
      <c r="AJ137" s="51">
        <v>1.3197517185944499E-4</v>
      </c>
      <c r="AK137" s="51">
        <v>1.2833666706944501E-4</v>
      </c>
      <c r="AL137" s="51">
        <v>1.1417482170485599E-4</v>
      </c>
      <c r="AM137" s="51">
        <v>1.42908198424436E-4</v>
      </c>
      <c r="AN137" s="51">
        <v>0.98759634285984299</v>
      </c>
    </row>
    <row r="138" spans="1:40" x14ac:dyDescent="0.35">
      <c r="A138" s="38" t="s">
        <v>134</v>
      </c>
      <c r="B138" s="14">
        <v>1</v>
      </c>
      <c r="C138" s="38">
        <v>70</v>
      </c>
      <c r="D138" s="14">
        <v>617</v>
      </c>
      <c r="E138" s="12">
        <f t="shared" si="206"/>
        <v>21.551866580182814</v>
      </c>
      <c r="F138" s="12">
        <f t="shared" si="204"/>
        <v>1.0671798511131603</v>
      </c>
      <c r="G138" s="12">
        <f t="shared" si="207"/>
        <v>0.31290933191581333</v>
      </c>
      <c r="H138" s="12">
        <f t="shared" si="208"/>
        <v>10.25983967516061</v>
      </c>
      <c r="I138" s="12">
        <f t="shared" si="205"/>
        <v>1.1884032515276439</v>
      </c>
      <c r="J138" s="12">
        <f t="shared" si="209"/>
        <v>12.802309909153108</v>
      </c>
      <c r="K138" s="13">
        <f t="shared" si="210"/>
        <v>3.4930091702079114E-2</v>
      </c>
      <c r="L138" s="13">
        <f t="shared" si="211"/>
        <v>61.144901450183653</v>
      </c>
      <c r="M138" s="13">
        <f t="shared" si="212"/>
        <v>5.0714640504994051E-4</v>
      </c>
      <c r="N138" s="13">
        <f t="shared" si="213"/>
        <v>1.6628589424895639E-2</v>
      </c>
      <c r="O138" s="13">
        <f t="shared" si="214"/>
        <v>68.090490672157998</v>
      </c>
      <c r="P138" s="13">
        <f t="shared" si="215"/>
        <v>2.0749286724721407E-2</v>
      </c>
      <c r="Q138" s="38">
        <v>481.47300000000001</v>
      </c>
      <c r="R138" s="38">
        <v>-68.348200000000006</v>
      </c>
      <c r="S138" s="38">
        <v>482.03199999999998</v>
      </c>
      <c r="T138" s="38">
        <v>-78.592799999999997</v>
      </c>
      <c r="U138" s="38">
        <v>463.34300000000002</v>
      </c>
      <c r="V138" s="38">
        <v>-68.037800000000004</v>
      </c>
      <c r="W138" s="38">
        <v>463.90199999999999</v>
      </c>
      <c r="X138" s="38">
        <v>-80.8279</v>
      </c>
      <c r="Y138" s="38">
        <v>473.089</v>
      </c>
      <c r="Z138" s="38">
        <v>-74.0578</v>
      </c>
      <c r="AA138" s="38">
        <v>473.12</v>
      </c>
      <c r="AB138" s="38">
        <v>-74.198400000000007</v>
      </c>
      <c r="AC138" s="38">
        <v>473.10399999999998</v>
      </c>
      <c r="AD138" s="38">
        <v>-73.885900000000007</v>
      </c>
      <c r="AE138" s="14" t="s">
        <v>213</v>
      </c>
      <c r="AF138" s="14" t="s">
        <v>212</v>
      </c>
      <c r="AG138" s="14" t="s">
        <v>223</v>
      </c>
      <c r="AH138" s="14" t="s">
        <v>225</v>
      </c>
      <c r="AI138" s="51" t="s">
        <v>223</v>
      </c>
      <c r="AJ138" s="51">
        <v>1.5929949985421201E-4</v>
      </c>
      <c r="AK138" s="51">
        <v>1.1700153248452099E-4</v>
      </c>
      <c r="AL138" s="51">
        <v>1.35276089668995E-4</v>
      </c>
      <c r="AM138" s="51">
        <v>1.3080189235832899E-4</v>
      </c>
      <c r="AN138" s="51">
        <v>0.96300031807743602</v>
      </c>
    </row>
    <row r="139" spans="1:40" x14ac:dyDescent="0.35">
      <c r="A139" s="38" t="s">
        <v>134</v>
      </c>
      <c r="B139" s="14">
        <v>1</v>
      </c>
      <c r="C139" s="38">
        <v>80</v>
      </c>
      <c r="D139" s="14">
        <v>617</v>
      </c>
      <c r="E139" s="12">
        <f t="shared" si="206"/>
        <v>22.420224721442974</v>
      </c>
      <c r="F139" s="12">
        <f t="shared" si="204"/>
        <v>1.2371402857271323</v>
      </c>
      <c r="G139" s="12">
        <f t="shared" si="207"/>
        <v>0.25960785812452497</v>
      </c>
      <c r="H139" s="12">
        <f t="shared" si="208"/>
        <v>12.11828776849271</v>
      </c>
      <c r="I139" s="12">
        <f t="shared" si="205"/>
        <v>1.1329358631031012</v>
      </c>
      <c r="J139" s="12">
        <f t="shared" si="209"/>
        <v>12.588157083544834</v>
      </c>
      <c r="K139" s="13">
        <f t="shared" si="210"/>
        <v>3.6337479289210654E-2</v>
      </c>
      <c r="L139" s="13">
        <f t="shared" si="211"/>
        <v>70.882917037773439</v>
      </c>
      <c r="M139" s="13">
        <f t="shared" si="212"/>
        <v>4.2075827897005666E-4</v>
      </c>
      <c r="N139" s="13">
        <f t="shared" si="213"/>
        <v>1.9640660888967116E-2</v>
      </c>
      <c r="O139" s="13">
        <f t="shared" si="214"/>
        <v>64.91244341481891</v>
      </c>
      <c r="P139" s="13">
        <f t="shared" si="215"/>
        <v>2.0402199487106702E-2</v>
      </c>
      <c r="Q139" s="38">
        <v>554.48900000000003</v>
      </c>
      <c r="R139" s="38">
        <v>-66.58</v>
      </c>
      <c r="S139" s="38">
        <v>553.71900000000005</v>
      </c>
      <c r="T139" s="38">
        <v>-78.6738</v>
      </c>
      <c r="U139" s="38">
        <v>535.91399999999999</v>
      </c>
      <c r="V139" s="38">
        <v>-65.980800000000002</v>
      </c>
      <c r="W139" s="38">
        <v>535.54</v>
      </c>
      <c r="X139" s="38">
        <v>-78.563400000000001</v>
      </c>
      <c r="Y139" s="38">
        <v>545.60500000000002</v>
      </c>
      <c r="Z139" s="38">
        <v>-72.846900000000005</v>
      </c>
      <c r="AA139" s="38">
        <v>545.61099999999999</v>
      </c>
      <c r="AB139" s="38">
        <v>-72.966099999999997</v>
      </c>
      <c r="AC139" s="38">
        <v>545.58399999999995</v>
      </c>
      <c r="AD139" s="38">
        <v>-72.707899999999995</v>
      </c>
      <c r="AE139" s="14" t="s">
        <v>213</v>
      </c>
      <c r="AF139" s="14" t="s">
        <v>212</v>
      </c>
      <c r="AG139" s="14" t="s">
        <v>223</v>
      </c>
      <c r="AH139" s="14" t="s">
        <v>225</v>
      </c>
      <c r="AI139" s="51" t="s">
        <v>223</v>
      </c>
      <c r="AJ139" s="51">
        <v>1.6352704963894501E-4</v>
      </c>
      <c r="AK139" s="51">
        <v>1.3477642668950301E-4</v>
      </c>
      <c r="AL139" s="51">
        <v>1.56507829882135E-4</v>
      </c>
      <c r="AM139" s="51">
        <v>1.3510392354389099E-4</v>
      </c>
      <c r="AN139" s="51">
        <v>0.97756739886244604</v>
      </c>
    </row>
    <row r="140" spans="1:40" x14ac:dyDescent="0.35">
      <c r="A140" s="38" t="s">
        <v>134</v>
      </c>
      <c r="B140" s="14">
        <v>1</v>
      </c>
      <c r="C140" s="38">
        <v>90</v>
      </c>
      <c r="D140" s="14">
        <v>617</v>
      </c>
      <c r="E140" s="12">
        <f t="shared" si="206"/>
        <v>22.766226191663748</v>
      </c>
      <c r="F140" s="12">
        <f t="shared" si="204"/>
        <v>1.1940836071538219</v>
      </c>
      <c r="G140" s="12">
        <f t="shared" si="207"/>
        <v>0.5525999999999982</v>
      </c>
      <c r="H140" s="12">
        <f t="shared" si="208"/>
        <v>12.007170339426354</v>
      </c>
      <c r="I140" s="12">
        <f t="shared" si="205"/>
        <v>1.1513176613131675</v>
      </c>
      <c r="J140" s="12">
        <f t="shared" si="209"/>
        <v>12.842538550068664</v>
      </c>
      <c r="K140" s="13">
        <f t="shared" si="210"/>
        <v>3.6898259629925038E-2</v>
      </c>
      <c r="L140" s="13">
        <f t="shared" si="211"/>
        <v>68.415951075671387</v>
      </c>
      <c r="M140" s="13">
        <f t="shared" si="212"/>
        <v>8.9562398703403275E-4</v>
      </c>
      <c r="N140" s="13">
        <f t="shared" si="213"/>
        <v>1.9460567811063784E-2</v>
      </c>
      <c r="O140" s="13">
        <f t="shared" si="214"/>
        <v>65.965642872116831</v>
      </c>
      <c r="P140" s="13">
        <f t="shared" si="215"/>
        <v>2.0814487115184219E-2</v>
      </c>
      <c r="Q140" s="38">
        <v>613.96799999999996</v>
      </c>
      <c r="R140" s="38">
        <v>-70.359200000000001</v>
      </c>
      <c r="S140" s="38">
        <v>612.49599999999998</v>
      </c>
      <c r="T140" s="38">
        <v>-82.275800000000004</v>
      </c>
      <c r="U140" s="38">
        <v>595.32100000000003</v>
      </c>
      <c r="V140" s="38">
        <v>-68.256200000000007</v>
      </c>
      <c r="W140" s="38">
        <v>593.84900000000005</v>
      </c>
      <c r="X140" s="38">
        <v>-81.014099999999999</v>
      </c>
      <c r="Y140" s="38">
        <v>604.43899999999996</v>
      </c>
      <c r="Z140" s="38">
        <v>-75.512900000000002</v>
      </c>
      <c r="AA140" s="38">
        <v>604.39700000000005</v>
      </c>
      <c r="AB140" s="38">
        <v>-75.682900000000004</v>
      </c>
      <c r="AC140" s="38">
        <v>604.39700000000005</v>
      </c>
      <c r="AD140" s="38">
        <v>-75.130300000000005</v>
      </c>
      <c r="AE140" s="14" t="s">
        <v>213</v>
      </c>
      <c r="AF140" s="14" t="s">
        <v>212</v>
      </c>
      <c r="AG140" s="14" t="s">
        <v>223</v>
      </c>
      <c r="AH140" s="14" t="s">
        <v>225</v>
      </c>
      <c r="AI140" s="51" t="s">
        <v>223</v>
      </c>
      <c r="AJ140" s="51">
        <v>1.66813848837239E-4</v>
      </c>
      <c r="AK140" s="51">
        <v>1.3917795759793401E-4</v>
      </c>
      <c r="AL140" s="51">
        <v>1.4328561463556799E-4</v>
      </c>
      <c r="AM140" s="51">
        <v>1.4804643422846399E-4</v>
      </c>
      <c r="AN140" s="51">
        <v>0.952091012691066</v>
      </c>
    </row>
    <row r="141" spans="1:40" x14ac:dyDescent="0.35">
      <c r="A141" s="38" t="s">
        <v>135</v>
      </c>
      <c r="B141" s="14">
        <v>1</v>
      </c>
      <c r="C141" s="38">
        <v>30</v>
      </c>
      <c r="D141" s="14">
        <v>1399</v>
      </c>
      <c r="E141" s="12">
        <f t="shared" ref="E141:E147" si="216">DIST2(Q141,R141,W141,X141)</f>
        <v>34.462662012676851</v>
      </c>
      <c r="F141" s="12">
        <f t="shared" si="204"/>
        <v>1.4170267488728301</v>
      </c>
      <c r="G141" s="12">
        <f t="shared" ref="G141:G147" si="217">DIST2(AA141,AB141,AC141,AD141)</f>
        <v>0</v>
      </c>
      <c r="H141" s="12">
        <f t="shared" ref="H141:H147" si="218">DIST2(Q141,R141,S141,T141)</f>
        <v>24.45385076015636</v>
      </c>
      <c r="I141" s="12">
        <f t="shared" si="205"/>
        <v>1.5410266596975841</v>
      </c>
      <c r="J141" s="12">
        <f t="shared" ref="J141:J147" si="219">DIST2(U141,V141,W141,X141)</f>
        <v>21.606237178185385</v>
      </c>
      <c r="K141" s="13">
        <f t="shared" ref="K141:K147" si="220">E141/D141</f>
        <v>2.4633782710991318E-2</v>
      </c>
      <c r="L141" s="13">
        <f t="shared" ref="L141:L147" si="221">F141*180/PI()</f>
        <v>81.189652167557554</v>
      </c>
      <c r="M141" s="13">
        <f t="shared" ref="M141:M147" si="222">G141/D141</f>
        <v>0</v>
      </c>
      <c r="N141" s="13">
        <f t="shared" ref="N141:N147" si="223">H141/D141</f>
        <v>1.747952162984729E-2</v>
      </c>
      <c r="O141" s="13">
        <f t="shared" ref="O141:O147" si="224">I141*180/PI()</f>
        <v>88.294323717814521</v>
      </c>
      <c r="P141" s="13">
        <f t="shared" ref="P141:P147" si="225">J141/D141</f>
        <v>1.5444058025865178E-2</v>
      </c>
      <c r="Q141" s="38">
        <v>506.15899999999999</v>
      </c>
      <c r="R141" s="38">
        <v>-14.5312</v>
      </c>
      <c r="S141" s="38">
        <v>500.67500000000001</v>
      </c>
      <c r="T141" s="38">
        <v>-38.362200000000001</v>
      </c>
      <c r="U141" s="38">
        <v>481.19400000000002</v>
      </c>
      <c r="V141" s="38">
        <v>-10.370200000000001</v>
      </c>
      <c r="W141" s="38">
        <v>476.08699999999999</v>
      </c>
      <c r="X141" s="38">
        <v>-31.3642</v>
      </c>
      <c r="Y141" s="38">
        <v>489.51600000000002</v>
      </c>
      <c r="Z141" s="38">
        <v>-23.231400000000001</v>
      </c>
      <c r="AA141" s="38">
        <v>489.51600000000002</v>
      </c>
      <c r="AB141" s="38">
        <v>-23.231400000000001</v>
      </c>
      <c r="AC141" s="38">
        <v>489.51600000000002</v>
      </c>
      <c r="AD141" s="38">
        <v>-23.231400000000001</v>
      </c>
      <c r="AE141" s="14" t="s">
        <v>215</v>
      </c>
      <c r="AF141" s="14" t="s">
        <v>211</v>
      </c>
      <c r="AG141" s="14" t="s">
        <v>226</v>
      </c>
      <c r="AH141" s="14" t="s">
        <v>226</v>
      </c>
      <c r="AI141" s="51" t="s">
        <v>223</v>
      </c>
      <c r="AJ141" s="55">
        <v>6.1412756380157307E-5</v>
      </c>
      <c r="AK141" s="55">
        <v>8.9134288251436504E-5</v>
      </c>
      <c r="AL141" s="55">
        <v>7.3178997966994602E-5</v>
      </c>
      <c r="AM141" s="55">
        <v>7.5093316527020097E-5</v>
      </c>
      <c r="AN141" s="51">
        <v>0.98489023718037305</v>
      </c>
    </row>
    <row r="142" spans="1:40" x14ac:dyDescent="0.35">
      <c r="A142" s="38" t="s">
        <v>135</v>
      </c>
      <c r="B142" s="14">
        <v>1</v>
      </c>
      <c r="C142" s="38">
        <v>40</v>
      </c>
      <c r="D142" s="14">
        <v>1399</v>
      </c>
      <c r="E142" s="12">
        <f t="shared" si="216"/>
        <v>34.488237605885267</v>
      </c>
      <c r="F142" s="12">
        <f t="shared" si="204"/>
        <v>1.2763674970013064</v>
      </c>
      <c r="G142" s="12">
        <f t="shared" si="217"/>
        <v>1.8157447507841018</v>
      </c>
      <c r="H142" s="12">
        <f t="shared" si="218"/>
        <v>21.276494471599396</v>
      </c>
      <c r="I142" s="12">
        <f t="shared" si="205"/>
        <v>1.271149627021301</v>
      </c>
      <c r="J142" s="12">
        <f t="shared" si="219"/>
        <v>19.656450072177325</v>
      </c>
      <c r="K142" s="13">
        <f t="shared" si="220"/>
        <v>2.465206404995373E-2</v>
      </c>
      <c r="L142" s="13">
        <f t="shared" si="221"/>
        <v>73.130470685851606</v>
      </c>
      <c r="M142" s="13">
        <f t="shared" si="222"/>
        <v>1.2978875988449621E-3</v>
      </c>
      <c r="N142" s="13">
        <f t="shared" si="223"/>
        <v>1.5208359164831591E-2</v>
      </c>
      <c r="O142" s="13">
        <f t="shared" si="224"/>
        <v>72.831508757949294</v>
      </c>
      <c r="P142" s="13">
        <f t="shared" si="225"/>
        <v>1.4050357449733613E-2</v>
      </c>
      <c r="Q142" s="38">
        <v>658.99099999999999</v>
      </c>
      <c r="R142" s="38">
        <v>-39.267400000000002</v>
      </c>
      <c r="S142" s="38">
        <v>657.14200000000005</v>
      </c>
      <c r="T142" s="38">
        <v>-60.4634</v>
      </c>
      <c r="U142" s="38">
        <v>630.96699999999998</v>
      </c>
      <c r="V142" s="38">
        <v>-38.271599999999999</v>
      </c>
      <c r="W142" s="38">
        <v>629.971</v>
      </c>
      <c r="X142" s="38">
        <v>-57.902799999999999</v>
      </c>
      <c r="Y142" s="38">
        <v>643.78300000000002</v>
      </c>
      <c r="Z142" s="38">
        <v>-48.565199999999997</v>
      </c>
      <c r="AA142" s="38">
        <v>643.78300000000002</v>
      </c>
      <c r="AB142" s="38">
        <v>-49.498600000000003</v>
      </c>
      <c r="AC142" s="38">
        <v>643.83500000000004</v>
      </c>
      <c r="AD142" s="38">
        <v>-47.683599999999998</v>
      </c>
      <c r="AE142" s="14" t="s">
        <v>215</v>
      </c>
      <c r="AF142" s="14" t="s">
        <v>211</v>
      </c>
      <c r="AG142" s="14" t="s">
        <v>226</v>
      </c>
      <c r="AH142" s="14" t="s">
        <v>226</v>
      </c>
      <c r="AI142" s="51" t="s">
        <v>223</v>
      </c>
      <c r="AJ142" s="55">
        <v>6.6892946815375704E-5</v>
      </c>
      <c r="AK142" s="55">
        <v>7.7957536246915903E-5</v>
      </c>
      <c r="AL142" s="55">
        <v>6.41088814076837E-5</v>
      </c>
      <c r="AM142" s="55">
        <v>6.7371088968378904E-5</v>
      </c>
      <c r="AN142" s="51">
        <v>0.90769438662845803</v>
      </c>
    </row>
    <row r="143" spans="1:40" x14ac:dyDescent="0.35">
      <c r="A143" s="38" t="s">
        <v>135</v>
      </c>
      <c r="B143" s="14">
        <v>1</v>
      </c>
      <c r="C143" s="38">
        <v>50</v>
      </c>
      <c r="D143" s="14">
        <v>1399</v>
      </c>
      <c r="E143" s="12">
        <f t="shared" si="216"/>
        <v>38.545172382543626</v>
      </c>
      <c r="F143" s="12">
        <f t="shared" si="204"/>
        <v>1.0544527549067069</v>
      </c>
      <c r="G143" s="12">
        <f t="shared" si="217"/>
        <v>2.5070180872901524</v>
      </c>
      <c r="H143" s="12">
        <f t="shared" si="218"/>
        <v>21.253385155311143</v>
      </c>
      <c r="I143" s="12">
        <f t="shared" si="205"/>
        <v>1.2318150471193254</v>
      </c>
      <c r="J143" s="12">
        <f t="shared" si="219"/>
        <v>20.475483781586217</v>
      </c>
      <c r="K143" s="13">
        <f t="shared" si="220"/>
        <v>2.755194594892325E-2</v>
      </c>
      <c r="L143" s="13">
        <f t="shared" si="221"/>
        <v>60.415692552096907</v>
      </c>
      <c r="M143" s="13">
        <f t="shared" si="222"/>
        <v>1.792007210357507E-3</v>
      </c>
      <c r="N143" s="13">
        <f t="shared" si="223"/>
        <v>1.5191840711444705E-2</v>
      </c>
      <c r="O143" s="13">
        <f t="shared" si="224"/>
        <v>70.577803340645985</v>
      </c>
      <c r="P143" s="13">
        <f t="shared" si="225"/>
        <v>1.4635799700919383E-2</v>
      </c>
      <c r="Q143" s="38">
        <v>799.42200000000003</v>
      </c>
      <c r="R143" s="38">
        <v>-47.434100000000001</v>
      </c>
      <c r="S143" s="38">
        <v>798.88499999999999</v>
      </c>
      <c r="T143" s="38">
        <v>-68.680700000000002</v>
      </c>
      <c r="U143" s="38">
        <v>767.149</v>
      </c>
      <c r="V143" s="38">
        <v>-46.089399999999998</v>
      </c>
      <c r="W143" s="38">
        <v>765.93899999999996</v>
      </c>
      <c r="X143" s="38">
        <v>-66.5291</v>
      </c>
      <c r="Y143" s="38">
        <v>780.90300000000002</v>
      </c>
      <c r="Z143" s="38">
        <v>-57.991999999999997</v>
      </c>
      <c r="AA143" s="38">
        <v>780.90300000000002</v>
      </c>
      <c r="AB143" s="38">
        <v>-59.284399999999998</v>
      </c>
      <c r="AC143" s="38">
        <v>780.96299999999997</v>
      </c>
      <c r="AD143" s="38">
        <v>-56.778100000000002</v>
      </c>
      <c r="AE143" s="14" t="s">
        <v>215</v>
      </c>
      <c r="AF143" s="14" t="s">
        <v>211</v>
      </c>
      <c r="AG143" s="14" t="s">
        <v>226</v>
      </c>
      <c r="AH143" s="14" t="s">
        <v>226</v>
      </c>
      <c r="AI143" s="51" t="s">
        <v>223</v>
      </c>
      <c r="AJ143" s="55">
        <v>7.5498065809286E-5</v>
      </c>
      <c r="AK143" s="55">
        <v>9.9069076988004699E-5</v>
      </c>
      <c r="AL143" s="55">
        <v>8.3379461102871003E-5</v>
      </c>
      <c r="AM143" s="55">
        <v>6.9200973379841994E-5</v>
      </c>
      <c r="AN143" s="51">
        <v>0.87405013359181305</v>
      </c>
    </row>
    <row r="144" spans="1:40" x14ac:dyDescent="0.35">
      <c r="A144" s="38" t="s">
        <v>135</v>
      </c>
      <c r="B144" s="14">
        <v>1</v>
      </c>
      <c r="C144" s="38">
        <v>60</v>
      </c>
      <c r="D144" s="14">
        <v>1399</v>
      </c>
      <c r="E144" s="12">
        <f t="shared" si="216"/>
        <v>36.101401870287539</v>
      </c>
      <c r="F144" s="12">
        <f t="shared" si="204"/>
        <v>1.1515196594924166</v>
      </c>
      <c r="G144" s="12">
        <f t="shared" si="217"/>
        <v>1.3108000000000004</v>
      </c>
      <c r="H144" s="12">
        <f t="shared" si="218"/>
        <v>19.440377076847046</v>
      </c>
      <c r="I144" s="12">
        <f t="shared" si="205"/>
        <v>1.2270635410445703</v>
      </c>
      <c r="J144" s="12">
        <f t="shared" si="219"/>
        <v>21.155059305282034</v>
      </c>
      <c r="K144" s="13">
        <f t="shared" si="220"/>
        <v>2.5805147870112607E-2</v>
      </c>
      <c r="L144" s="13">
        <f t="shared" si="221"/>
        <v>65.97721651525714</v>
      </c>
      <c r="M144" s="13">
        <f t="shared" si="222"/>
        <v>9.3695496783416756E-4</v>
      </c>
      <c r="N144" s="13">
        <f t="shared" si="223"/>
        <v>1.3895909275802034E-2</v>
      </c>
      <c r="O144" s="13">
        <f t="shared" si="224"/>
        <v>70.305562096231739</v>
      </c>
      <c r="P144" s="13">
        <f t="shared" si="225"/>
        <v>1.5121557759315249E-2</v>
      </c>
      <c r="Q144" s="38">
        <v>937.63499999999999</v>
      </c>
      <c r="R144" s="38">
        <v>-46.427599999999998</v>
      </c>
      <c r="S144" s="38">
        <v>939.05700000000002</v>
      </c>
      <c r="T144" s="38">
        <v>-65.815899999999999</v>
      </c>
      <c r="U144" s="38">
        <v>907.79200000000003</v>
      </c>
      <c r="V144" s="38">
        <v>-47.442700000000002</v>
      </c>
      <c r="W144" s="38">
        <v>909.11099999999999</v>
      </c>
      <c r="X144" s="38">
        <v>-68.556600000000003</v>
      </c>
      <c r="Y144" s="38">
        <v>923.46500000000003</v>
      </c>
      <c r="Z144" s="38">
        <v>-57.7547</v>
      </c>
      <c r="AA144" s="38">
        <v>923.50800000000004</v>
      </c>
      <c r="AB144" s="38">
        <v>-58.339500000000001</v>
      </c>
      <c r="AC144" s="38">
        <v>923.50800000000004</v>
      </c>
      <c r="AD144" s="38">
        <v>-57.028700000000001</v>
      </c>
      <c r="AE144" s="14" t="s">
        <v>215</v>
      </c>
      <c r="AF144" s="14" t="s">
        <v>211</v>
      </c>
      <c r="AG144" s="14" t="s">
        <v>226</v>
      </c>
      <c r="AH144" s="14" t="s">
        <v>226</v>
      </c>
      <c r="AI144" s="51" t="s">
        <v>223</v>
      </c>
      <c r="AJ144" s="55">
        <v>8.10638832444906E-5</v>
      </c>
      <c r="AK144" s="55">
        <v>7.42998157062048E-5</v>
      </c>
      <c r="AL144" s="55">
        <v>7.7158224832298702E-5</v>
      </c>
      <c r="AM144" s="55">
        <v>6.8082792390766205E-5</v>
      </c>
      <c r="AN144" s="51">
        <v>0.934845257959242</v>
      </c>
    </row>
    <row r="145" spans="1:40" x14ac:dyDescent="0.35">
      <c r="A145" s="38" t="s">
        <v>135</v>
      </c>
      <c r="B145" s="14">
        <v>1</v>
      </c>
      <c r="C145" s="38">
        <v>70</v>
      </c>
      <c r="D145" s="14">
        <v>1399</v>
      </c>
      <c r="E145" s="12">
        <f t="shared" si="216"/>
        <v>34.289771162986717</v>
      </c>
      <c r="F145" s="12">
        <f t="shared" si="204"/>
        <v>1.2183893219196475</v>
      </c>
      <c r="G145" s="12">
        <f t="shared" si="217"/>
        <v>1.2216231865841574</v>
      </c>
      <c r="H145" s="12">
        <f t="shared" si="218"/>
        <v>20.235218411472594</v>
      </c>
      <c r="I145" s="12">
        <f t="shared" si="205"/>
        <v>1.2114806362084205</v>
      </c>
      <c r="J145" s="12">
        <f t="shared" si="219"/>
        <v>20.002428574800611</v>
      </c>
      <c r="K145" s="13">
        <f t="shared" si="220"/>
        <v>2.451020097425784E-2</v>
      </c>
      <c r="L145" s="13">
        <f t="shared" si="221"/>
        <v>69.808565949802002</v>
      </c>
      <c r="M145" s="13">
        <f t="shared" si="222"/>
        <v>8.7321171306944771E-4</v>
      </c>
      <c r="N145" s="13">
        <f t="shared" si="223"/>
        <v>1.4464058907414291E-2</v>
      </c>
      <c r="O145" s="13">
        <f t="shared" si="224"/>
        <v>69.412727416566355</v>
      </c>
      <c r="P145" s="13">
        <f t="shared" si="225"/>
        <v>1.429766159742717E-2</v>
      </c>
      <c r="Q145" s="38">
        <v>1067.55</v>
      </c>
      <c r="R145" s="38">
        <v>-32.737900000000003</v>
      </c>
      <c r="S145" s="38">
        <v>1071.1099999999999</v>
      </c>
      <c r="T145" s="38">
        <v>-52.657499999999999</v>
      </c>
      <c r="U145" s="38">
        <v>1039.17</v>
      </c>
      <c r="V145" s="38">
        <v>-35.7425</v>
      </c>
      <c r="W145" s="38">
        <v>1041.95</v>
      </c>
      <c r="X145" s="38">
        <v>-55.550800000000002</v>
      </c>
      <c r="Y145" s="38">
        <v>1054.9100000000001</v>
      </c>
      <c r="Z145" s="38">
        <v>-44.054699999999997</v>
      </c>
      <c r="AA145" s="38">
        <v>1054.99</v>
      </c>
      <c r="AB145" s="38">
        <v>-44.639400000000002</v>
      </c>
      <c r="AC145" s="38">
        <v>1054.83</v>
      </c>
      <c r="AD145" s="38">
        <v>-43.4283</v>
      </c>
      <c r="AE145" s="14" t="s">
        <v>215</v>
      </c>
      <c r="AF145" s="14" t="s">
        <v>211</v>
      </c>
      <c r="AG145" s="14" t="s">
        <v>226</v>
      </c>
      <c r="AH145" s="14" t="s">
        <v>226</v>
      </c>
      <c r="AI145" s="51" t="s">
        <v>223</v>
      </c>
      <c r="AJ145" s="55">
        <v>7.3746826718359699E-5</v>
      </c>
      <c r="AK145" s="55">
        <v>7.4614603201203302E-5</v>
      </c>
      <c r="AL145" s="55">
        <v>6.7743435651217905E-5</v>
      </c>
      <c r="AM145" s="55">
        <v>7.1645117696138096E-5</v>
      </c>
      <c r="AN145" s="51">
        <v>0.93952015306760095</v>
      </c>
    </row>
    <row r="146" spans="1:40" x14ac:dyDescent="0.35">
      <c r="A146" s="38" t="s">
        <v>135</v>
      </c>
      <c r="B146" s="14">
        <v>1</v>
      </c>
      <c r="C146" s="38">
        <v>80</v>
      </c>
      <c r="D146" s="14">
        <v>1399</v>
      </c>
      <c r="E146" s="12">
        <f t="shared" si="216"/>
        <v>34.710252468255014</v>
      </c>
      <c r="F146" s="12">
        <f t="shared" si="204"/>
        <v>1.2786882116471012</v>
      </c>
      <c r="G146" s="12">
        <f t="shared" si="217"/>
        <v>0.70555580927378991</v>
      </c>
      <c r="H146" s="12">
        <f t="shared" si="218"/>
        <v>20.345282275997054</v>
      </c>
      <c r="I146" s="12">
        <f t="shared" si="205"/>
        <v>1.2519963062659456</v>
      </c>
      <c r="J146" s="12">
        <f t="shared" si="219"/>
        <v>20.955986946216591</v>
      </c>
      <c r="K146" s="13">
        <f t="shared" si="220"/>
        <v>2.4810759448359553E-2</v>
      </c>
      <c r="L146" s="13">
        <f t="shared" si="221"/>
        <v>73.263437840509852</v>
      </c>
      <c r="M146" s="13">
        <f t="shared" si="222"/>
        <v>5.043286699598212E-4</v>
      </c>
      <c r="N146" s="13">
        <f t="shared" si="223"/>
        <v>1.4542732148675521E-2</v>
      </c>
      <c r="O146" s="13">
        <f t="shared" si="224"/>
        <v>71.734104315007102</v>
      </c>
      <c r="P146" s="13">
        <f t="shared" si="225"/>
        <v>1.4979261576995419E-2</v>
      </c>
      <c r="Q146" s="38">
        <v>1193.19</v>
      </c>
      <c r="R146" s="38">
        <v>-11.6225</v>
      </c>
      <c r="S146" s="38">
        <v>1196.94</v>
      </c>
      <c r="T146" s="38">
        <v>-31.619199999999999</v>
      </c>
      <c r="U146" s="38">
        <v>1165.55</v>
      </c>
      <c r="V146" s="38">
        <v>-15.867900000000001</v>
      </c>
      <c r="W146" s="38">
        <v>1169.02</v>
      </c>
      <c r="X146" s="38">
        <v>-36.534599999999998</v>
      </c>
      <c r="Y146" s="38">
        <v>1181.51</v>
      </c>
      <c r="Z146" s="38">
        <v>-23.438300000000002</v>
      </c>
      <c r="AA146" s="38">
        <v>1181.54</v>
      </c>
      <c r="AB146" s="38">
        <v>-23.803899999999999</v>
      </c>
      <c r="AC146" s="38">
        <v>1181.48</v>
      </c>
      <c r="AD146" s="38">
        <v>-23.100899999999999</v>
      </c>
      <c r="AE146" s="14" t="s">
        <v>215</v>
      </c>
      <c r="AF146" s="14" t="s">
        <v>211</v>
      </c>
      <c r="AG146" s="14" t="s">
        <v>226</v>
      </c>
      <c r="AH146" s="14" t="s">
        <v>226</v>
      </c>
      <c r="AI146" s="51" t="s">
        <v>223</v>
      </c>
      <c r="AJ146" s="55">
        <v>7.7552393443494193E-5</v>
      </c>
      <c r="AK146" s="55">
        <v>7.0986757619682703E-5</v>
      </c>
      <c r="AL146" s="55">
        <v>6.83499911353001E-5</v>
      </c>
      <c r="AM146" s="55">
        <v>7.5081796913040896E-5</v>
      </c>
      <c r="AN146" s="51">
        <v>0.965616048171275</v>
      </c>
    </row>
    <row r="147" spans="1:40" x14ac:dyDescent="0.35">
      <c r="A147" s="38" t="s">
        <v>135</v>
      </c>
      <c r="B147" s="14">
        <v>1</v>
      </c>
      <c r="C147" s="38">
        <v>90</v>
      </c>
      <c r="D147" s="14">
        <v>1399</v>
      </c>
      <c r="E147" s="12">
        <f t="shared" si="216"/>
        <v>33.441343321726769</v>
      </c>
      <c r="F147" s="12">
        <f t="shared" si="204"/>
        <v>1.2985230603505249</v>
      </c>
      <c r="G147" s="12">
        <f t="shared" si="217"/>
        <v>0</v>
      </c>
      <c r="H147" s="12">
        <f t="shared" si="218"/>
        <v>19.608430271941703</v>
      </c>
      <c r="I147" s="12">
        <f t="shared" si="205"/>
        <v>1.220859941951616</v>
      </c>
      <c r="J147" s="12">
        <f t="shared" si="219"/>
        <v>20.098862658459058</v>
      </c>
      <c r="K147" s="13">
        <f t="shared" si="220"/>
        <v>2.3903747906881181E-2</v>
      </c>
      <c r="L147" s="13">
        <f t="shared" si="221"/>
        <v>74.399890958496556</v>
      </c>
      <c r="M147" s="13">
        <f t="shared" si="222"/>
        <v>0</v>
      </c>
      <c r="N147" s="13">
        <f t="shared" si="223"/>
        <v>1.401603307501194E-2</v>
      </c>
      <c r="O147" s="13">
        <f t="shared" si="224"/>
        <v>69.950122050414279</v>
      </c>
      <c r="P147" s="13">
        <f t="shared" si="225"/>
        <v>1.4366592321986461E-2</v>
      </c>
      <c r="Q147" s="38">
        <v>1347.53</v>
      </c>
      <c r="R147" s="38">
        <v>21.136199999999999</v>
      </c>
      <c r="S147" s="38">
        <v>1352.05</v>
      </c>
      <c r="T147" s="38">
        <v>2.0558399999999999</v>
      </c>
      <c r="U147" s="38">
        <v>1320.78</v>
      </c>
      <c r="V147" s="38">
        <v>15.491099999999999</v>
      </c>
      <c r="W147" s="38">
        <v>1325.52</v>
      </c>
      <c r="X147" s="38">
        <v>-4.0408400000000002</v>
      </c>
      <c r="Y147" s="38">
        <v>1337.15</v>
      </c>
      <c r="Z147" s="38">
        <v>8.9428400000000003</v>
      </c>
      <c r="AA147" s="38">
        <v>1337.15</v>
      </c>
      <c r="AB147" s="38">
        <v>8.9428400000000003</v>
      </c>
      <c r="AC147" s="38">
        <v>1337.15</v>
      </c>
      <c r="AD147" s="38">
        <v>8.9428400000000003</v>
      </c>
      <c r="AE147" s="14" t="s">
        <v>215</v>
      </c>
      <c r="AF147" s="14" t="s">
        <v>211</v>
      </c>
      <c r="AG147" s="14" t="s">
        <v>226</v>
      </c>
      <c r="AH147" s="14" t="s">
        <v>226</v>
      </c>
      <c r="AI147" s="51" t="s">
        <v>223</v>
      </c>
      <c r="AJ147" s="55">
        <v>7.37530548472033E-5</v>
      </c>
      <c r="AK147" s="55">
        <v>6.4676066484739604E-5</v>
      </c>
      <c r="AL147" s="55">
        <v>6.8356863193918396E-5</v>
      </c>
      <c r="AM147" s="55">
        <v>6.9883635354774199E-5</v>
      </c>
      <c r="AN147" s="51">
        <v>0.99863740532746803</v>
      </c>
    </row>
    <row r="148" spans="1:40" x14ac:dyDescent="0.35">
      <c r="A148" s="38" t="s">
        <v>136</v>
      </c>
      <c r="B148" s="14">
        <v>1</v>
      </c>
      <c r="C148" s="38">
        <v>30</v>
      </c>
      <c r="D148" s="14">
        <v>889</v>
      </c>
      <c r="E148" s="12">
        <f t="shared" ref="E148:E154" si="226">DIST2(Q148,R148,W148,X148)</f>
        <v>21.459927741956598</v>
      </c>
      <c r="F148" s="12">
        <f t="shared" si="204"/>
        <v>1.0378435710231839</v>
      </c>
      <c r="G148" s="12">
        <f t="shared" ref="G148:G154" si="227">DIST2(AA148,AB148,AC148,AD148)</f>
        <v>0</v>
      </c>
      <c r="H148" s="12">
        <f t="shared" ref="H148:H154" si="228">DIST2(Q148,R148,S148,T148)</f>
        <v>10.510899143745981</v>
      </c>
      <c r="I148" s="12">
        <f t="shared" si="205"/>
        <v>1.0548743338503193</v>
      </c>
      <c r="J148" s="12">
        <f t="shared" ref="J148:J154" si="229">DIST2(U148,V148,W148,X148)</f>
        <v>10.81452694295964</v>
      </c>
      <c r="K148" s="13">
        <f t="shared" ref="K148:K154" si="230">E148/D148</f>
        <v>2.4139401284540604E-2</v>
      </c>
      <c r="L148" s="13">
        <f t="shared" ref="L148:L154" si="231">F148*180/PI()</f>
        <v>59.464056414414344</v>
      </c>
      <c r="M148" s="13">
        <f t="shared" ref="M148:M154" si="232">G148/D148</f>
        <v>0</v>
      </c>
      <c r="N148" s="13">
        <f t="shared" ref="N148:N154" si="233">H148/D148</f>
        <v>1.1823283626260946E-2</v>
      </c>
      <c r="O148" s="13">
        <f t="shared" ref="O148:O154" si="234">I148*180/PI()</f>
        <v>60.439847246297482</v>
      </c>
      <c r="P148" s="13">
        <f t="shared" ref="P148:P154" si="235">J148/D148</f>
        <v>1.2164822208053589E-2</v>
      </c>
      <c r="Q148" s="38">
        <v>854.40800000000002</v>
      </c>
      <c r="R148" s="38">
        <v>23.4709</v>
      </c>
      <c r="S148" s="38">
        <v>854.78599999999994</v>
      </c>
      <c r="T148" s="38">
        <v>12.966799999999999</v>
      </c>
      <c r="U148" s="38">
        <v>872.67200000000003</v>
      </c>
      <c r="V148" s="38">
        <v>24.322600000000001</v>
      </c>
      <c r="W148" s="38">
        <v>873.42899999999997</v>
      </c>
      <c r="X148" s="38">
        <v>13.534599999999999</v>
      </c>
      <c r="Y148" s="38">
        <v>863.77599999999995</v>
      </c>
      <c r="Z148" s="38">
        <v>18.834</v>
      </c>
      <c r="AA148" s="38">
        <v>863.77599999999995</v>
      </c>
      <c r="AB148" s="38">
        <v>18.834</v>
      </c>
      <c r="AC148" s="38">
        <v>863.77599999999995</v>
      </c>
      <c r="AD148" s="38">
        <v>18.834</v>
      </c>
      <c r="AE148" s="14" t="s">
        <v>215</v>
      </c>
      <c r="AF148" s="14" t="s">
        <v>211</v>
      </c>
      <c r="AG148" s="14" t="s">
        <v>222</v>
      </c>
      <c r="AH148" s="14" t="s">
        <v>222</v>
      </c>
      <c r="AI148" s="51" t="s">
        <v>223</v>
      </c>
      <c r="AJ148" s="55">
        <v>6.3344462693007303E-5</v>
      </c>
      <c r="AK148" s="55">
        <v>6.1145825936549607E-5</v>
      </c>
      <c r="AL148" s="55">
        <v>5.8626220991217497E-5</v>
      </c>
      <c r="AM148" s="55">
        <v>6.5971730221011597E-5</v>
      </c>
      <c r="AN148" s="51">
        <v>1.0008648271592699</v>
      </c>
    </row>
    <row r="149" spans="1:40" x14ac:dyDescent="0.35">
      <c r="A149" s="38" t="s">
        <v>136</v>
      </c>
      <c r="B149" s="14">
        <v>1</v>
      </c>
      <c r="C149" s="38">
        <v>40</v>
      </c>
      <c r="D149" s="14">
        <v>889</v>
      </c>
      <c r="E149" s="12">
        <f t="shared" si="226"/>
        <v>23.200902860934011</v>
      </c>
      <c r="F149" s="12">
        <f t="shared" si="204"/>
        <v>0.92010213267186336</v>
      </c>
      <c r="G149" s="12">
        <f t="shared" si="227"/>
        <v>0.80464924656647407</v>
      </c>
      <c r="H149" s="12">
        <f t="shared" si="228"/>
        <v>10.419869567441809</v>
      </c>
      <c r="I149" s="12">
        <f t="shared" si="205"/>
        <v>1.1579127769086359</v>
      </c>
      <c r="J149" s="12">
        <f t="shared" si="229"/>
        <v>12.844150720172195</v>
      </c>
      <c r="K149" s="13">
        <f t="shared" si="230"/>
        <v>2.6097753499363344E-2</v>
      </c>
      <c r="L149" s="13">
        <f t="shared" si="231"/>
        <v>52.717968923083902</v>
      </c>
      <c r="M149" s="13">
        <f t="shared" si="232"/>
        <v>9.0511726272944214E-4</v>
      </c>
      <c r="N149" s="13">
        <f t="shared" si="233"/>
        <v>1.1720888152352992E-2</v>
      </c>
      <c r="O149" s="13">
        <f t="shared" si="234"/>
        <v>66.343515161138086</v>
      </c>
      <c r="P149" s="13">
        <f t="shared" si="235"/>
        <v>1.4447863577246563E-2</v>
      </c>
      <c r="Q149" s="38">
        <v>767.39200000000005</v>
      </c>
      <c r="R149" s="38">
        <v>17.464600000000001</v>
      </c>
      <c r="S149" s="38">
        <v>767.69200000000001</v>
      </c>
      <c r="T149" s="38">
        <v>7.0490500000000003</v>
      </c>
      <c r="U149" s="38">
        <v>787.42200000000003</v>
      </c>
      <c r="V149" s="38">
        <v>20.0685</v>
      </c>
      <c r="W149" s="38">
        <v>788.22299999999996</v>
      </c>
      <c r="X149" s="38">
        <v>7.2493499999999997</v>
      </c>
      <c r="Y149" s="38">
        <v>778.01400000000001</v>
      </c>
      <c r="Z149" s="38">
        <v>13.099</v>
      </c>
      <c r="AA149" s="38">
        <v>778.07799999999997</v>
      </c>
      <c r="AB149" s="38">
        <v>12.7781</v>
      </c>
      <c r="AC149" s="38">
        <v>778.01400000000001</v>
      </c>
      <c r="AD149" s="38">
        <v>13.5802</v>
      </c>
      <c r="AE149" s="14" t="s">
        <v>215</v>
      </c>
      <c r="AF149" s="14" t="s">
        <v>211</v>
      </c>
      <c r="AG149" s="14" t="s">
        <v>222</v>
      </c>
      <c r="AH149" s="14" t="s">
        <v>222</v>
      </c>
      <c r="AI149" s="51" t="s">
        <v>223</v>
      </c>
      <c r="AJ149" s="55">
        <v>7.9831570146813606E-5</v>
      </c>
      <c r="AK149" s="55">
        <v>6.9164486392237905E-5</v>
      </c>
      <c r="AL149" s="55">
        <v>6.6721723072017396E-5</v>
      </c>
      <c r="AM149" s="55">
        <v>7.3098658488133104E-5</v>
      </c>
      <c r="AN149" s="51">
        <v>0.93841665885636405</v>
      </c>
    </row>
    <row r="150" spans="1:40" x14ac:dyDescent="0.35">
      <c r="A150" s="38" t="s">
        <v>136</v>
      </c>
      <c r="B150" s="14">
        <v>1</v>
      </c>
      <c r="C150" s="38">
        <v>50</v>
      </c>
      <c r="D150" s="14">
        <v>889</v>
      </c>
      <c r="E150" s="12">
        <f t="shared" si="226"/>
        <v>21.980431752274569</v>
      </c>
      <c r="F150" s="12">
        <f t="shared" si="204"/>
        <v>1.0175127768861094</v>
      </c>
      <c r="G150" s="12">
        <f t="shared" si="227"/>
        <v>0.68263391543344953</v>
      </c>
      <c r="H150" s="12">
        <f t="shared" si="228"/>
        <v>11.009376109626967</v>
      </c>
      <c r="I150" s="12">
        <f t="shared" si="205"/>
        <v>1.0634659306680212</v>
      </c>
      <c r="J150" s="12">
        <f t="shared" si="229"/>
        <v>11.058897794554388</v>
      </c>
      <c r="K150" s="13">
        <f t="shared" si="230"/>
        <v>2.4724895109420213E-2</v>
      </c>
      <c r="L150" s="13">
        <f t="shared" si="231"/>
        <v>58.299187716210653</v>
      </c>
      <c r="M150" s="13">
        <f t="shared" si="232"/>
        <v>7.6786717146619745E-4</v>
      </c>
      <c r="N150" s="13">
        <f t="shared" si="233"/>
        <v>1.2384000123314923E-2</v>
      </c>
      <c r="O150" s="13">
        <f t="shared" si="234"/>
        <v>60.932109483229837</v>
      </c>
      <c r="P150" s="13">
        <f t="shared" si="235"/>
        <v>1.2439705055741719E-2</v>
      </c>
      <c r="Q150" s="38">
        <v>682.09199999999998</v>
      </c>
      <c r="R150" s="38">
        <v>10.892799999999999</v>
      </c>
      <c r="S150" s="38">
        <v>682.47</v>
      </c>
      <c r="T150" s="38">
        <v>-0.110085</v>
      </c>
      <c r="U150" s="38">
        <v>701.01700000000005</v>
      </c>
      <c r="V150" s="38">
        <v>12.464700000000001</v>
      </c>
      <c r="W150" s="38">
        <v>701.93799999999999</v>
      </c>
      <c r="X150" s="38">
        <v>1.4442200000000001</v>
      </c>
      <c r="Y150" s="38">
        <v>692.13499999999999</v>
      </c>
      <c r="Z150" s="38">
        <v>5.9312699999999996</v>
      </c>
      <c r="AA150" s="38">
        <v>692.19200000000001</v>
      </c>
      <c r="AB150" s="38">
        <v>5.5628000000000002</v>
      </c>
      <c r="AC150" s="38">
        <v>692.13499999999999</v>
      </c>
      <c r="AD150" s="38">
        <v>6.2430500000000002</v>
      </c>
      <c r="AE150" s="14" t="s">
        <v>215</v>
      </c>
      <c r="AF150" s="14" t="s">
        <v>211</v>
      </c>
      <c r="AG150" s="14" t="s">
        <v>222</v>
      </c>
      <c r="AH150" s="14" t="s">
        <v>222</v>
      </c>
      <c r="AI150" s="51" t="s">
        <v>223</v>
      </c>
      <c r="AJ150" s="55">
        <v>6.57335388974861E-5</v>
      </c>
      <c r="AK150" s="55">
        <v>6.8723035143315096E-5</v>
      </c>
      <c r="AL150" s="55">
        <v>6.5658833847259701E-5</v>
      </c>
      <c r="AM150" s="55">
        <v>6.0310160029911798E-5</v>
      </c>
      <c r="AN150" s="51">
        <v>0.93687493360455498</v>
      </c>
    </row>
    <row r="151" spans="1:40" x14ac:dyDescent="0.35">
      <c r="A151" s="38" t="s">
        <v>136</v>
      </c>
      <c r="B151" s="14">
        <v>1</v>
      </c>
      <c r="C151" s="38">
        <v>60</v>
      </c>
      <c r="D151" s="14">
        <v>889</v>
      </c>
      <c r="E151" s="12">
        <f t="shared" si="226"/>
        <v>22.692234225135252</v>
      </c>
      <c r="F151" s="12">
        <f t="shared" si="204"/>
        <v>1.0816983580283885</v>
      </c>
      <c r="G151" s="12">
        <f t="shared" si="227"/>
        <v>0.50578404186001136</v>
      </c>
      <c r="H151" s="12">
        <f t="shared" si="228"/>
        <v>12.518450112837451</v>
      </c>
      <c r="I151" s="12">
        <f t="shared" si="205"/>
        <v>1.1610540914409879</v>
      </c>
      <c r="J151" s="12">
        <f t="shared" si="229"/>
        <v>11.622203717040929</v>
      </c>
      <c r="K151" s="13">
        <f t="shared" si="230"/>
        <v>2.5525572806676323E-2</v>
      </c>
      <c r="L151" s="13">
        <f t="shared" si="231"/>
        <v>61.976750621257736</v>
      </c>
      <c r="M151" s="13">
        <f t="shared" si="232"/>
        <v>5.6893593010125016E-4</v>
      </c>
      <c r="N151" s="13">
        <f t="shared" si="233"/>
        <v>1.4081496189918392E-2</v>
      </c>
      <c r="O151" s="13">
        <f t="shared" si="234"/>
        <v>66.523499225964969</v>
      </c>
      <c r="P151" s="13">
        <f t="shared" si="235"/>
        <v>1.3073345013544352E-2</v>
      </c>
      <c r="Q151" s="38">
        <v>598.90300000000002</v>
      </c>
      <c r="R151" s="38">
        <v>5.6657200000000003</v>
      </c>
      <c r="S151" s="38">
        <v>599.40800000000002</v>
      </c>
      <c r="T151" s="38">
        <v>-6.8425399999999996</v>
      </c>
      <c r="U151" s="38">
        <v>617.82600000000002</v>
      </c>
      <c r="V151" s="38">
        <v>6.5774800000000004</v>
      </c>
      <c r="W151" s="38">
        <v>618.93700000000001</v>
      </c>
      <c r="X151" s="38">
        <v>-4.9915000000000003</v>
      </c>
      <c r="Y151" s="38">
        <v>609.54200000000003</v>
      </c>
      <c r="Z151" s="38">
        <v>0.22592599999999999</v>
      </c>
      <c r="AA151" s="38">
        <v>609.56799999999998</v>
      </c>
      <c r="AB151" s="38">
        <v>1.41365E-2</v>
      </c>
      <c r="AC151" s="38">
        <v>609.51499999999999</v>
      </c>
      <c r="AD151" s="38">
        <v>0.51713600000000004</v>
      </c>
      <c r="AE151" s="14" t="s">
        <v>215</v>
      </c>
      <c r="AF151" s="14" t="s">
        <v>211</v>
      </c>
      <c r="AG151" s="14" t="s">
        <v>222</v>
      </c>
      <c r="AH151" s="14" t="s">
        <v>222</v>
      </c>
      <c r="AI151" s="51" t="s">
        <v>223</v>
      </c>
      <c r="AJ151" s="55">
        <v>6.5096338585207697E-5</v>
      </c>
      <c r="AK151" s="55">
        <v>8.2452751584482804E-5</v>
      </c>
      <c r="AL151" s="55">
        <v>6.7758703205406405E-5</v>
      </c>
      <c r="AM151" s="55">
        <v>7.28169117159357E-5</v>
      </c>
      <c r="AN151" s="51">
        <v>0.95273793121781702</v>
      </c>
    </row>
    <row r="152" spans="1:40" x14ac:dyDescent="0.35">
      <c r="A152" s="38" t="s">
        <v>136</v>
      </c>
      <c r="B152" s="14">
        <v>1</v>
      </c>
      <c r="C152" s="38">
        <v>70</v>
      </c>
      <c r="D152" s="14">
        <v>889</v>
      </c>
      <c r="E152" s="12">
        <f t="shared" si="226"/>
        <v>21.853118449585196</v>
      </c>
      <c r="F152" s="12">
        <f t="shared" si="204"/>
        <v>1.1203684189652996</v>
      </c>
      <c r="G152" s="12">
        <f t="shared" si="227"/>
        <v>0.22683999999999926</v>
      </c>
      <c r="H152" s="12">
        <f t="shared" si="228"/>
        <v>11.319328961541844</v>
      </c>
      <c r="I152" s="12">
        <f t="shared" si="205"/>
        <v>1.1024364863186571</v>
      </c>
      <c r="J152" s="12">
        <f t="shared" si="229"/>
        <v>11.412862448728637</v>
      </c>
      <c r="K152" s="13">
        <f t="shared" si="230"/>
        <v>2.4581685545090208E-2</v>
      </c>
      <c r="L152" s="13">
        <f t="shared" si="231"/>
        <v>64.192381906456447</v>
      </c>
      <c r="M152" s="13">
        <f t="shared" si="232"/>
        <v>2.5516310461192268E-4</v>
      </c>
      <c r="N152" s="13">
        <f t="shared" si="233"/>
        <v>1.2732653500047068E-2</v>
      </c>
      <c r="O152" s="13">
        <f t="shared" si="234"/>
        <v>63.164957847290971</v>
      </c>
      <c r="P152" s="13">
        <f t="shared" si="235"/>
        <v>1.2837865521629513E-2</v>
      </c>
      <c r="Q152" s="38">
        <v>500.346</v>
      </c>
      <c r="R152" s="38">
        <v>-2.8697599999999999</v>
      </c>
      <c r="S152" s="38">
        <v>501.29899999999998</v>
      </c>
      <c r="T152" s="38">
        <v>-14.148899999999999</v>
      </c>
      <c r="U152" s="38">
        <v>518.53599999999994</v>
      </c>
      <c r="V152" s="38">
        <v>-1.7577400000000001</v>
      </c>
      <c r="W152" s="38">
        <v>519.64800000000002</v>
      </c>
      <c r="X152" s="38">
        <v>-13.116300000000001</v>
      </c>
      <c r="Y152" s="38">
        <v>509.83199999999999</v>
      </c>
      <c r="Z152" s="38">
        <v>-8.0439100000000003</v>
      </c>
      <c r="AA152" s="38">
        <v>509.81299999999999</v>
      </c>
      <c r="AB152" s="38">
        <v>-8.1384299999999996</v>
      </c>
      <c r="AC152" s="38">
        <v>509.81299999999999</v>
      </c>
      <c r="AD152" s="38">
        <v>-7.9115900000000003</v>
      </c>
      <c r="AE152" s="14" t="s">
        <v>215</v>
      </c>
      <c r="AF152" s="14" t="s">
        <v>211</v>
      </c>
      <c r="AG152" s="14" t="s">
        <v>222</v>
      </c>
      <c r="AH152" s="14" t="s">
        <v>222</v>
      </c>
      <c r="AI152" s="51" t="s">
        <v>223</v>
      </c>
      <c r="AJ152" s="55">
        <v>6.6969704259408497E-5</v>
      </c>
      <c r="AK152" s="55">
        <v>6.4570571381754994E-5</v>
      </c>
      <c r="AL152" s="55">
        <v>6.4681554102699894E-5</v>
      </c>
      <c r="AM152" s="55">
        <v>6.42109710041871E-5</v>
      </c>
      <c r="AN152" s="51">
        <v>0.97987117997608897</v>
      </c>
    </row>
    <row r="153" spans="1:40" x14ac:dyDescent="0.35">
      <c r="A153" s="38" t="s">
        <v>136</v>
      </c>
      <c r="B153" s="14">
        <v>1</v>
      </c>
      <c r="C153" s="38">
        <v>80</v>
      </c>
      <c r="D153" s="14">
        <v>889</v>
      </c>
      <c r="E153" s="12">
        <f t="shared" si="226"/>
        <v>20.762225419256001</v>
      </c>
      <c r="F153" s="12">
        <f t="shared" si="204"/>
        <v>1.1749690349514261</v>
      </c>
      <c r="G153" s="12">
        <f t="shared" si="227"/>
        <v>0.18439316690159221</v>
      </c>
      <c r="H153" s="12">
        <f t="shared" si="228"/>
        <v>10.555841700215101</v>
      </c>
      <c r="I153" s="12">
        <f t="shared" si="205"/>
        <v>1.0756774527786908</v>
      </c>
      <c r="J153" s="12">
        <f t="shared" si="229"/>
        <v>12.132624688829695</v>
      </c>
      <c r="K153" s="13">
        <f t="shared" si="230"/>
        <v>2.3354584273628798E-2</v>
      </c>
      <c r="L153" s="13">
        <f t="shared" si="231"/>
        <v>67.320766761276033</v>
      </c>
      <c r="M153" s="13">
        <f t="shared" si="232"/>
        <v>2.0741638571607673E-4</v>
      </c>
      <c r="N153" s="13">
        <f t="shared" si="233"/>
        <v>1.187383768303161E-2</v>
      </c>
      <c r="O153" s="13">
        <f t="shared" si="234"/>
        <v>61.631778161601886</v>
      </c>
      <c r="P153" s="13">
        <f t="shared" si="235"/>
        <v>1.3647496837828678E-2</v>
      </c>
      <c r="Q153" s="38">
        <v>406.88799999999998</v>
      </c>
      <c r="R153" s="38">
        <v>-14.296900000000001</v>
      </c>
      <c r="S153" s="38">
        <v>407.55099999999999</v>
      </c>
      <c r="T153" s="38">
        <v>-24.831900000000001</v>
      </c>
      <c r="U153" s="38">
        <v>424.56900000000002</v>
      </c>
      <c r="V153" s="38">
        <v>-11.055300000000001</v>
      </c>
      <c r="W153" s="38">
        <v>425.67399999999998</v>
      </c>
      <c r="X153" s="38">
        <v>-23.137499999999999</v>
      </c>
      <c r="Y153" s="38">
        <v>415.01799999999997</v>
      </c>
      <c r="Z153" s="38">
        <v>-18.246400000000001</v>
      </c>
      <c r="AA153" s="38">
        <v>415.09399999999999</v>
      </c>
      <c r="AB153" s="38">
        <v>-18.322399999999998</v>
      </c>
      <c r="AC153" s="38">
        <v>415.04300000000001</v>
      </c>
      <c r="AD153" s="38">
        <v>-18.145199999999999</v>
      </c>
      <c r="AE153" s="14" t="s">
        <v>215</v>
      </c>
      <c r="AF153" s="14" t="s">
        <v>211</v>
      </c>
      <c r="AG153" s="14" t="s">
        <v>222</v>
      </c>
      <c r="AH153" s="14" t="s">
        <v>222</v>
      </c>
      <c r="AI153" s="51" t="s">
        <v>223</v>
      </c>
      <c r="AJ153" s="55">
        <v>7.8033645632597504E-5</v>
      </c>
      <c r="AK153" s="55">
        <v>5.2529941314984603E-5</v>
      </c>
      <c r="AL153" s="55">
        <v>5.9771308303841198E-5</v>
      </c>
      <c r="AM153" s="55">
        <v>6.6549420615167698E-5</v>
      </c>
      <c r="AN153" s="51">
        <v>0.96750351206055196</v>
      </c>
    </row>
    <row r="154" spans="1:40" x14ac:dyDescent="0.35">
      <c r="A154" s="38" t="s">
        <v>136</v>
      </c>
      <c r="B154" s="14">
        <v>1</v>
      </c>
      <c r="C154" s="38">
        <v>90</v>
      </c>
      <c r="D154" s="14">
        <v>889</v>
      </c>
      <c r="E154" s="12">
        <f t="shared" si="226"/>
        <v>18.390851954436485</v>
      </c>
      <c r="F154" s="12">
        <f t="shared" si="204"/>
        <v>1.1525565391312269</v>
      </c>
      <c r="G154" s="12">
        <f t="shared" si="227"/>
        <v>0</v>
      </c>
      <c r="H154" s="12">
        <f t="shared" si="228"/>
        <v>9.6527673384372061</v>
      </c>
      <c r="I154" s="12">
        <f t="shared" si="205"/>
        <v>1.1098930896705594</v>
      </c>
      <c r="J154" s="12">
        <f t="shared" si="229"/>
        <v>10.092576777017848</v>
      </c>
      <c r="K154" s="13">
        <f t="shared" si="230"/>
        <v>2.0687122558421242E-2</v>
      </c>
      <c r="L154" s="13">
        <f t="shared" si="231"/>
        <v>66.036625342424017</v>
      </c>
      <c r="M154" s="13">
        <f t="shared" si="232"/>
        <v>0</v>
      </c>
      <c r="N154" s="13">
        <f t="shared" si="233"/>
        <v>1.0858006004991233E-2</v>
      </c>
      <c r="O154" s="13">
        <f t="shared" si="234"/>
        <v>63.592189748858083</v>
      </c>
      <c r="P154" s="13">
        <f t="shared" si="235"/>
        <v>1.1352729782922214E-2</v>
      </c>
      <c r="Q154" s="38">
        <v>318.87099999999998</v>
      </c>
      <c r="R154" s="38">
        <v>-24.261700000000001</v>
      </c>
      <c r="S154" s="38">
        <v>320.35700000000003</v>
      </c>
      <c r="T154" s="38">
        <v>-33.799399999999999</v>
      </c>
      <c r="U154" s="38">
        <v>334.89800000000002</v>
      </c>
      <c r="V154" s="38">
        <v>-22.4636</v>
      </c>
      <c r="W154" s="38">
        <v>335.28899999999999</v>
      </c>
      <c r="X154" s="38">
        <v>-32.5486</v>
      </c>
      <c r="Y154" s="38">
        <v>327.00200000000001</v>
      </c>
      <c r="Z154" s="38">
        <v>-28.327000000000002</v>
      </c>
      <c r="AA154" s="38">
        <v>327.00200000000001</v>
      </c>
      <c r="AB154" s="38">
        <v>-28.327000000000002</v>
      </c>
      <c r="AC154" s="38">
        <v>327.00200000000001</v>
      </c>
      <c r="AD154" s="38">
        <v>-28.327000000000002</v>
      </c>
      <c r="AE154" s="14" t="s">
        <v>215</v>
      </c>
      <c r="AF154" s="14" t="s">
        <v>211</v>
      </c>
      <c r="AG154" s="14" t="s">
        <v>222</v>
      </c>
      <c r="AH154" s="14" t="s">
        <v>222</v>
      </c>
      <c r="AI154" s="51" t="s">
        <v>223</v>
      </c>
      <c r="AJ154" s="55">
        <v>5.1829414503726903E-5</v>
      </c>
      <c r="AK154" s="55">
        <v>4.5241112725082601E-5</v>
      </c>
      <c r="AL154" s="55">
        <v>5.0469944617440401E-5</v>
      </c>
      <c r="AM154" s="55">
        <v>4.6438289505150299E-5</v>
      </c>
      <c r="AN154" s="51">
        <v>0.99832809081343199</v>
      </c>
    </row>
    <row r="155" spans="1:40" x14ac:dyDescent="0.35">
      <c r="A155" s="38" t="s">
        <v>137</v>
      </c>
      <c r="B155" s="14">
        <v>1</v>
      </c>
      <c r="C155" s="38">
        <v>40</v>
      </c>
      <c r="D155" s="14">
        <v>689</v>
      </c>
      <c r="E155" s="12">
        <f t="shared" ref="E155:E160" si="236">DIST2(Q155,R155,W155,X155)</f>
        <v>24.837895583160879</v>
      </c>
      <c r="F155" s="12">
        <f t="shared" si="204"/>
        <v>1.3232931697527619</v>
      </c>
      <c r="G155" s="12">
        <f t="shared" ref="G155:G160" si="237">DIST2(AA155,AB155,AC155,AD155)</f>
        <v>0.31699999999995043</v>
      </c>
      <c r="H155" s="12">
        <f t="shared" ref="H155:H160" si="238">DIST2(Q155,R155,S155,T155)</f>
        <v>17.261568700439675</v>
      </c>
      <c r="I155" s="12">
        <f t="shared" si="205"/>
        <v>1.4294972813246605</v>
      </c>
      <c r="J155" s="12">
        <f t="shared" ref="J155:J160" si="239">DIST2(U155,V155,W155,X155)</f>
        <v>13.866393510931399</v>
      </c>
      <c r="K155" s="13">
        <f t="shared" ref="K155:K160" si="240">E155/D155</f>
        <v>3.6049195331147865E-2</v>
      </c>
      <c r="L155" s="13">
        <f t="shared" ref="L155:L160" si="241">F155*180/PI()</f>
        <v>75.819113685322066</v>
      </c>
      <c r="M155" s="13">
        <f t="shared" ref="M155:M160" si="242">G155/D155</f>
        <v>4.6008708272852024E-4</v>
      </c>
      <c r="N155" s="13">
        <f t="shared" ref="N155:N160" si="243">H155/D155</f>
        <v>2.5053075036922605E-2</v>
      </c>
      <c r="O155" s="13">
        <f t="shared" ref="O155:O160" si="244">I155*180/PI()</f>
        <v>81.904161045328365</v>
      </c>
      <c r="P155" s="13">
        <f t="shared" ref="P155:P160" si="245">J155/D155</f>
        <v>2.0125389711076049E-2</v>
      </c>
      <c r="Q155" s="38">
        <v>525.53899999999999</v>
      </c>
      <c r="R155" s="38">
        <v>-312.52600000000001</v>
      </c>
      <c r="S155" s="38">
        <v>524.41600000000005</v>
      </c>
      <c r="T155" s="38">
        <v>-329.75099999999998</v>
      </c>
      <c r="U155" s="38">
        <v>544.26199999999994</v>
      </c>
      <c r="V155" s="38">
        <v>-315.61500000000001</v>
      </c>
      <c r="W155" s="38">
        <v>543.70000000000005</v>
      </c>
      <c r="X155" s="38">
        <v>-329.47</v>
      </c>
      <c r="Y155" s="38">
        <v>535.995</v>
      </c>
      <c r="Z155" s="38">
        <v>-322.31900000000002</v>
      </c>
      <c r="AA155" s="38">
        <v>535.995</v>
      </c>
      <c r="AB155" s="38">
        <v>-322.47699999999998</v>
      </c>
      <c r="AC155" s="38">
        <v>535.995</v>
      </c>
      <c r="AD155" s="38">
        <v>-322.16000000000003</v>
      </c>
      <c r="AE155" s="14" t="s">
        <v>213</v>
      </c>
      <c r="AF155" s="14" t="s">
        <v>212</v>
      </c>
      <c r="AG155" s="14" t="s">
        <v>223</v>
      </c>
      <c r="AH155" s="14" t="s">
        <v>225</v>
      </c>
      <c r="AI155" s="14" t="s">
        <v>223</v>
      </c>
      <c r="AJ155" s="51">
        <v>1.1667025157934899E-4</v>
      </c>
      <c r="AK155" s="51">
        <v>2.01278370874681E-4</v>
      </c>
      <c r="AL155" s="51">
        <v>1.5596402729182001E-4</v>
      </c>
      <c r="AM155" s="51">
        <v>1.44314362541367E-4</v>
      </c>
      <c r="AN155" s="51">
        <v>0.94442425167796296</v>
      </c>
    </row>
    <row r="156" spans="1:40" x14ac:dyDescent="0.35">
      <c r="A156" s="38" t="s">
        <v>137</v>
      </c>
      <c r="B156" s="14">
        <v>1</v>
      </c>
      <c r="C156" s="38">
        <v>50</v>
      </c>
      <c r="D156" s="14">
        <v>689</v>
      </c>
      <c r="E156" s="12">
        <f t="shared" si="236"/>
        <v>26.407107263007834</v>
      </c>
      <c r="F156" s="12">
        <f t="shared" si="204"/>
        <v>0.90960164464439408</v>
      </c>
      <c r="G156" s="12">
        <f t="shared" si="237"/>
        <v>0.41018288603985453</v>
      </c>
      <c r="H156" s="12">
        <f t="shared" si="238"/>
        <v>13.638182870162749</v>
      </c>
      <c r="I156" s="12">
        <f t="shared" si="205"/>
        <v>1.277335300540464</v>
      </c>
      <c r="J156" s="12">
        <f t="shared" si="239"/>
        <v>12.369277181791981</v>
      </c>
      <c r="K156" s="13">
        <f t="shared" si="240"/>
        <v>3.8326715911477266E-2</v>
      </c>
      <c r="L156" s="13">
        <f t="shared" si="241"/>
        <v>52.116335276282257</v>
      </c>
      <c r="M156" s="13">
        <f t="shared" si="242"/>
        <v>5.9533074896930989E-4</v>
      </c>
      <c r="N156" s="13">
        <f t="shared" si="243"/>
        <v>1.9794169622877722E-2</v>
      </c>
      <c r="O156" s="13">
        <f t="shared" si="244"/>
        <v>73.185921744043171</v>
      </c>
      <c r="P156" s="13">
        <f t="shared" si="245"/>
        <v>1.7952506795053672E-2</v>
      </c>
      <c r="Q156" s="38">
        <v>434.27100000000002</v>
      </c>
      <c r="R156" s="38">
        <v>-310.15499999999997</v>
      </c>
      <c r="S156" s="38">
        <v>434.02699999999999</v>
      </c>
      <c r="T156" s="38">
        <v>-323.791</v>
      </c>
      <c r="U156" s="38">
        <v>455.94299999999998</v>
      </c>
      <c r="V156" s="38">
        <v>-311.53500000000003</v>
      </c>
      <c r="W156" s="38">
        <v>456.83600000000001</v>
      </c>
      <c r="X156" s="38">
        <v>-323.87200000000001</v>
      </c>
      <c r="Y156" s="38">
        <v>448.065</v>
      </c>
      <c r="Z156" s="38">
        <v>-317.76799999999997</v>
      </c>
      <c r="AA156" s="38">
        <v>448.01400000000001</v>
      </c>
      <c r="AB156" s="38">
        <v>-317.89499999999998</v>
      </c>
      <c r="AC156" s="38">
        <v>448.065</v>
      </c>
      <c r="AD156" s="38">
        <v>-317.488</v>
      </c>
      <c r="AE156" s="14" t="s">
        <v>213</v>
      </c>
      <c r="AF156" s="14" t="s">
        <v>212</v>
      </c>
      <c r="AG156" s="14" t="s">
        <v>223</v>
      </c>
      <c r="AH156" s="14" t="s">
        <v>225</v>
      </c>
      <c r="AI156" s="14" t="s">
        <v>223</v>
      </c>
      <c r="AJ156" s="51">
        <v>1.08228785960596E-4</v>
      </c>
      <c r="AK156" s="51">
        <v>2.0006757232142699E-4</v>
      </c>
      <c r="AL156" s="51">
        <v>1.47333966687802E-4</v>
      </c>
      <c r="AM156" s="51">
        <v>1.4283633018130699E-4</v>
      </c>
      <c r="AN156" s="51">
        <v>0.94120572324006302</v>
      </c>
    </row>
    <row r="157" spans="1:40" x14ac:dyDescent="0.35">
      <c r="A157" s="38" t="s">
        <v>137</v>
      </c>
      <c r="B157" s="14">
        <v>1</v>
      </c>
      <c r="C157" s="38">
        <v>60</v>
      </c>
      <c r="D157" s="14">
        <v>689</v>
      </c>
      <c r="E157" s="12">
        <f t="shared" si="236"/>
        <v>27.454623071533913</v>
      </c>
      <c r="F157" s="12">
        <f t="shared" si="204"/>
        <v>0.79550409406845035</v>
      </c>
      <c r="G157" s="12">
        <f t="shared" si="237"/>
        <v>0.45533394338660838</v>
      </c>
      <c r="H157" s="12">
        <f t="shared" si="238"/>
        <v>12.646627139281076</v>
      </c>
      <c r="I157" s="12">
        <f t="shared" si="205"/>
        <v>0.98892475803558566</v>
      </c>
      <c r="J157" s="12">
        <f t="shared" si="239"/>
        <v>10.497626827050006</v>
      </c>
      <c r="K157" s="13">
        <f t="shared" si="240"/>
        <v>3.9847058158975199E-2</v>
      </c>
      <c r="L157" s="13">
        <f t="shared" si="241"/>
        <v>45.579027175500237</v>
      </c>
      <c r="M157" s="13">
        <f t="shared" si="242"/>
        <v>6.6086203684558541E-4</v>
      </c>
      <c r="N157" s="13">
        <f t="shared" si="243"/>
        <v>1.8355046646271519E-2</v>
      </c>
      <c r="O157" s="13">
        <f t="shared" si="244"/>
        <v>56.661214891435201</v>
      </c>
      <c r="P157" s="13">
        <f t="shared" si="245"/>
        <v>1.523603313069667E-2</v>
      </c>
      <c r="Q157" s="38">
        <v>387.77499999999998</v>
      </c>
      <c r="R157" s="38">
        <v>-305.39499999999998</v>
      </c>
      <c r="S157" s="38">
        <v>386.50799999999998</v>
      </c>
      <c r="T157" s="38">
        <v>-317.97800000000001</v>
      </c>
      <c r="U157" s="38">
        <v>412.43299999999999</v>
      </c>
      <c r="V157" s="38">
        <v>-309.786</v>
      </c>
      <c r="W157" s="38">
        <v>410.91300000000001</v>
      </c>
      <c r="X157" s="38">
        <v>-320.173</v>
      </c>
      <c r="Y157" s="38">
        <v>401.98899999999998</v>
      </c>
      <c r="Z157" s="38">
        <v>-314.04199999999997</v>
      </c>
      <c r="AA157" s="38">
        <v>401.971</v>
      </c>
      <c r="AB157" s="38">
        <v>-314.27699999999999</v>
      </c>
      <c r="AC157" s="38">
        <v>402.02600000000001</v>
      </c>
      <c r="AD157" s="38">
        <v>-313.82499999999999</v>
      </c>
      <c r="AE157" s="14" t="s">
        <v>213</v>
      </c>
      <c r="AF157" s="14" t="s">
        <v>212</v>
      </c>
      <c r="AG157" s="14" t="s">
        <v>223</v>
      </c>
      <c r="AH157" s="14" t="s">
        <v>225</v>
      </c>
      <c r="AI157" s="14" t="s">
        <v>223</v>
      </c>
      <c r="AJ157" s="51">
        <v>1.0744490764048801E-4</v>
      </c>
      <c r="AK157" s="51">
        <v>1.9991796339323601E-4</v>
      </c>
      <c r="AL157" s="51">
        <v>1.5302756671813501E-4</v>
      </c>
      <c r="AM157" s="51">
        <v>1.3088128606065499E-4</v>
      </c>
      <c r="AN157" s="51">
        <v>0.92369274084390096</v>
      </c>
    </row>
    <row r="158" spans="1:40" x14ac:dyDescent="0.35">
      <c r="A158" s="38" t="s">
        <v>137</v>
      </c>
      <c r="B158" s="14">
        <v>1</v>
      </c>
      <c r="C158" s="38">
        <v>70</v>
      </c>
      <c r="D158" s="14">
        <v>689</v>
      </c>
      <c r="E158" s="12">
        <f t="shared" si="236"/>
        <v>25.70598502294747</v>
      </c>
      <c r="F158" s="12">
        <f t="shared" si="204"/>
        <v>1.0392705751562166</v>
      </c>
      <c r="G158" s="12">
        <f t="shared" si="237"/>
        <v>0.76886539784280761</v>
      </c>
      <c r="H158" s="12">
        <f t="shared" si="238"/>
        <v>12.956070777824555</v>
      </c>
      <c r="I158" s="12">
        <f t="shared" si="205"/>
        <v>1.144704447783774</v>
      </c>
      <c r="J158" s="12">
        <f t="shared" si="239"/>
        <v>14.002893736653107</v>
      </c>
      <c r="K158" s="13">
        <f t="shared" si="240"/>
        <v>3.7309121949125501E-2</v>
      </c>
      <c r="L158" s="13">
        <f t="shared" si="241"/>
        <v>59.545817728584836</v>
      </c>
      <c r="M158" s="13">
        <f t="shared" si="242"/>
        <v>1.1159149460708384E-3</v>
      </c>
      <c r="N158" s="13">
        <f t="shared" si="243"/>
        <v>1.8804166586102403E-2</v>
      </c>
      <c r="O158" s="13">
        <f t="shared" si="244"/>
        <v>65.586733647863781</v>
      </c>
      <c r="P158" s="13">
        <f t="shared" si="245"/>
        <v>2.0323503246230924E-2</v>
      </c>
      <c r="Q158" s="38">
        <v>303.01</v>
      </c>
      <c r="R158" s="38">
        <v>-292.83300000000003</v>
      </c>
      <c r="S158" s="38">
        <v>301.42700000000002</v>
      </c>
      <c r="T158" s="38">
        <v>-305.69200000000001</v>
      </c>
      <c r="U158" s="38">
        <v>325.26600000000002</v>
      </c>
      <c r="V158" s="38">
        <v>-294.91000000000003</v>
      </c>
      <c r="W158" s="38">
        <v>323.18900000000002</v>
      </c>
      <c r="X158" s="38">
        <v>-308.75799999999998</v>
      </c>
      <c r="Y158" s="38">
        <v>313.404</v>
      </c>
      <c r="Z158" s="38">
        <v>-301.00700000000001</v>
      </c>
      <c r="AA158" s="38">
        <v>313.36500000000001</v>
      </c>
      <c r="AB158" s="38">
        <v>-301.351</v>
      </c>
      <c r="AC158" s="38">
        <v>313.44200000000001</v>
      </c>
      <c r="AD158" s="38">
        <v>-300.58600000000001</v>
      </c>
      <c r="AE158" s="14" t="s">
        <v>213</v>
      </c>
      <c r="AF158" s="14" t="s">
        <v>212</v>
      </c>
      <c r="AG158" s="14" t="s">
        <v>223</v>
      </c>
      <c r="AH158" s="14" t="s">
        <v>225</v>
      </c>
      <c r="AI158" s="14" t="s">
        <v>223</v>
      </c>
      <c r="AJ158" s="51">
        <v>1.59674321338217E-4</v>
      </c>
      <c r="AK158" s="51">
        <v>1.5440215200085899E-4</v>
      </c>
      <c r="AL158" s="51">
        <v>1.5891808451701101E-4</v>
      </c>
      <c r="AM158" s="51">
        <v>1.3805029691123799E-4</v>
      </c>
      <c r="AN158" s="51">
        <v>0.94552889705827303</v>
      </c>
    </row>
    <row r="159" spans="1:40" x14ac:dyDescent="0.35">
      <c r="A159" s="38" t="s">
        <v>137</v>
      </c>
      <c r="B159" s="14">
        <v>1</v>
      </c>
      <c r="C159" s="38">
        <v>80</v>
      </c>
      <c r="D159" s="14">
        <v>689</v>
      </c>
      <c r="E159" s="12">
        <f t="shared" si="236"/>
        <v>25.271305170093608</v>
      </c>
      <c r="F159" s="12">
        <f t="shared" si="204"/>
        <v>0.98712503198226154</v>
      </c>
      <c r="G159" s="12">
        <f t="shared" si="237"/>
        <v>1.4749186418240117</v>
      </c>
      <c r="H159" s="12">
        <f t="shared" si="238"/>
        <v>12.297838915842068</v>
      </c>
      <c r="I159" s="12">
        <f t="shared" si="205"/>
        <v>1.2239549178227394</v>
      </c>
      <c r="J159" s="12">
        <f t="shared" si="239"/>
        <v>13.971835240941004</v>
      </c>
      <c r="K159" s="13">
        <f t="shared" si="240"/>
        <v>3.6678236821616271E-2</v>
      </c>
      <c r="L159" s="13">
        <f t="shared" si="241"/>
        <v>56.558098184299993</v>
      </c>
      <c r="M159" s="13">
        <f t="shared" si="242"/>
        <v>2.1406656630246902E-3</v>
      </c>
      <c r="N159" s="13">
        <f t="shared" si="243"/>
        <v>1.7848822809640157E-2</v>
      </c>
      <c r="O159" s="13">
        <f t="shared" si="244"/>
        <v>70.127451105524472</v>
      </c>
      <c r="P159" s="13">
        <f t="shared" si="245"/>
        <v>2.027842560368796E-2</v>
      </c>
      <c r="Q159" s="38">
        <v>242.041</v>
      </c>
      <c r="R159" s="38">
        <v>-284.33800000000002</v>
      </c>
      <c r="S159" s="38">
        <v>240.86</v>
      </c>
      <c r="T159" s="38">
        <v>-296.57900000000001</v>
      </c>
      <c r="U159" s="38">
        <v>263.51600000000002</v>
      </c>
      <c r="V159" s="38">
        <v>-286.37799999999999</v>
      </c>
      <c r="W159" s="38">
        <v>261.69</v>
      </c>
      <c r="X159" s="38">
        <v>-300.23</v>
      </c>
      <c r="Y159" s="38">
        <v>252.69200000000001</v>
      </c>
      <c r="Z159" s="38">
        <v>-292.42</v>
      </c>
      <c r="AA159" s="38">
        <v>252.572</v>
      </c>
      <c r="AB159" s="38">
        <v>-293.178</v>
      </c>
      <c r="AC159" s="38">
        <v>252.83099999999999</v>
      </c>
      <c r="AD159" s="38">
        <v>-291.726</v>
      </c>
      <c r="AE159" s="14" t="s">
        <v>213</v>
      </c>
      <c r="AF159" s="14" t="s">
        <v>212</v>
      </c>
      <c r="AG159" s="14" t="s">
        <v>223</v>
      </c>
      <c r="AH159" s="14" t="s">
        <v>225</v>
      </c>
      <c r="AI159" s="14" t="s">
        <v>223</v>
      </c>
      <c r="AJ159" s="51">
        <v>1.4629788444159899E-4</v>
      </c>
      <c r="AK159" s="51">
        <v>1.47374703246749E-4</v>
      </c>
      <c r="AL159" s="51">
        <v>1.4392211425237099E-4</v>
      </c>
      <c r="AM159" s="51">
        <v>1.19652745507361E-4</v>
      </c>
      <c r="AN159" s="51">
        <v>0.89751264098045402</v>
      </c>
    </row>
    <row r="160" spans="1:40" x14ac:dyDescent="0.35">
      <c r="A160" s="38" t="s">
        <v>137</v>
      </c>
      <c r="B160" s="14">
        <v>1</v>
      </c>
      <c r="C160" s="38">
        <v>90</v>
      </c>
      <c r="D160" s="14">
        <v>689</v>
      </c>
      <c r="E160" s="12">
        <f t="shared" si="236"/>
        <v>23.599366813539746</v>
      </c>
      <c r="F160" s="12">
        <f t="shared" si="204"/>
        <v>1.3077254383240771</v>
      </c>
      <c r="G160" s="12">
        <f t="shared" si="237"/>
        <v>0.48932606715765864</v>
      </c>
      <c r="H160" s="12">
        <f t="shared" si="238"/>
        <v>13.289102979509202</v>
      </c>
      <c r="I160" s="12">
        <f t="shared" si="205"/>
        <v>1.1552346198966807</v>
      </c>
      <c r="J160" s="12">
        <f t="shared" si="239"/>
        <v>13.555152673430154</v>
      </c>
      <c r="K160" s="13">
        <f t="shared" si="240"/>
        <v>3.4251620919506162E-2</v>
      </c>
      <c r="L160" s="13">
        <f t="shared" si="241"/>
        <v>74.927148377865251</v>
      </c>
      <c r="M160" s="13">
        <f t="shared" si="242"/>
        <v>7.1019748498934489E-4</v>
      </c>
      <c r="N160" s="13">
        <f t="shared" si="243"/>
        <v>1.9287522466631644E-2</v>
      </c>
      <c r="O160" s="13">
        <f t="shared" si="244"/>
        <v>66.190068067479686</v>
      </c>
      <c r="P160" s="13">
        <f t="shared" si="245"/>
        <v>1.9673661354760747E-2</v>
      </c>
      <c r="Q160" s="38">
        <v>180.898</v>
      </c>
      <c r="R160" s="38">
        <v>-274.68700000000001</v>
      </c>
      <c r="S160" s="38">
        <v>179.84100000000001</v>
      </c>
      <c r="T160" s="38">
        <v>-287.93400000000003</v>
      </c>
      <c r="U160" s="38">
        <v>200.06299999999999</v>
      </c>
      <c r="V160" s="38">
        <v>-277.012</v>
      </c>
      <c r="W160" s="38">
        <v>198.44300000000001</v>
      </c>
      <c r="X160" s="38">
        <v>-290.47000000000003</v>
      </c>
      <c r="Y160" s="38">
        <v>188.89699999999999</v>
      </c>
      <c r="Z160" s="38">
        <v>-282.822</v>
      </c>
      <c r="AA160" s="38">
        <v>188.84899999999999</v>
      </c>
      <c r="AB160" s="38">
        <v>-282.99099999999999</v>
      </c>
      <c r="AC160" s="38">
        <v>188.92099999999999</v>
      </c>
      <c r="AD160" s="38">
        <v>-282.50700000000001</v>
      </c>
      <c r="AE160" s="14" t="s">
        <v>213</v>
      </c>
      <c r="AF160" s="14" t="s">
        <v>212</v>
      </c>
      <c r="AG160" s="14" t="s">
        <v>223</v>
      </c>
      <c r="AH160" s="14" t="s">
        <v>225</v>
      </c>
      <c r="AI160" s="14" t="s">
        <v>223</v>
      </c>
      <c r="AJ160" s="51">
        <v>1.4836064551599799E-4</v>
      </c>
      <c r="AK160" s="51">
        <v>1.20661870867309E-4</v>
      </c>
      <c r="AL160" s="51">
        <v>1.38204150437836E-4</v>
      </c>
      <c r="AM160" s="51">
        <v>1.20906778929098E-4</v>
      </c>
      <c r="AN160" s="51">
        <v>0.96315703551649401</v>
      </c>
    </row>
    <row r="161" spans="1:40" x14ac:dyDescent="0.35">
      <c r="A161" s="40" t="s">
        <v>138</v>
      </c>
      <c r="B161" s="14">
        <v>1</v>
      </c>
      <c r="C161" s="40">
        <v>30</v>
      </c>
      <c r="D161" s="14">
        <v>1256</v>
      </c>
      <c r="E161" s="12">
        <f t="shared" ref="E161:E167" si="246">DIST2(Q161,R161,W161,X161)</f>
        <v>38.7363480596713</v>
      </c>
      <c r="F161" s="12">
        <f t="shared" si="204"/>
        <v>1.1363743040989729</v>
      </c>
      <c r="G161" s="12">
        <f t="shared" ref="G161:G167" si="247">DIST2(AA161,AB161,AC161,AD161)</f>
        <v>1.8621291577117001</v>
      </c>
      <c r="H161" s="12">
        <f t="shared" ref="H161:H167" si="248">DIST2(Q161,R161,S161,T161)</f>
        <v>21.486943500647044</v>
      </c>
      <c r="I161" s="12">
        <f t="shared" si="205"/>
        <v>1.1334754494930483</v>
      </c>
      <c r="J161" s="12">
        <f t="shared" ref="J161:J167" si="249">DIST2(U161,V161,W161,X161)</f>
        <v>21.486943500647126</v>
      </c>
      <c r="K161" s="13">
        <f t="shared" ref="K161:K167" si="250">E161/D161</f>
        <v>3.0841041448782882E-2</v>
      </c>
      <c r="L161" s="13">
        <f t="shared" ref="L161:L167" si="251">F161*180/PI()</f>
        <v>65.109451571987108</v>
      </c>
      <c r="M161" s="13">
        <f t="shared" ref="M161:M167" si="252">G161/D161</f>
        <v>1.4825869090061307E-3</v>
      </c>
      <c r="N161" s="13">
        <f t="shared" ref="N161:N167" si="253">H161/D161</f>
        <v>1.7107439092871851E-2</v>
      </c>
      <c r="O161" s="13">
        <f t="shared" ref="O161:O167" si="254">I161*180/PI()</f>
        <v>64.943359437645583</v>
      </c>
      <c r="P161" s="13">
        <f t="shared" ref="P161:P167" si="255">J161/D161</f>
        <v>1.7107439092871914E-2</v>
      </c>
      <c r="Q161" s="14">
        <v>1160.3800000000001</v>
      </c>
      <c r="R161" s="14">
        <v>-408.26799999999997</v>
      </c>
      <c r="S161" s="14">
        <v>1168.03</v>
      </c>
      <c r="T161" s="14">
        <v>-428.34699999999998</v>
      </c>
      <c r="U161" s="40">
        <v>1190.98</v>
      </c>
      <c r="V161" s="40">
        <v>-394.30799999999999</v>
      </c>
      <c r="W161" s="14">
        <v>1198.6300000000001</v>
      </c>
      <c r="X161" s="14">
        <v>-414.387</v>
      </c>
      <c r="Y161" s="14">
        <v>1179.81</v>
      </c>
      <c r="Z161" s="14">
        <v>-412.012</v>
      </c>
      <c r="AA161" s="14">
        <v>1180.04</v>
      </c>
      <c r="AB161" s="14">
        <v>-412.87900000000002</v>
      </c>
      <c r="AC161" s="14">
        <v>1179.67</v>
      </c>
      <c r="AD161" s="14">
        <v>-411.05399999999997</v>
      </c>
      <c r="AE161" s="14" t="s">
        <v>216</v>
      </c>
      <c r="AF161" s="14" t="s">
        <v>212</v>
      </c>
      <c r="AG161" s="14" t="s">
        <v>224</v>
      </c>
      <c r="AH161" s="14" t="s">
        <v>225</v>
      </c>
      <c r="AI161" s="51" t="s">
        <v>224</v>
      </c>
      <c r="AJ161" s="51">
        <v>1.14012621582012E-4</v>
      </c>
      <c r="AK161" s="51">
        <v>1.14575315555397E-4</v>
      </c>
      <c r="AL161" s="51">
        <v>1.1237144508905001E-4</v>
      </c>
      <c r="AM161" s="55">
        <v>9.6879310519696997E-5</v>
      </c>
      <c r="AN161" s="51">
        <v>0.91540594061602398</v>
      </c>
    </row>
    <row r="162" spans="1:40" x14ac:dyDescent="0.35">
      <c r="A162" s="40" t="s">
        <v>138</v>
      </c>
      <c r="B162" s="14">
        <v>1</v>
      </c>
      <c r="C162" s="40">
        <v>40</v>
      </c>
      <c r="D162" s="14">
        <v>1256</v>
      </c>
      <c r="E162" s="12">
        <f t="shared" si="246"/>
        <v>43.220558314302139</v>
      </c>
      <c r="F162" s="12">
        <f t="shared" si="204"/>
        <v>1.0777260541418772</v>
      </c>
      <c r="G162" s="12">
        <f t="shared" si="247"/>
        <v>2.2079030775828272</v>
      </c>
      <c r="H162" s="12">
        <f t="shared" si="248"/>
        <v>23.461276798162441</v>
      </c>
      <c r="I162" s="12">
        <f t="shared" si="205"/>
        <v>1.1577571933202899</v>
      </c>
      <c r="J162" s="12">
        <f t="shared" si="249"/>
        <v>23.402179898462439</v>
      </c>
      <c r="K162" s="13">
        <f t="shared" si="250"/>
        <v>3.4411272543234186E-2</v>
      </c>
      <c r="L162" s="13">
        <f t="shared" si="251"/>
        <v>61.749154373617209</v>
      </c>
      <c r="M162" s="13">
        <f t="shared" si="252"/>
        <v>1.7578846159098942E-3</v>
      </c>
      <c r="N162" s="13">
        <f t="shared" si="253"/>
        <v>1.8679360508091117E-2</v>
      </c>
      <c r="O162" s="13">
        <f t="shared" si="254"/>
        <v>66.334600878164352</v>
      </c>
      <c r="P162" s="13">
        <f t="shared" si="255"/>
        <v>1.8632308836355443E-2</v>
      </c>
      <c r="Q162" s="14">
        <v>1056.1400000000001</v>
      </c>
      <c r="R162" s="14">
        <v>-450.36700000000002</v>
      </c>
      <c r="S162" s="14">
        <v>1063.5899999999999</v>
      </c>
      <c r="T162" s="14">
        <v>-472.61399999999998</v>
      </c>
      <c r="U162" s="40">
        <v>1091.1400000000001</v>
      </c>
      <c r="V162" s="40">
        <v>-436.78</v>
      </c>
      <c r="W162" s="14">
        <v>1098.49</v>
      </c>
      <c r="X162" s="14">
        <v>-458.99799999999999</v>
      </c>
      <c r="Y162" s="14">
        <v>1078.1400000000001</v>
      </c>
      <c r="Z162" s="14">
        <v>-454.38</v>
      </c>
      <c r="AA162" s="14">
        <v>1078.6099999999999</v>
      </c>
      <c r="AB162" s="14">
        <v>-455.46600000000001</v>
      </c>
      <c r="AC162" s="14">
        <v>1077.9100000000001</v>
      </c>
      <c r="AD162" s="14">
        <v>-453.37200000000001</v>
      </c>
      <c r="AE162" s="14" t="s">
        <v>216</v>
      </c>
      <c r="AF162" s="14" t="s">
        <v>212</v>
      </c>
      <c r="AG162" s="14" t="s">
        <v>224</v>
      </c>
      <c r="AH162" s="14" t="s">
        <v>225</v>
      </c>
      <c r="AI162" s="51" t="s">
        <v>224</v>
      </c>
      <c r="AJ162" s="51">
        <v>1.3254657896872001E-4</v>
      </c>
      <c r="AK162" s="51">
        <v>1.4565028943872E-4</v>
      </c>
      <c r="AL162" s="51">
        <v>1.2708552768367901E-4</v>
      </c>
      <c r="AM162" s="51">
        <v>1.2486335652561999E-4</v>
      </c>
      <c r="AN162" s="51">
        <v>0.905649605804696</v>
      </c>
    </row>
    <row r="163" spans="1:40" x14ac:dyDescent="0.35">
      <c r="A163" s="40" t="s">
        <v>138</v>
      </c>
      <c r="B163" s="14">
        <v>1</v>
      </c>
      <c r="C163" s="40">
        <v>50</v>
      </c>
      <c r="D163" s="14">
        <v>1256</v>
      </c>
      <c r="E163" s="12">
        <f t="shared" si="246"/>
        <v>42.238481341070937</v>
      </c>
      <c r="F163" s="12">
        <f t="shared" si="204"/>
        <v>1.2094932753423542</v>
      </c>
      <c r="G163" s="12">
        <f t="shared" si="247"/>
        <v>2.7449752275749559</v>
      </c>
      <c r="H163" s="12">
        <f t="shared" si="248"/>
        <v>25.368505553145948</v>
      </c>
      <c r="I163" s="12">
        <f t="shared" si="205"/>
        <v>1.3579162019020035</v>
      </c>
      <c r="J163" s="12">
        <f t="shared" si="249"/>
        <v>25.600462261451444</v>
      </c>
      <c r="K163" s="13">
        <f t="shared" si="250"/>
        <v>3.3629364125056481E-2</v>
      </c>
      <c r="L163" s="13">
        <f t="shared" si="251"/>
        <v>69.29886002657129</v>
      </c>
      <c r="M163" s="13">
        <f t="shared" si="252"/>
        <v>2.1854898308717803E-3</v>
      </c>
      <c r="N163" s="13">
        <f t="shared" si="253"/>
        <v>2.0197854739765882E-2</v>
      </c>
      <c r="O163" s="13">
        <f t="shared" si="254"/>
        <v>77.802867301419369</v>
      </c>
      <c r="P163" s="13">
        <f t="shared" si="255"/>
        <v>2.0382533647652423E-2</v>
      </c>
      <c r="Q163" s="14">
        <v>917.74300000000005</v>
      </c>
      <c r="R163" s="14">
        <v>-493.07100000000003</v>
      </c>
      <c r="S163" s="14">
        <v>924.298</v>
      </c>
      <c r="T163" s="14">
        <v>-517.57799999999997</v>
      </c>
      <c r="U163" s="40">
        <v>950.36599999999999</v>
      </c>
      <c r="V163" s="40">
        <v>-483.39400000000001</v>
      </c>
      <c r="W163" s="14">
        <v>957.23400000000004</v>
      </c>
      <c r="X163" s="14">
        <v>-508.05599999999998</v>
      </c>
      <c r="Y163" s="14">
        <v>938.86599999999999</v>
      </c>
      <c r="Z163" s="14">
        <v>-501.048</v>
      </c>
      <c r="AA163" s="14">
        <v>939.08299999999997</v>
      </c>
      <c r="AB163" s="14">
        <v>-502.13600000000002</v>
      </c>
      <c r="AC163" s="14">
        <v>938.50300000000004</v>
      </c>
      <c r="AD163" s="14">
        <v>-499.45299999999997</v>
      </c>
      <c r="AE163" s="14" t="s">
        <v>216</v>
      </c>
      <c r="AF163" s="14" t="s">
        <v>212</v>
      </c>
      <c r="AG163" s="14" t="s">
        <v>224</v>
      </c>
      <c r="AH163" s="14" t="s">
        <v>225</v>
      </c>
      <c r="AI163" s="51" t="s">
        <v>224</v>
      </c>
      <c r="AJ163" s="51">
        <v>1.2832058095663099E-4</v>
      </c>
      <c r="AK163" s="51">
        <v>1.4749968495172101E-4</v>
      </c>
      <c r="AL163" s="51">
        <v>1.2966249454846E-4</v>
      </c>
      <c r="AM163" s="51">
        <v>1.16578937659743E-4</v>
      </c>
      <c r="AN163" s="51">
        <v>0.892760477179807</v>
      </c>
    </row>
    <row r="164" spans="1:40" x14ac:dyDescent="0.35">
      <c r="A164" s="40" t="s">
        <v>138</v>
      </c>
      <c r="B164" s="14">
        <v>1</v>
      </c>
      <c r="C164" s="40">
        <v>60</v>
      </c>
      <c r="D164" s="14">
        <v>1256</v>
      </c>
      <c r="E164" s="12">
        <f t="shared" si="246"/>
        <v>40.245431057450489</v>
      </c>
      <c r="F164" s="12">
        <f t="shared" si="204"/>
        <v>1.314753407621756</v>
      </c>
      <c r="G164" s="12">
        <f t="shared" si="247"/>
        <v>3.1316593045860039</v>
      </c>
      <c r="H164" s="12">
        <f t="shared" si="248"/>
        <v>24.256069467248842</v>
      </c>
      <c r="I164" s="12">
        <f t="shared" si="205"/>
        <v>1.2979667042351588</v>
      </c>
      <c r="J164" s="12">
        <f t="shared" si="249"/>
        <v>24.457707026620536</v>
      </c>
      <c r="K164" s="13">
        <f t="shared" si="250"/>
        <v>3.2042540650836379E-2</v>
      </c>
      <c r="L164" s="13">
        <f t="shared" si="251"/>
        <v>75.329821357169777</v>
      </c>
      <c r="M164" s="13">
        <f t="shared" si="252"/>
        <v>2.4933593189379014E-3</v>
      </c>
      <c r="N164" s="13">
        <f t="shared" si="253"/>
        <v>1.9312157219147169E-2</v>
      </c>
      <c r="O164" s="13">
        <f t="shared" si="254"/>
        <v>74.368014101179796</v>
      </c>
      <c r="P164" s="13">
        <f t="shared" si="255"/>
        <v>1.947269667724565E-2</v>
      </c>
      <c r="Q164" s="14">
        <v>787.39700000000005</v>
      </c>
      <c r="R164" s="14">
        <v>-524.75199999999995</v>
      </c>
      <c r="S164" s="14">
        <v>792.53800000000001</v>
      </c>
      <c r="T164" s="14">
        <v>-548.45699999999999</v>
      </c>
      <c r="U164" s="40">
        <v>818.38499999999999</v>
      </c>
      <c r="V164" s="40">
        <v>-518.04</v>
      </c>
      <c r="W164" s="14">
        <v>823.81200000000001</v>
      </c>
      <c r="X164" s="14">
        <v>-541.88800000000003</v>
      </c>
      <c r="Y164" s="14">
        <v>805.34799999999996</v>
      </c>
      <c r="Z164" s="14">
        <v>-533.39599999999996</v>
      </c>
      <c r="AA164" s="14">
        <v>805.56299999999999</v>
      </c>
      <c r="AB164" s="14">
        <v>-534.97699999999998</v>
      </c>
      <c r="AC164" s="14">
        <v>805.06</v>
      </c>
      <c r="AD164" s="14">
        <v>-531.88599999999997</v>
      </c>
      <c r="AE164" s="14" t="s">
        <v>216</v>
      </c>
      <c r="AF164" s="14" t="s">
        <v>212</v>
      </c>
      <c r="AG164" s="14" t="s">
        <v>224</v>
      </c>
      <c r="AH164" s="14" t="s">
        <v>225</v>
      </c>
      <c r="AI164" s="51" t="s">
        <v>224</v>
      </c>
      <c r="AJ164" s="51">
        <v>1.2495543302973799E-4</v>
      </c>
      <c r="AK164" s="51">
        <v>1.2078635638109E-4</v>
      </c>
      <c r="AL164" s="51">
        <v>1.0764332731550901E-4</v>
      </c>
      <c r="AM164" s="51">
        <v>1.0649908940271501E-4</v>
      </c>
      <c r="AN164" s="51">
        <v>0.87141229512341201</v>
      </c>
    </row>
    <row r="165" spans="1:40" x14ac:dyDescent="0.35">
      <c r="A165" s="40" t="s">
        <v>138</v>
      </c>
      <c r="B165" s="14">
        <v>1</v>
      </c>
      <c r="C165" s="40">
        <v>70</v>
      </c>
      <c r="D165" s="14">
        <v>1256</v>
      </c>
      <c r="E165" s="12">
        <f t="shared" si="246"/>
        <v>37.010531501182143</v>
      </c>
      <c r="F165" s="12">
        <f t="shared" si="204"/>
        <v>1.311191446202673</v>
      </c>
      <c r="G165" s="12">
        <f t="shared" si="247"/>
        <v>2.2730112186260985</v>
      </c>
      <c r="H165" s="12">
        <f t="shared" si="248"/>
        <v>22.239315299711937</v>
      </c>
      <c r="I165" s="12">
        <f t="shared" si="205"/>
        <v>1.2499113580005452</v>
      </c>
      <c r="J165" s="12">
        <f t="shared" si="249"/>
        <v>22.014528021286313</v>
      </c>
      <c r="K165" s="13">
        <f t="shared" si="250"/>
        <v>2.9466983679285144E-2</v>
      </c>
      <c r="L165" s="13">
        <f t="shared" si="251"/>
        <v>75.125736001067892</v>
      </c>
      <c r="M165" s="13">
        <f t="shared" si="252"/>
        <v>1.8097223078233269E-3</v>
      </c>
      <c r="N165" s="13">
        <f t="shared" si="253"/>
        <v>1.77064612258853E-2</v>
      </c>
      <c r="O165" s="13">
        <f t="shared" si="254"/>
        <v>71.614645578896543</v>
      </c>
      <c r="P165" s="13">
        <f t="shared" si="255"/>
        <v>1.7527490462807573E-2</v>
      </c>
      <c r="Q165" s="14">
        <v>664.85400000000004</v>
      </c>
      <c r="R165" s="14">
        <v>-545.84699999999998</v>
      </c>
      <c r="S165" s="14">
        <v>667.74199999999996</v>
      </c>
      <c r="T165" s="14">
        <v>-567.89800000000002</v>
      </c>
      <c r="U165" s="40">
        <v>694.125</v>
      </c>
      <c r="V165" s="40">
        <v>-541.91</v>
      </c>
      <c r="W165" s="14">
        <v>697.27499999999998</v>
      </c>
      <c r="X165" s="14">
        <v>-563.69799999999998</v>
      </c>
      <c r="Y165" s="14">
        <v>680.69200000000001</v>
      </c>
      <c r="Z165" s="14">
        <v>-555.53599999999994</v>
      </c>
      <c r="AA165" s="14">
        <v>680.83600000000001</v>
      </c>
      <c r="AB165" s="14">
        <v>-556.47699999999998</v>
      </c>
      <c r="AC165" s="14">
        <v>680.47400000000005</v>
      </c>
      <c r="AD165" s="14">
        <v>-554.23299999999995</v>
      </c>
      <c r="AE165" s="14" t="s">
        <v>216</v>
      </c>
      <c r="AF165" s="14" t="s">
        <v>212</v>
      </c>
      <c r="AG165" s="14" t="s">
        <v>224</v>
      </c>
      <c r="AH165" s="14" t="s">
        <v>225</v>
      </c>
      <c r="AI165" s="51" t="s">
        <v>224</v>
      </c>
      <c r="AJ165" s="51">
        <v>1.06368445474461E-4</v>
      </c>
      <c r="AK165" s="51">
        <v>1.01823953938294E-4</v>
      </c>
      <c r="AL165" s="55">
        <v>9.7291772105358897E-5</v>
      </c>
      <c r="AM165" s="55">
        <v>8.9475483602276205E-5</v>
      </c>
      <c r="AN165" s="51">
        <v>0.89708969316097198</v>
      </c>
    </row>
    <row r="166" spans="1:40" x14ac:dyDescent="0.35">
      <c r="A166" s="40" t="s">
        <v>138</v>
      </c>
      <c r="B166" s="14">
        <v>1</v>
      </c>
      <c r="C166" s="40">
        <v>80</v>
      </c>
      <c r="D166" s="14">
        <v>1256</v>
      </c>
      <c r="E166" s="12">
        <f t="shared" si="246"/>
        <v>33.460071622756608</v>
      </c>
      <c r="F166" s="12">
        <f t="shared" si="204"/>
        <v>1.3234917662651362</v>
      </c>
      <c r="G166" s="12">
        <f t="shared" si="247"/>
        <v>1.0454305333211531</v>
      </c>
      <c r="H166" s="12">
        <f t="shared" si="248"/>
        <v>20.485301120559566</v>
      </c>
      <c r="I166" s="12">
        <f t="shared" si="205"/>
        <v>1.2900018527269843</v>
      </c>
      <c r="J166" s="12">
        <f t="shared" si="249"/>
        <v>20.692916783286087</v>
      </c>
      <c r="K166" s="13">
        <f t="shared" si="250"/>
        <v>2.6640184413022776E-2</v>
      </c>
      <c r="L166" s="13">
        <f t="shared" si="251"/>
        <v>75.830492427307121</v>
      </c>
      <c r="M166" s="13">
        <f t="shared" si="252"/>
        <v>8.3234915073340213E-4</v>
      </c>
      <c r="N166" s="13">
        <f t="shared" si="253"/>
        <v>1.6309953121464622E-2</v>
      </c>
      <c r="O166" s="13">
        <f t="shared" si="254"/>
        <v>73.911661725312996</v>
      </c>
      <c r="P166" s="13">
        <f t="shared" si="255"/>
        <v>1.6475252215992109E-2</v>
      </c>
      <c r="Q166" s="14">
        <v>550.822</v>
      </c>
      <c r="R166" s="14">
        <v>-565.19500000000005</v>
      </c>
      <c r="S166" s="14">
        <v>552.98299999999995</v>
      </c>
      <c r="T166" s="14">
        <v>-585.56600000000003</v>
      </c>
      <c r="U166" s="40">
        <v>577.21199999999999</v>
      </c>
      <c r="V166" s="40">
        <v>-561.33699999999999</v>
      </c>
      <c r="W166" s="14">
        <v>579.83500000000004</v>
      </c>
      <c r="X166" s="14">
        <v>-581.86300000000006</v>
      </c>
      <c r="Y166" s="14">
        <v>564.97</v>
      </c>
      <c r="Z166" s="14">
        <v>-573.91</v>
      </c>
      <c r="AA166" s="14">
        <v>564.90300000000002</v>
      </c>
      <c r="AB166" s="14">
        <v>-574.36800000000005</v>
      </c>
      <c r="AC166" s="14">
        <v>564.93299999999999</v>
      </c>
      <c r="AD166" s="14">
        <v>-573.32299999999998</v>
      </c>
      <c r="AE166" s="14" t="s">
        <v>216</v>
      </c>
      <c r="AF166" s="14" t="s">
        <v>212</v>
      </c>
      <c r="AG166" s="14" t="s">
        <v>224</v>
      </c>
      <c r="AH166" s="14" t="s">
        <v>225</v>
      </c>
      <c r="AI166" s="51" t="s">
        <v>224</v>
      </c>
      <c r="AJ166" s="55">
        <v>9.0095652650716305E-5</v>
      </c>
      <c r="AK166" s="55">
        <v>8.5378651580693204E-5</v>
      </c>
      <c r="AL166" s="55">
        <v>8.5239943177207601E-5</v>
      </c>
      <c r="AM166" s="55">
        <v>8.13131795407523E-5</v>
      </c>
      <c r="AN166" s="51">
        <v>0.94915961312669195</v>
      </c>
    </row>
    <row r="167" spans="1:40" x14ac:dyDescent="0.35">
      <c r="A167" s="40" t="s">
        <v>138</v>
      </c>
      <c r="B167" s="14">
        <v>1</v>
      </c>
      <c r="C167" s="40">
        <v>90</v>
      </c>
      <c r="D167" s="14">
        <v>1256</v>
      </c>
      <c r="E167" s="12">
        <f t="shared" si="246"/>
        <v>32.384723559110355</v>
      </c>
      <c r="F167" s="12">
        <f t="shared" si="204"/>
        <v>1.4920761266491898</v>
      </c>
      <c r="G167" s="12">
        <f t="shared" si="247"/>
        <v>1.4799459449587968</v>
      </c>
      <c r="H167" s="12">
        <f t="shared" si="248"/>
        <v>19.37430236163355</v>
      </c>
      <c r="I167" s="12">
        <f t="shared" si="205"/>
        <v>1.1860558004750943</v>
      </c>
      <c r="J167" s="12">
        <f t="shared" si="249"/>
        <v>20.044718431546926</v>
      </c>
      <c r="K167" s="13">
        <f t="shared" si="250"/>
        <v>2.5784015572540092E-2</v>
      </c>
      <c r="L167" s="13">
        <f t="shared" si="251"/>
        <v>85.489664769225868</v>
      </c>
      <c r="M167" s="13">
        <f t="shared" si="252"/>
        <v>1.1783009115913987E-3</v>
      </c>
      <c r="N167" s="13">
        <f t="shared" si="253"/>
        <v>1.5425399969453463E-2</v>
      </c>
      <c r="O167" s="13">
        <f t="shared" si="254"/>
        <v>67.955991634233371</v>
      </c>
      <c r="P167" s="13">
        <f t="shared" si="255"/>
        <v>1.595917072575392E-2</v>
      </c>
      <c r="Q167" s="14">
        <v>418.23700000000002</v>
      </c>
      <c r="R167" s="14">
        <v>-579.88900000000001</v>
      </c>
      <c r="S167" s="14">
        <v>420.46300000000002</v>
      </c>
      <c r="T167" s="14">
        <v>-599.13499999999999</v>
      </c>
      <c r="U167" s="40">
        <v>443.84199999999998</v>
      </c>
      <c r="V167" s="40">
        <v>-577.53700000000003</v>
      </c>
      <c r="W167" s="14">
        <v>445.40100000000001</v>
      </c>
      <c r="X167" s="14">
        <v>-597.52099999999996</v>
      </c>
      <c r="Y167" s="14">
        <v>429.80900000000003</v>
      </c>
      <c r="Z167" s="14">
        <v>-588.84400000000005</v>
      </c>
      <c r="AA167" s="14">
        <v>429.91699999999997</v>
      </c>
      <c r="AB167" s="14">
        <v>-589.67200000000003</v>
      </c>
      <c r="AC167" s="14">
        <v>429.80900000000003</v>
      </c>
      <c r="AD167" s="14">
        <v>-588.19600000000003</v>
      </c>
      <c r="AE167" s="14" t="s">
        <v>216</v>
      </c>
      <c r="AF167" s="14" t="s">
        <v>212</v>
      </c>
      <c r="AG167" s="14" t="s">
        <v>224</v>
      </c>
      <c r="AH167" s="14" t="s">
        <v>225</v>
      </c>
      <c r="AI167" s="51" t="s">
        <v>224</v>
      </c>
      <c r="AJ167" s="55">
        <v>9.4471088139984905E-5</v>
      </c>
      <c r="AK167" s="55">
        <v>6.4271396025193604E-5</v>
      </c>
      <c r="AL167" s="55">
        <v>7.6042029785691005E-5</v>
      </c>
      <c r="AM167" s="55">
        <v>6.9960222143899996E-5</v>
      </c>
      <c r="AN167" s="51">
        <v>0.919742768909105</v>
      </c>
    </row>
    <row r="168" spans="1:40" x14ac:dyDescent="0.35">
      <c r="A168" s="40" t="s">
        <v>139</v>
      </c>
      <c r="B168" s="14">
        <v>1</v>
      </c>
      <c r="C168" s="40">
        <v>30</v>
      </c>
      <c r="D168" s="14">
        <v>1601</v>
      </c>
      <c r="E168" s="12">
        <f t="shared" ref="E168:E174" si="256">DIST2(Q168,R168,W168,X168)</f>
        <v>49.423823577299224</v>
      </c>
      <c r="F168" s="12">
        <f t="shared" si="204"/>
        <v>1.0408507288051982</v>
      </c>
      <c r="G168" s="12">
        <f t="shared" ref="G168:G174" si="257">DIST2(AA168,AB168,AC168,AD168)</f>
        <v>4.4896077779690486</v>
      </c>
      <c r="H168" s="12">
        <f t="shared" ref="H168:H174" si="258">DIST2(Q168,R168,S168,T168)</f>
        <v>25.140049900507357</v>
      </c>
      <c r="I168" s="12">
        <f t="shared" si="205"/>
        <v>1.0554727202728049</v>
      </c>
      <c r="J168" s="12">
        <f t="shared" ref="J168:J174" si="259">DIST2(U168,V168,W168,X168)</f>
        <v>24.352326890874309</v>
      </c>
      <c r="K168" s="13">
        <f t="shared" ref="K168:K174" si="260">E168/D168</f>
        <v>3.0870595613553545E-2</v>
      </c>
      <c r="L168" s="13">
        <f t="shared" ref="L168:L174" si="261">F168*180/PI()</f>
        <v>59.636353863653682</v>
      </c>
      <c r="M168" s="13">
        <f t="shared" ref="M168:M174" si="262">G168/D168</f>
        <v>2.8042522036034034E-3</v>
      </c>
      <c r="N168" s="13">
        <f t="shared" ref="N168:N174" si="263">H168/D168</f>
        <v>1.5702716989698537E-2</v>
      </c>
      <c r="O168" s="13">
        <f t="shared" ref="O168:O174" si="264">I168*180/PI()</f>
        <v>60.474132262823844</v>
      </c>
      <c r="P168" s="13">
        <f t="shared" ref="P168:P174" si="265">J168/D168</f>
        <v>1.5210697620783453E-2</v>
      </c>
      <c r="Q168" s="14">
        <v>556.23</v>
      </c>
      <c r="R168" s="14">
        <v>149.93299999999999</v>
      </c>
      <c r="S168" s="14">
        <v>555.10799999999995</v>
      </c>
      <c r="T168" s="14">
        <v>124.818</v>
      </c>
      <c r="U168" s="40">
        <v>512.03499999999997</v>
      </c>
      <c r="V168" s="40">
        <v>148.53</v>
      </c>
      <c r="W168" s="14">
        <v>513.99900000000002</v>
      </c>
      <c r="X168" s="14">
        <v>124.25700000000001</v>
      </c>
      <c r="Y168" s="14">
        <v>533.84900000000005</v>
      </c>
      <c r="Z168" s="14">
        <v>135.958</v>
      </c>
      <c r="AA168" s="14">
        <v>533.73400000000004</v>
      </c>
      <c r="AB168" s="14">
        <v>133.48599999999999</v>
      </c>
      <c r="AC168" s="14">
        <v>533.88699999999994</v>
      </c>
      <c r="AD168" s="14">
        <v>137.97300000000001</v>
      </c>
      <c r="AE168" s="14" t="s">
        <v>215</v>
      </c>
      <c r="AF168" s="14" t="s">
        <v>212</v>
      </c>
      <c r="AG168" s="14" t="s">
        <v>223</v>
      </c>
      <c r="AH168" s="14" t="s">
        <v>225</v>
      </c>
      <c r="AI168" s="51" t="s">
        <v>223</v>
      </c>
      <c r="AJ168" s="55">
        <v>9.8470586973085802E-5</v>
      </c>
      <c r="AK168" s="51">
        <v>1.0658915648831201E-4</v>
      </c>
      <c r="AL168" s="55">
        <v>9.6992973044251994E-5</v>
      </c>
      <c r="AM168" s="55">
        <v>7.1848369675261303E-5</v>
      </c>
      <c r="AN168" s="51">
        <v>0.82337634812898797</v>
      </c>
    </row>
    <row r="169" spans="1:40" x14ac:dyDescent="0.35">
      <c r="A169" s="40" t="s">
        <v>139</v>
      </c>
      <c r="B169" s="14">
        <v>1</v>
      </c>
      <c r="C169" s="40">
        <v>40</v>
      </c>
      <c r="D169" s="14">
        <v>1601</v>
      </c>
      <c r="E169" s="12">
        <f t="shared" si="256"/>
        <v>55.825357580583464</v>
      </c>
      <c r="F169" s="12">
        <f t="shared" si="204"/>
        <v>0.89636026905208532</v>
      </c>
      <c r="G169" s="12">
        <f t="shared" si="257"/>
        <v>3.6394312742515056</v>
      </c>
      <c r="H169" s="12">
        <f t="shared" si="258"/>
        <v>24.775036831455981</v>
      </c>
      <c r="I169" s="12">
        <f t="shared" si="205"/>
        <v>0.94573583170854247</v>
      </c>
      <c r="J169" s="12">
        <f t="shared" si="259"/>
        <v>24.140634312295951</v>
      </c>
      <c r="K169" s="13">
        <f t="shared" si="260"/>
        <v>3.4869055328284486E-2</v>
      </c>
      <c r="L169" s="13">
        <f t="shared" si="261"/>
        <v>51.357660339895432</v>
      </c>
      <c r="M169" s="13">
        <f t="shared" si="262"/>
        <v>2.273223781543726E-3</v>
      </c>
      <c r="N169" s="13">
        <f t="shared" si="263"/>
        <v>1.5474726315712667E-2</v>
      </c>
      <c r="O169" s="13">
        <f t="shared" si="264"/>
        <v>54.186671691194185</v>
      </c>
      <c r="P169" s="13">
        <f t="shared" si="265"/>
        <v>1.5078472399935009E-2</v>
      </c>
      <c r="Q169" s="14">
        <v>707.07500000000005</v>
      </c>
      <c r="R169" s="14">
        <v>150.69300000000001</v>
      </c>
      <c r="S169" s="14">
        <v>707.70600000000002</v>
      </c>
      <c r="T169" s="14">
        <v>125.926</v>
      </c>
      <c r="U169" s="40">
        <v>658.33</v>
      </c>
      <c r="V169" s="40">
        <v>148.48400000000001</v>
      </c>
      <c r="W169" s="14">
        <v>657.85699999999997</v>
      </c>
      <c r="X169" s="14">
        <v>124.348</v>
      </c>
      <c r="Y169" s="14">
        <v>681.64700000000005</v>
      </c>
      <c r="Z169" s="14">
        <v>137.32300000000001</v>
      </c>
      <c r="AA169" s="14">
        <v>681.80499999999995</v>
      </c>
      <c r="AB169" s="14">
        <v>135.66300000000001</v>
      </c>
      <c r="AC169" s="14">
        <v>681.64700000000005</v>
      </c>
      <c r="AD169" s="14">
        <v>139.29900000000001</v>
      </c>
      <c r="AE169" s="14" t="s">
        <v>215</v>
      </c>
      <c r="AF169" s="14" t="s">
        <v>212</v>
      </c>
      <c r="AG169" s="14" t="s">
        <v>223</v>
      </c>
      <c r="AH169" s="14" t="s">
        <v>225</v>
      </c>
      <c r="AI169" s="51" t="s">
        <v>223</v>
      </c>
      <c r="AJ169" s="51">
        <v>1.10810323692914E-4</v>
      </c>
      <c r="AK169" s="51">
        <v>1.24495064179516E-4</v>
      </c>
      <c r="AL169" s="55">
        <v>9.73841064356639E-5</v>
      </c>
      <c r="AM169" s="51">
        <v>1.02655135317129E-4</v>
      </c>
      <c r="AN169" s="51">
        <v>0.85012605772224603</v>
      </c>
    </row>
    <row r="170" spans="1:40" x14ac:dyDescent="0.35">
      <c r="A170" s="40" t="s">
        <v>139</v>
      </c>
      <c r="B170" s="14">
        <v>1</v>
      </c>
      <c r="C170" s="40">
        <v>50</v>
      </c>
      <c r="D170" s="14">
        <v>1601</v>
      </c>
      <c r="E170" s="12">
        <f t="shared" si="256"/>
        <v>56.764412531092049</v>
      </c>
      <c r="F170" s="12">
        <f t="shared" si="204"/>
        <v>1.0237163002525345</v>
      </c>
      <c r="G170" s="12">
        <f t="shared" si="257"/>
        <v>1.7987751388097482</v>
      </c>
      <c r="H170" s="12">
        <f t="shared" si="258"/>
        <v>27.5407808531276</v>
      </c>
      <c r="I170" s="12">
        <f t="shared" si="205"/>
        <v>0.95369914605322292</v>
      </c>
      <c r="J170" s="12">
        <f t="shared" si="259"/>
        <v>26.973932045588008</v>
      </c>
      <c r="K170" s="13">
        <f t="shared" si="260"/>
        <v>3.5455598083130577E-2</v>
      </c>
      <c r="L170" s="13">
        <f t="shared" si="261"/>
        <v>58.6546234232176</v>
      </c>
      <c r="M170" s="13">
        <f t="shared" si="262"/>
        <v>1.1235322540972818E-3</v>
      </c>
      <c r="N170" s="13">
        <f t="shared" si="263"/>
        <v>1.7202236635307684E-2</v>
      </c>
      <c r="O170" s="13">
        <f t="shared" si="264"/>
        <v>54.642935994080354</v>
      </c>
      <c r="P170" s="13">
        <f t="shared" si="265"/>
        <v>1.68481774176065E-2</v>
      </c>
      <c r="Q170" s="14">
        <v>865.28399999999999</v>
      </c>
      <c r="R170" s="14">
        <v>163.74299999999999</v>
      </c>
      <c r="S170" s="14">
        <v>868.37300000000005</v>
      </c>
      <c r="T170" s="14">
        <v>136.376</v>
      </c>
      <c r="U170" s="40">
        <v>814.81600000000003</v>
      </c>
      <c r="V170" s="40">
        <v>159.035</v>
      </c>
      <c r="W170" s="14">
        <v>818.053</v>
      </c>
      <c r="X170" s="14">
        <v>132.256</v>
      </c>
      <c r="Y170" s="14">
        <v>842.46</v>
      </c>
      <c r="Z170" s="14">
        <v>147.41999999999999</v>
      </c>
      <c r="AA170" s="14">
        <v>842.55100000000004</v>
      </c>
      <c r="AB170" s="14">
        <v>146.54599999999999</v>
      </c>
      <c r="AC170" s="14">
        <v>842.33699999999999</v>
      </c>
      <c r="AD170" s="14">
        <v>148.33199999999999</v>
      </c>
      <c r="AE170" s="14" t="s">
        <v>215</v>
      </c>
      <c r="AF170" s="14" t="s">
        <v>212</v>
      </c>
      <c r="AG170" s="14" t="s">
        <v>223</v>
      </c>
      <c r="AH170" s="14" t="s">
        <v>225</v>
      </c>
      <c r="AI170" s="51" t="s">
        <v>223</v>
      </c>
      <c r="AJ170" s="51">
        <v>1.37070975120562E-4</v>
      </c>
      <c r="AK170" s="51">
        <v>1.3168030033540101E-4</v>
      </c>
      <c r="AL170" s="51">
        <v>1.30642870379654E-4</v>
      </c>
      <c r="AM170" s="51">
        <v>1.2057989989860299E-4</v>
      </c>
      <c r="AN170" s="51">
        <v>0.93477796468884899</v>
      </c>
    </row>
    <row r="171" spans="1:40" x14ac:dyDescent="0.35">
      <c r="A171" s="40" t="s">
        <v>139</v>
      </c>
      <c r="B171" s="14">
        <v>1</v>
      </c>
      <c r="C171" s="40">
        <v>60</v>
      </c>
      <c r="D171" s="14">
        <v>1601</v>
      </c>
      <c r="E171" s="12">
        <f t="shared" si="256"/>
        <v>57.274686345714649</v>
      </c>
      <c r="F171" s="12">
        <f t="shared" si="204"/>
        <v>0.95708444138186166</v>
      </c>
      <c r="G171" s="12">
        <f t="shared" si="257"/>
        <v>1.4052789758620823</v>
      </c>
      <c r="H171" s="12">
        <f t="shared" si="258"/>
        <v>25.107989186711094</v>
      </c>
      <c r="I171" s="12">
        <f t="shared" si="205"/>
        <v>0.91442518053084332</v>
      </c>
      <c r="J171" s="12">
        <f t="shared" si="259"/>
        <v>26.402088648438401</v>
      </c>
      <c r="K171" s="13">
        <f t="shared" si="260"/>
        <v>3.5774320016061616E-2</v>
      </c>
      <c r="L171" s="13">
        <f t="shared" si="261"/>
        <v>54.836899128816711</v>
      </c>
      <c r="M171" s="13">
        <f t="shared" si="262"/>
        <v>8.7775076568524812E-4</v>
      </c>
      <c r="N171" s="13">
        <f t="shared" si="263"/>
        <v>1.5682691559469764E-2</v>
      </c>
      <c r="O171" s="13">
        <f t="shared" si="264"/>
        <v>52.392703524905698</v>
      </c>
      <c r="P171" s="13">
        <f t="shared" si="265"/>
        <v>1.6490998531192007E-2</v>
      </c>
      <c r="Q171" s="14">
        <v>1029.3</v>
      </c>
      <c r="R171" s="14">
        <v>175.078</v>
      </c>
      <c r="S171" s="14">
        <v>1031.1600000000001</v>
      </c>
      <c r="T171" s="14">
        <v>150.03899999999999</v>
      </c>
      <c r="U171" s="40">
        <v>978.36099999999999</v>
      </c>
      <c r="V171" s="40">
        <v>171.64400000000001</v>
      </c>
      <c r="W171" s="14">
        <v>980.36400000000003</v>
      </c>
      <c r="X171" s="14">
        <v>145.31800000000001</v>
      </c>
      <c r="Y171" s="14">
        <v>1006.12</v>
      </c>
      <c r="Z171" s="14">
        <v>160.48400000000001</v>
      </c>
      <c r="AA171" s="14">
        <v>1006.14</v>
      </c>
      <c r="AB171" s="14">
        <v>159.792</v>
      </c>
      <c r="AC171" s="14">
        <v>1006.06</v>
      </c>
      <c r="AD171" s="14">
        <v>161.19499999999999</v>
      </c>
      <c r="AE171" s="14" t="s">
        <v>215</v>
      </c>
      <c r="AF171" s="14" t="s">
        <v>212</v>
      </c>
      <c r="AG171" s="14" t="s">
        <v>223</v>
      </c>
      <c r="AH171" s="14" t="s">
        <v>225</v>
      </c>
      <c r="AI171" s="51" t="s">
        <v>223</v>
      </c>
      <c r="AJ171" s="51">
        <v>1.38192430870618E-4</v>
      </c>
      <c r="AK171" s="51">
        <v>1.1851369830146E-4</v>
      </c>
      <c r="AL171" s="51">
        <v>1.2238212629442599E-4</v>
      </c>
      <c r="AM171" s="51">
        <v>1.19680978588882E-4</v>
      </c>
      <c r="AN171" s="51">
        <v>0.94295802622244995</v>
      </c>
    </row>
    <row r="172" spans="1:40" x14ac:dyDescent="0.35">
      <c r="A172" s="40" t="s">
        <v>139</v>
      </c>
      <c r="B172" s="14">
        <v>1</v>
      </c>
      <c r="C172" s="40">
        <v>70</v>
      </c>
      <c r="D172" s="14">
        <v>1601</v>
      </c>
      <c r="E172" s="12">
        <f t="shared" si="256"/>
        <v>56.773096101939061</v>
      </c>
      <c r="F172" s="12">
        <f t="shared" si="204"/>
        <v>0.92176606943913253</v>
      </c>
      <c r="G172" s="12">
        <f t="shared" si="257"/>
        <v>1.380905500025249</v>
      </c>
      <c r="H172" s="12">
        <f t="shared" si="258"/>
        <v>24.956993829385759</v>
      </c>
      <c r="I172" s="12">
        <f t="shared" si="205"/>
        <v>0.88636165328074557</v>
      </c>
      <c r="J172" s="12">
        <f t="shared" si="259"/>
        <v>24.540073858894559</v>
      </c>
      <c r="K172" s="13">
        <f t="shared" si="260"/>
        <v>3.546102192500878E-2</v>
      </c>
      <c r="L172" s="13">
        <f t="shared" si="261"/>
        <v>52.813305477225072</v>
      </c>
      <c r="M172" s="13">
        <f t="shared" si="262"/>
        <v>8.6252685822938726E-4</v>
      </c>
      <c r="N172" s="13">
        <f t="shared" si="263"/>
        <v>1.5588378406861812E-2</v>
      </c>
      <c r="O172" s="13">
        <f t="shared" si="264"/>
        <v>50.784781855224715</v>
      </c>
      <c r="P172" s="13">
        <f t="shared" si="265"/>
        <v>1.5327966182944758E-2</v>
      </c>
      <c r="Q172" s="14">
        <v>1194.9100000000001</v>
      </c>
      <c r="R172" s="14">
        <v>193.46799999999999</v>
      </c>
      <c r="S172" s="14">
        <v>1196.98</v>
      </c>
      <c r="T172" s="14">
        <v>168.59700000000001</v>
      </c>
      <c r="U172" s="40">
        <v>1144.6500000000001</v>
      </c>
      <c r="V172" s="40">
        <v>190.01400000000001</v>
      </c>
      <c r="W172" s="14">
        <v>1145.51</v>
      </c>
      <c r="X172" s="14">
        <v>165.489</v>
      </c>
      <c r="Y172" s="14">
        <v>1170.9000000000001</v>
      </c>
      <c r="Z172" s="14">
        <v>178.96199999999999</v>
      </c>
      <c r="AA172" s="14">
        <v>1170.8699999999999</v>
      </c>
      <c r="AB172" s="14">
        <v>178.209</v>
      </c>
      <c r="AC172" s="14">
        <v>1170.82</v>
      </c>
      <c r="AD172" s="14">
        <v>179.589</v>
      </c>
      <c r="AE172" s="14" t="s">
        <v>215</v>
      </c>
      <c r="AF172" s="14" t="s">
        <v>212</v>
      </c>
      <c r="AG172" s="14" t="s">
        <v>223</v>
      </c>
      <c r="AH172" s="14" t="s">
        <v>225</v>
      </c>
      <c r="AI172" s="51" t="s">
        <v>223</v>
      </c>
      <c r="AJ172" s="51">
        <v>1.23727427150661E-4</v>
      </c>
      <c r="AK172" s="51">
        <v>1.2234314242230701E-4</v>
      </c>
      <c r="AL172" s="51">
        <v>1.19840714793729E-4</v>
      </c>
      <c r="AM172" s="51">
        <v>1.1233600486267E-4</v>
      </c>
      <c r="AN172" s="51">
        <v>0.94353713269863704</v>
      </c>
    </row>
    <row r="173" spans="1:40" x14ac:dyDescent="0.35">
      <c r="A173" s="40" t="s">
        <v>139</v>
      </c>
      <c r="B173" s="14">
        <v>1</v>
      </c>
      <c r="C173" s="40">
        <v>80</v>
      </c>
      <c r="D173" s="14">
        <v>1601</v>
      </c>
      <c r="E173" s="12">
        <f t="shared" si="256"/>
        <v>59.157985504917384</v>
      </c>
      <c r="F173" s="12">
        <f t="shared" si="204"/>
        <v>0.86108455655505123</v>
      </c>
      <c r="G173" s="12">
        <f t="shared" si="257"/>
        <v>2.1018803486402486</v>
      </c>
      <c r="H173" s="12">
        <f t="shared" si="258"/>
        <v>23.258737368997494</v>
      </c>
      <c r="I173" s="12">
        <f t="shared" si="205"/>
        <v>0.76267136245529854</v>
      </c>
      <c r="J173" s="12">
        <f t="shared" si="259"/>
        <v>22.822999277045074</v>
      </c>
      <c r="K173" s="13">
        <f t="shared" si="260"/>
        <v>3.6950646786331906E-2</v>
      </c>
      <c r="L173" s="13">
        <f t="shared" si="261"/>
        <v>49.336510894498481</v>
      </c>
      <c r="M173" s="13">
        <f t="shared" si="262"/>
        <v>1.3128546837228286E-3</v>
      </c>
      <c r="N173" s="13">
        <f t="shared" si="263"/>
        <v>1.4527631086194563E-2</v>
      </c>
      <c r="O173" s="13">
        <f t="shared" si="264"/>
        <v>43.697850224180876</v>
      </c>
      <c r="P173" s="13">
        <f t="shared" si="265"/>
        <v>1.4255464882601545E-2</v>
      </c>
      <c r="Q173" s="14">
        <v>1362.43</v>
      </c>
      <c r="R173" s="14">
        <v>211.26400000000001</v>
      </c>
      <c r="S173" s="14">
        <v>1365.21</v>
      </c>
      <c r="T173" s="14">
        <v>188.172</v>
      </c>
      <c r="U173" s="40">
        <v>1309.69</v>
      </c>
      <c r="V173" s="40">
        <v>204.221</v>
      </c>
      <c r="W173" s="14">
        <v>1311.33</v>
      </c>
      <c r="X173" s="14">
        <v>181.45699999999999</v>
      </c>
      <c r="Y173" s="14">
        <v>1338.73</v>
      </c>
      <c r="Z173" s="14">
        <v>196.31899999999999</v>
      </c>
      <c r="AA173" s="14">
        <v>1338.56</v>
      </c>
      <c r="AB173" s="14">
        <v>195.58099999999999</v>
      </c>
      <c r="AC173" s="14">
        <v>1338.45</v>
      </c>
      <c r="AD173" s="14">
        <v>197.68</v>
      </c>
      <c r="AE173" s="14" t="s">
        <v>215</v>
      </c>
      <c r="AF173" s="14" t="s">
        <v>212</v>
      </c>
      <c r="AG173" s="14" t="s">
        <v>223</v>
      </c>
      <c r="AH173" s="14" t="s">
        <v>225</v>
      </c>
      <c r="AI173" s="51" t="s">
        <v>223</v>
      </c>
      <c r="AJ173" s="51">
        <v>1.26425372025058E-4</v>
      </c>
      <c r="AK173" s="51">
        <v>1.1486174903958001E-4</v>
      </c>
      <c r="AL173" s="51">
        <v>1.0680571285669801E-4</v>
      </c>
      <c r="AM173" s="51">
        <v>1.1277922995504499E-4</v>
      </c>
      <c r="AN173" s="51">
        <v>0.91005662400405596</v>
      </c>
    </row>
    <row r="174" spans="1:40" x14ac:dyDescent="0.35">
      <c r="A174" s="40" t="s">
        <v>139</v>
      </c>
      <c r="B174" s="14">
        <v>1</v>
      </c>
      <c r="C174" s="40">
        <v>90</v>
      </c>
      <c r="D174" s="14">
        <v>1601</v>
      </c>
      <c r="E174" s="12">
        <f t="shared" si="256"/>
        <v>56.187790168327467</v>
      </c>
      <c r="F174" s="12">
        <f t="shared" si="204"/>
        <v>0.86203107181363814</v>
      </c>
      <c r="G174" s="12">
        <f t="shared" si="257"/>
        <v>3.1581046531107817</v>
      </c>
      <c r="H174" s="12">
        <f t="shared" si="258"/>
        <v>22.523510494592077</v>
      </c>
      <c r="I174" s="12">
        <f t="shared" si="205"/>
        <v>0.82834015918332404</v>
      </c>
      <c r="J174" s="12">
        <f t="shared" si="259"/>
        <v>24.320896365060225</v>
      </c>
      <c r="K174" s="13">
        <f t="shared" si="260"/>
        <v>3.5095434208824154E-2</v>
      </c>
      <c r="L174" s="13">
        <f t="shared" si="261"/>
        <v>49.390742224060247</v>
      </c>
      <c r="M174" s="13">
        <f t="shared" si="262"/>
        <v>1.9725825441041732E-3</v>
      </c>
      <c r="N174" s="13">
        <f t="shared" si="263"/>
        <v>1.4068401308302359E-2</v>
      </c>
      <c r="O174" s="13">
        <f t="shared" si="264"/>
        <v>47.460395122399241</v>
      </c>
      <c r="P174" s="13">
        <f t="shared" si="265"/>
        <v>1.5191065812030122E-2</v>
      </c>
      <c r="Q174" s="14">
        <v>1529.68</v>
      </c>
      <c r="R174" s="14">
        <v>223.59</v>
      </c>
      <c r="S174" s="14">
        <v>1532.43</v>
      </c>
      <c r="T174" s="14">
        <v>201.23500000000001</v>
      </c>
      <c r="U174" s="40">
        <v>1478.18</v>
      </c>
      <c r="V174" s="40">
        <v>221.792</v>
      </c>
      <c r="W174" s="14">
        <v>1479.9</v>
      </c>
      <c r="X174" s="14">
        <v>197.53200000000001</v>
      </c>
      <c r="Y174" s="14">
        <v>1506.64</v>
      </c>
      <c r="Z174" s="14">
        <v>211.52099999999999</v>
      </c>
      <c r="AA174" s="14">
        <v>1506.64</v>
      </c>
      <c r="AB174" s="14">
        <v>209.875</v>
      </c>
      <c r="AC174" s="14">
        <v>1506.78</v>
      </c>
      <c r="AD174" s="14">
        <v>213.03</v>
      </c>
      <c r="AE174" s="14" t="s">
        <v>215</v>
      </c>
      <c r="AF174" s="14" t="s">
        <v>212</v>
      </c>
      <c r="AG174" s="14" t="s">
        <v>223</v>
      </c>
      <c r="AH174" s="14" t="s">
        <v>225</v>
      </c>
      <c r="AI174" s="51" t="s">
        <v>223</v>
      </c>
      <c r="AJ174" s="51">
        <v>1.31236972832018E-4</v>
      </c>
      <c r="AK174" s="51">
        <v>1.06946148585304E-4</v>
      </c>
      <c r="AL174" s="55">
        <v>9.8054307875191995E-5</v>
      </c>
      <c r="AM174" s="51">
        <v>1.07162795660582E-4</v>
      </c>
      <c r="AN174" s="51">
        <v>0.86159381199901397</v>
      </c>
    </row>
    <row r="175" spans="1:40" x14ac:dyDescent="0.35">
      <c r="A175" s="40" t="s">
        <v>140</v>
      </c>
      <c r="B175" s="14">
        <v>1</v>
      </c>
      <c r="C175" s="40">
        <v>30</v>
      </c>
      <c r="D175" s="14">
        <v>953</v>
      </c>
      <c r="E175" s="12">
        <f t="shared" ref="E175:E181" si="266">DIST2(Q175,R175,W175,X175)</f>
        <v>29.686453880515952</v>
      </c>
      <c r="F175" s="12">
        <f t="shared" si="204"/>
        <v>1.2768939732410978</v>
      </c>
      <c r="G175" s="12">
        <f t="shared" ref="G175:G181" si="267">DIST2(AA175,AB175,AC175,AD175)</f>
        <v>0</v>
      </c>
      <c r="H175" s="12">
        <f t="shared" ref="H175:H181" si="268">DIST2(Q175,R175,S175,T175)</f>
        <v>18.870950294036604</v>
      </c>
      <c r="I175" s="12">
        <f t="shared" si="205"/>
        <v>1.4566068864843948</v>
      </c>
      <c r="J175" s="12">
        <f t="shared" ref="J175:J181" si="269">DIST2(U175,V175,W175,X175)</f>
        <v>18.579527469771673</v>
      </c>
      <c r="K175" s="13">
        <f t="shared" ref="K175:K181" si="270">E175/D175</f>
        <v>3.1150528730866687E-2</v>
      </c>
      <c r="L175" s="13">
        <f t="shared" ref="L175:L181" si="271">F175*180/PI()</f>
        <v>73.16063555240558</v>
      </c>
      <c r="M175" s="13">
        <f t="shared" ref="M175:M181" si="272">G175/D175</f>
        <v>0</v>
      </c>
      <c r="N175" s="13">
        <f t="shared" ref="N175:N181" si="273">H175/D175</f>
        <v>1.9801626751350058E-2</v>
      </c>
      <c r="O175" s="13">
        <f t="shared" ref="O175:O181" si="274">I175*180/PI()</f>
        <v>83.457427005247212</v>
      </c>
      <c r="P175" s="13">
        <f t="shared" ref="P175:P181" si="275">J175/D175</f>
        <v>1.9495831552750968E-2</v>
      </c>
      <c r="Q175" s="14">
        <v>365.55700000000002</v>
      </c>
      <c r="R175" s="14">
        <v>-208.749</v>
      </c>
      <c r="S175" s="14">
        <v>364.858</v>
      </c>
      <c r="T175" s="14">
        <v>-227.607</v>
      </c>
      <c r="U175" s="40">
        <v>342.15899999999999</v>
      </c>
      <c r="V175" s="40">
        <v>-208.26</v>
      </c>
      <c r="W175" s="14">
        <v>342.01900000000001</v>
      </c>
      <c r="X175" s="14">
        <v>-226.839</v>
      </c>
      <c r="Y175" s="14">
        <v>352.49599999999998</v>
      </c>
      <c r="Z175" s="14">
        <v>-217.96899999999999</v>
      </c>
      <c r="AA175" s="14">
        <v>352.49599999999998</v>
      </c>
      <c r="AB175" s="14">
        <v>-217.96899999999999</v>
      </c>
      <c r="AC175" s="14">
        <v>352.49599999999998</v>
      </c>
      <c r="AD175" s="14">
        <v>-217.96899999999999</v>
      </c>
      <c r="AE175" s="14" t="s">
        <v>213</v>
      </c>
      <c r="AF175" s="14" t="s">
        <v>212</v>
      </c>
      <c r="AG175" s="14" t="s">
        <v>222</v>
      </c>
      <c r="AH175" s="14" t="s">
        <v>226</v>
      </c>
      <c r="AI175" s="51" t="s">
        <v>222</v>
      </c>
      <c r="AJ175" s="51">
        <v>1.06479005933656E-4</v>
      </c>
      <c r="AK175" s="51">
        <v>1.32050859438742E-4</v>
      </c>
      <c r="AL175" s="51">
        <v>1.2228264033939301E-4</v>
      </c>
      <c r="AM175" s="51">
        <v>1.1595803719188E-4</v>
      </c>
      <c r="AN175" s="51">
        <v>0.998787624180003</v>
      </c>
    </row>
    <row r="176" spans="1:40" x14ac:dyDescent="0.35">
      <c r="A176" s="40" t="s">
        <v>140</v>
      </c>
      <c r="B176" s="14">
        <v>1</v>
      </c>
      <c r="C176" s="40">
        <v>40</v>
      </c>
      <c r="D176" s="14">
        <v>953</v>
      </c>
      <c r="E176" s="12">
        <f t="shared" si="266"/>
        <v>39.353072878747348</v>
      </c>
      <c r="F176" s="12">
        <f t="shared" si="204"/>
        <v>1.0415488357489018</v>
      </c>
      <c r="G176" s="12">
        <f t="shared" si="267"/>
        <v>0.33799999999999386</v>
      </c>
      <c r="H176" s="12">
        <f t="shared" si="268"/>
        <v>21.102894303862694</v>
      </c>
      <c r="I176" s="12">
        <f t="shared" si="205"/>
        <v>1.1938300512080353</v>
      </c>
      <c r="J176" s="12">
        <f t="shared" si="269"/>
        <v>20.253682973721105</v>
      </c>
      <c r="K176" s="13">
        <f t="shared" si="270"/>
        <v>4.129388549711159E-2</v>
      </c>
      <c r="L176" s="13">
        <f t="shared" si="271"/>
        <v>59.676352445176668</v>
      </c>
      <c r="M176" s="13">
        <f t="shared" si="272"/>
        <v>3.5466946484784246E-4</v>
      </c>
      <c r="N176" s="13">
        <f t="shared" si="273"/>
        <v>2.2143645649383731E-2</v>
      </c>
      <c r="O176" s="13">
        <f t="shared" si="274"/>
        <v>68.401423390107368</v>
      </c>
      <c r="P176" s="13">
        <f t="shared" si="275"/>
        <v>2.1252552962981223E-2</v>
      </c>
      <c r="Q176" s="14">
        <v>458.721</v>
      </c>
      <c r="R176" s="14">
        <v>-206.32</v>
      </c>
      <c r="S176" s="14">
        <v>459.399</v>
      </c>
      <c r="T176" s="14">
        <v>-227.41200000000001</v>
      </c>
      <c r="U176" s="40">
        <v>425.51499999999999</v>
      </c>
      <c r="V176" s="40">
        <v>-208.09899999999999</v>
      </c>
      <c r="W176" s="14">
        <v>426.108</v>
      </c>
      <c r="X176" s="14">
        <v>-228.34399999999999</v>
      </c>
      <c r="Y176" s="14">
        <v>440.66800000000001</v>
      </c>
      <c r="Z176" s="14">
        <v>-217.142</v>
      </c>
      <c r="AA176" s="14">
        <v>440.66800000000001</v>
      </c>
      <c r="AB176" s="14">
        <v>-217.31100000000001</v>
      </c>
      <c r="AC176" s="14">
        <v>440.66800000000001</v>
      </c>
      <c r="AD176" s="14">
        <v>-216.97300000000001</v>
      </c>
      <c r="AE176" s="14" t="s">
        <v>213</v>
      </c>
      <c r="AF176" s="14" t="s">
        <v>212</v>
      </c>
      <c r="AG176" s="14" t="s">
        <v>222</v>
      </c>
      <c r="AH176" s="14" t="s">
        <v>226</v>
      </c>
      <c r="AI176" s="51" t="s">
        <v>222</v>
      </c>
      <c r="AJ176" s="51">
        <v>1.6593646726689601E-4</v>
      </c>
      <c r="AK176" s="51">
        <v>2.1366843534913199E-4</v>
      </c>
      <c r="AL176" s="51">
        <v>1.77066749503694E-4</v>
      </c>
      <c r="AM176" s="51">
        <v>1.94740243159889E-4</v>
      </c>
      <c r="AN176" s="51">
        <v>0.97945782602198805</v>
      </c>
    </row>
    <row r="177" spans="1:40" x14ac:dyDescent="0.35">
      <c r="A177" s="40" t="s">
        <v>140</v>
      </c>
      <c r="B177" s="14">
        <v>1</v>
      </c>
      <c r="C177" s="40">
        <v>50</v>
      </c>
      <c r="D177" s="14">
        <v>953</v>
      </c>
      <c r="E177" s="12">
        <f t="shared" si="266"/>
        <v>40.031527088033933</v>
      </c>
      <c r="F177" s="12">
        <f t="shared" si="204"/>
        <v>1.1990997088702071</v>
      </c>
      <c r="G177" s="12">
        <f t="shared" si="267"/>
        <v>0.58267315023092214</v>
      </c>
      <c r="H177" s="12">
        <f t="shared" si="268"/>
        <v>23.755760311974861</v>
      </c>
      <c r="I177" s="12">
        <f t="shared" si="205"/>
        <v>1.2465509702482742</v>
      </c>
      <c r="J177" s="12">
        <f t="shared" si="269"/>
        <v>21.79154939420323</v>
      </c>
      <c r="K177" s="13">
        <f t="shared" si="270"/>
        <v>4.2005799672648406E-2</v>
      </c>
      <c r="L177" s="13">
        <f t="shared" si="271"/>
        <v>68.703352533628589</v>
      </c>
      <c r="M177" s="13">
        <f t="shared" si="272"/>
        <v>6.1140939163790357E-4</v>
      </c>
      <c r="N177" s="13">
        <f t="shared" si="273"/>
        <v>2.4927345552964178E-2</v>
      </c>
      <c r="O177" s="13">
        <f t="shared" si="274"/>
        <v>71.422109543163955</v>
      </c>
      <c r="P177" s="13">
        <f t="shared" si="275"/>
        <v>2.2866263792448299E-2</v>
      </c>
      <c r="Q177" s="14">
        <v>558.48299999999995</v>
      </c>
      <c r="R177" s="14">
        <v>-195.28100000000001</v>
      </c>
      <c r="S177" s="14">
        <v>561.351</v>
      </c>
      <c r="T177" s="14">
        <v>-218.863</v>
      </c>
      <c r="U177" s="40">
        <v>526.71500000000003</v>
      </c>
      <c r="V177" s="40">
        <v>-200.12100000000001</v>
      </c>
      <c r="W177" s="14">
        <v>528.52800000000002</v>
      </c>
      <c r="X177" s="14">
        <v>-221.83699999999999</v>
      </c>
      <c r="Y177" s="14">
        <v>542.65599999999995</v>
      </c>
      <c r="Z177" s="14">
        <v>-209.09</v>
      </c>
      <c r="AA177" s="14">
        <v>542.654</v>
      </c>
      <c r="AB177" s="14">
        <v>-209.37200000000001</v>
      </c>
      <c r="AC177" s="14">
        <v>542.62599999999998</v>
      </c>
      <c r="AD177" s="14">
        <v>-208.79</v>
      </c>
      <c r="AE177" s="14" t="s">
        <v>213</v>
      </c>
      <c r="AF177" s="14" t="s">
        <v>212</v>
      </c>
      <c r="AG177" s="14" t="s">
        <v>222</v>
      </c>
      <c r="AH177" s="14" t="s">
        <v>226</v>
      </c>
      <c r="AI177" s="51" t="s">
        <v>222</v>
      </c>
      <c r="AJ177" s="51">
        <v>1.8162887562224E-4</v>
      </c>
      <c r="AK177" s="51">
        <v>2.27280574185017E-4</v>
      </c>
      <c r="AL177" s="51">
        <v>1.9401152818349001E-4</v>
      </c>
      <c r="AM177" s="51">
        <v>2.0211645722515399E-4</v>
      </c>
      <c r="AN177" s="51">
        <v>0.96874255558378897</v>
      </c>
    </row>
    <row r="178" spans="1:40" x14ac:dyDescent="0.35">
      <c r="A178" s="40" t="s">
        <v>140</v>
      </c>
      <c r="B178" s="14">
        <v>1</v>
      </c>
      <c r="C178" s="40">
        <v>60</v>
      </c>
      <c r="D178" s="14">
        <v>953</v>
      </c>
      <c r="E178" s="12">
        <f t="shared" si="266"/>
        <v>38.6156166984291</v>
      </c>
      <c r="F178" s="12">
        <f t="shared" si="204"/>
        <v>1.2523827353807193</v>
      </c>
      <c r="G178" s="12">
        <f t="shared" si="267"/>
        <v>0.39983121438926505</v>
      </c>
      <c r="H178" s="12">
        <f t="shared" si="268"/>
        <v>23.255807468243301</v>
      </c>
      <c r="I178" s="12">
        <f t="shared" si="205"/>
        <v>1.3237831585257462</v>
      </c>
      <c r="J178" s="12">
        <f t="shared" si="269"/>
        <v>23.240010757312486</v>
      </c>
      <c r="K178" s="13">
        <f t="shared" si="270"/>
        <v>4.0520059494679017E-2</v>
      </c>
      <c r="L178" s="13">
        <f t="shared" si="271"/>
        <v>71.756245072364621</v>
      </c>
      <c r="M178" s="13">
        <f t="shared" si="272"/>
        <v>4.195500675648112E-4</v>
      </c>
      <c r="N178" s="13">
        <f t="shared" si="273"/>
        <v>2.4402736063214376E-2</v>
      </c>
      <c r="O178" s="13">
        <f t="shared" si="274"/>
        <v>75.847187974022859</v>
      </c>
      <c r="P178" s="13">
        <f t="shared" si="275"/>
        <v>2.438616029098897E-2</v>
      </c>
      <c r="Q178" s="14">
        <v>654.88599999999997</v>
      </c>
      <c r="R178" s="14">
        <v>-180.16399999999999</v>
      </c>
      <c r="S178" s="14">
        <v>658.64499999999998</v>
      </c>
      <c r="T178" s="14">
        <v>-203.114</v>
      </c>
      <c r="U178" s="40">
        <v>624.31899999999996</v>
      </c>
      <c r="V178" s="40">
        <v>-184.91200000000001</v>
      </c>
      <c r="W178" s="14">
        <v>627.97900000000004</v>
      </c>
      <c r="X178" s="14">
        <v>-207.86199999999999</v>
      </c>
      <c r="Y178" s="14">
        <v>640.83900000000006</v>
      </c>
      <c r="Z178" s="14">
        <v>-193.815</v>
      </c>
      <c r="AA178" s="14">
        <v>640.76599999999996</v>
      </c>
      <c r="AB178" s="14">
        <v>-193.642</v>
      </c>
      <c r="AC178" s="14">
        <v>640.91</v>
      </c>
      <c r="AD178" s="14">
        <v>-194.01499999999999</v>
      </c>
      <c r="AE178" s="14" t="s">
        <v>213</v>
      </c>
      <c r="AF178" s="14" t="s">
        <v>212</v>
      </c>
      <c r="AG178" s="14" t="s">
        <v>222</v>
      </c>
      <c r="AH178" s="14" t="s">
        <v>226</v>
      </c>
      <c r="AI178" s="51" t="s">
        <v>222</v>
      </c>
      <c r="AJ178" s="51">
        <v>1.9078704351091101E-4</v>
      </c>
      <c r="AK178" s="51">
        <v>2.0573059670186001E-4</v>
      </c>
      <c r="AL178" s="51">
        <v>1.9655468565055E-4</v>
      </c>
      <c r="AM178" s="51">
        <v>2.0664728272897501E-4</v>
      </c>
      <c r="AN178" s="51">
        <v>1.01685758082079</v>
      </c>
    </row>
    <row r="179" spans="1:40" x14ac:dyDescent="0.35">
      <c r="A179" s="40" t="s">
        <v>140</v>
      </c>
      <c r="B179" s="14">
        <v>1</v>
      </c>
      <c r="C179" s="40">
        <v>70</v>
      </c>
      <c r="D179" s="14">
        <v>953</v>
      </c>
      <c r="E179" s="12">
        <f t="shared" si="266"/>
        <v>39.547857653733843</v>
      </c>
      <c r="F179" s="12">
        <f t="shared" si="204"/>
        <v>1.2573283909779858</v>
      </c>
      <c r="G179" s="12">
        <f t="shared" si="267"/>
        <v>0.35610251333009768</v>
      </c>
      <c r="H179" s="12">
        <f t="shared" si="268"/>
        <v>23.402570051171718</v>
      </c>
      <c r="I179" s="12">
        <f t="shared" si="205"/>
        <v>1.3203350319473039</v>
      </c>
      <c r="J179" s="12">
        <f t="shared" si="269"/>
        <v>23.526261283935447</v>
      </c>
      <c r="K179" s="13">
        <f t="shared" si="270"/>
        <v>4.1498276656593752E-2</v>
      </c>
      <c r="L179" s="13">
        <f t="shared" si="271"/>
        <v>72.039610265013238</v>
      </c>
      <c r="M179" s="13">
        <f t="shared" si="272"/>
        <v>3.7366475690461457E-4</v>
      </c>
      <c r="N179" s="13">
        <f t="shared" si="273"/>
        <v>2.4556736674891624E-2</v>
      </c>
      <c r="O179" s="13">
        <f t="shared" si="274"/>
        <v>75.649624873851238</v>
      </c>
      <c r="P179" s="13">
        <f t="shared" si="275"/>
        <v>2.4686528104864058E-2</v>
      </c>
      <c r="Q179" s="14">
        <v>753.60299999999995</v>
      </c>
      <c r="R179" s="14">
        <v>-166.85900000000001</v>
      </c>
      <c r="S179" s="14">
        <v>755.78099999999995</v>
      </c>
      <c r="T179" s="14">
        <v>-190.16</v>
      </c>
      <c r="U179" s="40">
        <v>722.57399999999996</v>
      </c>
      <c r="V179" s="40">
        <v>-170.535</v>
      </c>
      <c r="W179" s="14">
        <v>724.79700000000003</v>
      </c>
      <c r="X179" s="14">
        <v>-193.95599999999999</v>
      </c>
      <c r="Y179" s="14">
        <v>738.76700000000005</v>
      </c>
      <c r="Z179" s="14">
        <v>-180.792</v>
      </c>
      <c r="AA179" s="14">
        <v>738.947</v>
      </c>
      <c r="AB179" s="14">
        <v>-181.13900000000001</v>
      </c>
      <c r="AC179" s="14">
        <v>738.86699999999996</v>
      </c>
      <c r="AD179" s="14">
        <v>-180.792</v>
      </c>
      <c r="AE179" s="14" t="s">
        <v>213</v>
      </c>
      <c r="AF179" s="14" t="s">
        <v>212</v>
      </c>
      <c r="AG179" s="14" t="s">
        <v>222</v>
      </c>
      <c r="AH179" s="14" t="s">
        <v>226</v>
      </c>
      <c r="AI179" s="51" t="s">
        <v>222</v>
      </c>
      <c r="AJ179" s="51">
        <v>1.96240591097424E-4</v>
      </c>
      <c r="AK179" s="51">
        <v>2.0702267319526501E-4</v>
      </c>
      <c r="AL179" s="51">
        <v>2.0818860031116199E-4</v>
      </c>
      <c r="AM179" s="51">
        <v>1.8905809565859799E-4</v>
      </c>
      <c r="AN179" s="51">
        <v>0.98508029653163898</v>
      </c>
    </row>
    <row r="180" spans="1:40" x14ac:dyDescent="0.35">
      <c r="A180" s="40" t="s">
        <v>140</v>
      </c>
      <c r="B180" s="14">
        <v>1</v>
      </c>
      <c r="C180" s="40">
        <v>80</v>
      </c>
      <c r="D180" s="14">
        <v>953</v>
      </c>
      <c r="E180" s="12">
        <f t="shared" si="266"/>
        <v>39.213104671780286</v>
      </c>
      <c r="F180" s="12">
        <f t="shared" si="204"/>
        <v>1.2112388642463143</v>
      </c>
      <c r="G180" s="12">
        <f t="shared" si="267"/>
        <v>0.62508239456892323</v>
      </c>
      <c r="H180" s="12">
        <f t="shared" si="268"/>
        <v>22.855710380559167</v>
      </c>
      <c r="I180" s="12">
        <f t="shared" si="205"/>
        <v>1.3205684921026934</v>
      </c>
      <c r="J180" s="12">
        <f t="shared" si="269"/>
        <v>23.337344878970271</v>
      </c>
      <c r="K180" s="13">
        <f t="shared" si="270"/>
        <v>4.1147014346044369E-2</v>
      </c>
      <c r="L180" s="13">
        <f t="shared" si="271"/>
        <v>69.398874903533084</v>
      </c>
      <c r="M180" s="13">
        <f t="shared" si="272"/>
        <v>6.5591017268512401E-4</v>
      </c>
      <c r="N180" s="13">
        <f t="shared" si="273"/>
        <v>2.3982907010030606E-2</v>
      </c>
      <c r="O180" s="13">
        <f t="shared" si="274"/>
        <v>75.663001155439517</v>
      </c>
      <c r="P180" s="13">
        <f t="shared" si="275"/>
        <v>2.448829473134341E-2</v>
      </c>
      <c r="Q180" s="14">
        <v>853.75199999999995</v>
      </c>
      <c r="R180" s="14">
        <v>-161.946</v>
      </c>
      <c r="S180" s="14">
        <v>854.21600000000001</v>
      </c>
      <c r="T180" s="14">
        <v>-184.797</v>
      </c>
      <c r="U180" s="40">
        <v>821.98400000000004</v>
      </c>
      <c r="V180" s="40">
        <v>-162.96799999999999</v>
      </c>
      <c r="W180" s="14">
        <v>823.005</v>
      </c>
      <c r="X180" s="14">
        <v>-186.28299999999999</v>
      </c>
      <c r="Y180" s="14">
        <v>837.48099999999999</v>
      </c>
      <c r="Z180" s="14">
        <v>-173.55500000000001</v>
      </c>
      <c r="AA180" s="14">
        <v>837.41899999999998</v>
      </c>
      <c r="AB180" s="14">
        <v>-173.86600000000001</v>
      </c>
      <c r="AC180" s="14">
        <v>837.48099999999999</v>
      </c>
      <c r="AD180" s="14">
        <v>-173.244</v>
      </c>
      <c r="AE180" s="14" t="s">
        <v>213</v>
      </c>
      <c r="AF180" s="14" t="s">
        <v>212</v>
      </c>
      <c r="AG180" s="14" t="s">
        <v>222</v>
      </c>
      <c r="AH180" s="14" t="s">
        <v>226</v>
      </c>
      <c r="AI180" s="51" t="s">
        <v>222</v>
      </c>
      <c r="AJ180" s="51">
        <v>1.9296396974705099E-4</v>
      </c>
      <c r="AK180" s="51">
        <v>2.07658808159796E-4</v>
      </c>
      <c r="AL180" s="51">
        <v>1.88440051794245E-4</v>
      </c>
      <c r="AM180" s="51">
        <v>2.0156581965164399E-4</v>
      </c>
      <c r="AN180" s="51">
        <v>0.97349899444952004</v>
      </c>
    </row>
    <row r="181" spans="1:40" x14ac:dyDescent="0.35">
      <c r="A181" s="40" t="s">
        <v>140</v>
      </c>
      <c r="B181" s="14">
        <v>1</v>
      </c>
      <c r="C181" s="40">
        <v>90</v>
      </c>
      <c r="D181" s="14">
        <v>953</v>
      </c>
      <c r="E181" s="12">
        <f t="shared" si="266"/>
        <v>36.531748520978255</v>
      </c>
      <c r="F181" s="12">
        <f t="shared" si="204"/>
        <v>1.2503800561201479</v>
      </c>
      <c r="G181" s="12">
        <f t="shared" si="267"/>
        <v>0.7278907885115744</v>
      </c>
      <c r="H181" s="12">
        <f t="shared" si="268"/>
        <v>20.432034162070135</v>
      </c>
      <c r="I181" s="12">
        <f t="shared" si="205"/>
        <v>1.2330418933840241</v>
      </c>
      <c r="J181" s="12">
        <f t="shared" si="269"/>
        <v>21.648235609397819</v>
      </c>
      <c r="K181" s="13">
        <f t="shared" si="270"/>
        <v>3.8333419224531221E-2</v>
      </c>
      <c r="L181" s="13">
        <f t="shared" si="271"/>
        <v>71.641500003015494</v>
      </c>
      <c r="M181" s="13">
        <f t="shared" si="272"/>
        <v>7.637888651747895E-4</v>
      </c>
      <c r="N181" s="13">
        <f t="shared" si="273"/>
        <v>2.1439700065131306E-2</v>
      </c>
      <c r="O181" s="13">
        <f t="shared" si="274"/>
        <v>70.648096453724605</v>
      </c>
      <c r="P181" s="13">
        <f t="shared" si="275"/>
        <v>2.271588206652447E-2</v>
      </c>
      <c r="Q181" s="14">
        <v>952.14099999999996</v>
      </c>
      <c r="R181" s="14">
        <v>-162.53299999999999</v>
      </c>
      <c r="S181" s="14">
        <v>951.73500000000001</v>
      </c>
      <c r="T181" s="14">
        <v>-182.96100000000001</v>
      </c>
      <c r="U181" s="40">
        <v>922.46500000000003</v>
      </c>
      <c r="V181" s="40">
        <v>-162.33000000000001</v>
      </c>
      <c r="W181" s="14">
        <v>922.56600000000003</v>
      </c>
      <c r="X181" s="14">
        <v>-183.97800000000001</v>
      </c>
      <c r="Y181" s="14">
        <v>937.78700000000003</v>
      </c>
      <c r="Z181" s="14">
        <v>-172.90600000000001</v>
      </c>
      <c r="AA181" s="14">
        <v>937.75</v>
      </c>
      <c r="AB181" s="14">
        <v>-173.26900000000001</v>
      </c>
      <c r="AC181" s="14">
        <v>937.71400000000006</v>
      </c>
      <c r="AD181" s="14">
        <v>-172.542</v>
      </c>
      <c r="AE181" s="14" t="s">
        <v>213</v>
      </c>
      <c r="AF181" s="14" t="s">
        <v>212</v>
      </c>
      <c r="AG181" s="14" t="s">
        <v>222</v>
      </c>
      <c r="AH181" s="14" t="s">
        <v>226</v>
      </c>
      <c r="AI181" s="51" t="s">
        <v>222</v>
      </c>
      <c r="AJ181" s="51">
        <v>1.8201894057425099E-4</v>
      </c>
      <c r="AK181" s="51">
        <v>1.59110994275546E-4</v>
      </c>
      <c r="AL181" s="51">
        <v>1.6513586905657099E-4</v>
      </c>
      <c r="AM181" s="51">
        <v>1.63469362778832E-4</v>
      </c>
      <c r="AN181" s="51">
        <v>0.96328465568432398</v>
      </c>
    </row>
    <row r="182" spans="1:40" x14ac:dyDescent="0.35">
      <c r="A182" s="40" t="s">
        <v>141</v>
      </c>
      <c r="B182" s="14">
        <v>1</v>
      </c>
      <c r="C182" s="40">
        <v>40</v>
      </c>
      <c r="D182" s="14">
        <v>1215</v>
      </c>
      <c r="E182" s="12">
        <f t="shared" ref="E182:E187" si="276">DIST2(Q182,R182,W182,X182)</f>
        <v>39.23220804390192</v>
      </c>
      <c r="F182" s="12">
        <f t="shared" si="204"/>
        <v>0.97583449596052629</v>
      </c>
      <c r="G182" s="12">
        <f t="shared" ref="G182:G187" si="277">DIST2(AA182,AB182,AC182,AD182)</f>
        <v>1.8017769007288413</v>
      </c>
      <c r="H182" s="12">
        <f t="shared" ref="H182:H187" si="278">DIST2(Q182,R182,S182,T182)</f>
        <v>19.987797902720555</v>
      </c>
      <c r="I182" s="12">
        <f t="shared" si="205"/>
        <v>1.1152598242013809</v>
      </c>
      <c r="J182" s="12">
        <f t="shared" ref="J182:J187" si="279">DIST2(U182,V182,W182,X182)</f>
        <v>19.282019318525766</v>
      </c>
      <c r="K182" s="13">
        <f t="shared" ref="K182:K187" si="280">E182/D182</f>
        <v>3.2289883163705284E-2</v>
      </c>
      <c r="L182" s="13">
        <f t="shared" ref="L182:L187" si="281">F182*180/PI()</f>
        <v>55.911198121814138</v>
      </c>
      <c r="M182" s="13">
        <f t="shared" ref="M182:M187" si="282">G182/D182</f>
        <v>1.4829439512171535E-3</v>
      </c>
      <c r="N182" s="13">
        <f t="shared" ref="N182:N187" si="283">H182/D182</f>
        <v>1.6450862471374943E-2</v>
      </c>
      <c r="O182" s="13">
        <f t="shared" ref="O182:O187" si="284">I182*180/PI()</f>
        <v>63.899680987241275</v>
      </c>
      <c r="P182" s="13">
        <f t="shared" ref="P182:P187" si="285">J182/D182</f>
        <v>1.5869974747757833E-2</v>
      </c>
      <c r="Q182" s="14">
        <v>968.05799999999999</v>
      </c>
      <c r="R182" s="14">
        <v>213.24799999999999</v>
      </c>
      <c r="S182" s="14">
        <v>969.59</v>
      </c>
      <c r="T182" s="14">
        <v>193.31899999999999</v>
      </c>
      <c r="U182" s="40">
        <v>1002.09</v>
      </c>
      <c r="V182" s="40">
        <v>216.10900000000001</v>
      </c>
      <c r="W182" s="14">
        <v>1003.72</v>
      </c>
      <c r="X182" s="14">
        <v>196.89599999999999</v>
      </c>
      <c r="Y182" s="14">
        <v>987.46699999999998</v>
      </c>
      <c r="Z182" s="14">
        <v>205.809</v>
      </c>
      <c r="AA182" s="14">
        <v>987.73699999999997</v>
      </c>
      <c r="AB182" s="14">
        <v>204.685</v>
      </c>
      <c r="AC182" s="14">
        <v>987.65700000000004</v>
      </c>
      <c r="AD182" s="14">
        <v>206.48500000000001</v>
      </c>
      <c r="AE182" s="14" t="s">
        <v>213</v>
      </c>
      <c r="AF182" s="14" t="s">
        <v>214</v>
      </c>
      <c r="AG182" s="14" t="s">
        <v>223</v>
      </c>
      <c r="AH182" s="14" t="s">
        <v>223</v>
      </c>
      <c r="AI182" s="14" t="s">
        <v>223</v>
      </c>
      <c r="AJ182" s="51">
        <v>1.0084529763416899E-4</v>
      </c>
      <c r="AK182" s="51">
        <v>1.2715047265830101E-4</v>
      </c>
      <c r="AL182" s="55">
        <v>9.6946994868668394E-5</v>
      </c>
      <c r="AM182" s="51">
        <v>1.0940397331030199E-4</v>
      </c>
      <c r="AN182" s="51">
        <v>0.90506489622270903</v>
      </c>
    </row>
    <row r="183" spans="1:40" x14ac:dyDescent="0.35">
      <c r="A183" s="40" t="s">
        <v>141</v>
      </c>
      <c r="B183" s="14">
        <v>1</v>
      </c>
      <c r="C183" s="40">
        <v>50</v>
      </c>
      <c r="D183" s="14">
        <v>1215</v>
      </c>
      <c r="E183" s="12">
        <f t="shared" si="276"/>
        <v>45.769150538326656</v>
      </c>
      <c r="F183" s="12">
        <f t="shared" si="204"/>
        <v>0.64610930508663567</v>
      </c>
      <c r="G183" s="12">
        <f t="shared" si="277"/>
        <v>0.97120595138209809</v>
      </c>
      <c r="H183" s="12">
        <f t="shared" si="278"/>
        <v>17.72766025170835</v>
      </c>
      <c r="I183" s="12">
        <f t="shared" si="205"/>
        <v>0.92067172229203686</v>
      </c>
      <c r="J183" s="12">
        <f t="shared" si="279"/>
        <v>16.436521834013412</v>
      </c>
      <c r="K183" s="13">
        <f t="shared" si="280"/>
        <v>3.7670082747593953E-2</v>
      </c>
      <c r="L183" s="13">
        <f t="shared" si="281"/>
        <v>37.019336285594719</v>
      </c>
      <c r="M183" s="13">
        <f t="shared" si="282"/>
        <v>7.9934646204287904E-4</v>
      </c>
      <c r="N183" s="13">
        <f t="shared" si="283"/>
        <v>1.4590666873834033E-2</v>
      </c>
      <c r="O183" s="13">
        <f t="shared" si="284"/>
        <v>52.750604004374303</v>
      </c>
      <c r="P183" s="13">
        <f t="shared" si="285"/>
        <v>1.352800150947606E-2</v>
      </c>
      <c r="Q183" s="14">
        <v>843.63199999999995</v>
      </c>
      <c r="R183" s="14">
        <v>196.751</v>
      </c>
      <c r="S183" s="14">
        <v>845.64499999999998</v>
      </c>
      <c r="T183" s="14">
        <v>179.13800000000001</v>
      </c>
      <c r="U183" s="40">
        <v>886.40700000000004</v>
      </c>
      <c r="V183" s="40">
        <v>202.035</v>
      </c>
      <c r="W183" s="14">
        <v>888.04200000000003</v>
      </c>
      <c r="X183" s="14">
        <v>185.68</v>
      </c>
      <c r="Y183" s="14">
        <v>870.94899999999996</v>
      </c>
      <c r="Z183" s="14">
        <v>190.90299999999999</v>
      </c>
      <c r="AA183" s="14">
        <v>870.98</v>
      </c>
      <c r="AB183" s="14">
        <v>190.43600000000001</v>
      </c>
      <c r="AC183" s="14">
        <v>870.96</v>
      </c>
      <c r="AD183" s="14">
        <v>191.40700000000001</v>
      </c>
      <c r="AE183" s="14" t="s">
        <v>213</v>
      </c>
      <c r="AF183" s="14" t="s">
        <v>214</v>
      </c>
      <c r="AG183" s="14" t="s">
        <v>223</v>
      </c>
      <c r="AH183" s="14" t="s">
        <v>223</v>
      </c>
      <c r="AI183" s="14" t="s">
        <v>223</v>
      </c>
      <c r="AJ183" s="55">
        <v>9.1793734017511195E-5</v>
      </c>
      <c r="AK183" s="51">
        <v>1.5897383427323101E-4</v>
      </c>
      <c r="AL183" s="51">
        <v>1.2633262273704899E-4</v>
      </c>
      <c r="AM183" s="51">
        <v>1.0610162272011401E-4</v>
      </c>
      <c r="AN183" s="51">
        <v>0.92689117273600896</v>
      </c>
    </row>
    <row r="184" spans="1:40" x14ac:dyDescent="0.35">
      <c r="A184" s="40" t="s">
        <v>141</v>
      </c>
      <c r="B184" s="14">
        <v>1</v>
      </c>
      <c r="C184" s="40">
        <v>60</v>
      </c>
      <c r="D184" s="14">
        <v>1215</v>
      </c>
      <c r="E184" s="12">
        <f t="shared" si="276"/>
        <v>45.842880188749078</v>
      </c>
      <c r="F184" s="12">
        <f t="shared" si="204"/>
        <v>0.63691295254195712</v>
      </c>
      <c r="G184" s="12">
        <f t="shared" si="277"/>
        <v>2.6101940540887023</v>
      </c>
      <c r="H184" s="12">
        <f t="shared" si="278"/>
        <v>14.942458064187411</v>
      </c>
      <c r="I184" s="12">
        <f t="shared" si="205"/>
        <v>0.55082453357481809</v>
      </c>
      <c r="J184" s="12">
        <f t="shared" si="279"/>
        <v>12.140563784272938</v>
      </c>
      <c r="K184" s="13">
        <f t="shared" si="280"/>
        <v>3.7730765587447798E-2</v>
      </c>
      <c r="L184" s="13">
        <f t="shared" si="281"/>
        <v>36.492424097870241</v>
      </c>
      <c r="M184" s="13">
        <f t="shared" si="282"/>
        <v>2.1483078634474918E-3</v>
      </c>
      <c r="N184" s="13">
        <f t="shared" si="283"/>
        <v>1.2298319394392932E-2</v>
      </c>
      <c r="O184" s="13">
        <f t="shared" si="284"/>
        <v>31.559921026099186</v>
      </c>
      <c r="P184" s="13">
        <f t="shared" si="285"/>
        <v>9.9922335673028294E-3</v>
      </c>
      <c r="Q184" s="14">
        <v>718.96600000000001</v>
      </c>
      <c r="R184" s="14">
        <v>185.31899999999999</v>
      </c>
      <c r="S184" s="14">
        <v>718.84900000000005</v>
      </c>
      <c r="T184" s="14">
        <v>170.37700000000001</v>
      </c>
      <c r="U184" s="40">
        <v>763.09100000000001</v>
      </c>
      <c r="V184" s="40">
        <v>184.619</v>
      </c>
      <c r="W184" s="14">
        <v>762.97400000000005</v>
      </c>
      <c r="X184" s="14">
        <v>172.47900000000001</v>
      </c>
      <c r="Y184" s="14">
        <v>741.56500000000005</v>
      </c>
      <c r="Z184" s="14">
        <v>178.10300000000001</v>
      </c>
      <c r="AA184" s="14">
        <v>741.59199999999998</v>
      </c>
      <c r="AB184" s="14">
        <v>176.821</v>
      </c>
      <c r="AC184" s="14">
        <v>741.48500000000001</v>
      </c>
      <c r="AD184" s="14">
        <v>179.429</v>
      </c>
      <c r="AE184" s="14" t="s">
        <v>213</v>
      </c>
      <c r="AF184" s="14" t="s">
        <v>214</v>
      </c>
      <c r="AG184" s="14" t="s">
        <v>223</v>
      </c>
      <c r="AH184" s="14" t="s">
        <v>223</v>
      </c>
      <c r="AI184" s="14" t="s">
        <v>223</v>
      </c>
      <c r="AJ184" s="55">
        <v>8.82532364646309E-5</v>
      </c>
      <c r="AK184" s="51">
        <v>1.14656820606615E-4</v>
      </c>
      <c r="AL184" s="55">
        <v>8.2688258903622301E-5</v>
      </c>
      <c r="AM184" s="55">
        <v>8.0115061728394898E-5</v>
      </c>
      <c r="AN184" s="51">
        <v>0.80234229383146705</v>
      </c>
    </row>
    <row r="185" spans="1:40" x14ac:dyDescent="0.35">
      <c r="A185" s="40" t="s">
        <v>141</v>
      </c>
      <c r="B185" s="14">
        <v>1</v>
      </c>
      <c r="C185" s="40">
        <v>70</v>
      </c>
      <c r="D185" s="14">
        <v>1215</v>
      </c>
      <c r="E185" s="12">
        <f t="shared" si="276"/>
        <v>43.65646547763567</v>
      </c>
      <c r="F185" s="12">
        <f t="shared" si="204"/>
        <v>0.89347868728639257</v>
      </c>
      <c r="G185" s="12">
        <f t="shared" si="277"/>
        <v>3.0225638123950374</v>
      </c>
      <c r="H185" s="12">
        <f t="shared" si="278"/>
        <v>19.525113315932366</v>
      </c>
      <c r="I185" s="12">
        <f t="shared" si="205"/>
        <v>0.91713229606760727</v>
      </c>
      <c r="J185" s="12">
        <f t="shared" si="279"/>
        <v>18.705489916064767</v>
      </c>
      <c r="K185" s="13">
        <f t="shared" si="280"/>
        <v>3.5931247306696022E-2</v>
      </c>
      <c r="L185" s="13">
        <f t="shared" si="281"/>
        <v>51.192557866399376</v>
      </c>
      <c r="M185" s="13">
        <f t="shared" si="282"/>
        <v>2.487706841477397E-3</v>
      </c>
      <c r="N185" s="13">
        <f t="shared" si="283"/>
        <v>1.607005211187849E-2</v>
      </c>
      <c r="O185" s="13">
        <f t="shared" si="284"/>
        <v>52.547809819816564</v>
      </c>
      <c r="P185" s="13">
        <f t="shared" si="285"/>
        <v>1.5395464951493635E-2</v>
      </c>
      <c r="Q185" s="14">
        <v>601.18100000000004</v>
      </c>
      <c r="R185" s="14">
        <v>181.13499999999999</v>
      </c>
      <c r="S185" s="14">
        <v>602.11</v>
      </c>
      <c r="T185" s="14">
        <v>161.63200000000001</v>
      </c>
      <c r="U185" s="40">
        <v>640.39200000000005</v>
      </c>
      <c r="V185" s="40">
        <v>182.88900000000001</v>
      </c>
      <c r="W185" s="14">
        <v>641.42399999999998</v>
      </c>
      <c r="X185" s="14">
        <v>164.21199999999999</v>
      </c>
      <c r="Y185" s="14">
        <v>622.00400000000002</v>
      </c>
      <c r="Z185" s="14">
        <v>172.30600000000001</v>
      </c>
      <c r="AA185" s="14">
        <v>622.16200000000003</v>
      </c>
      <c r="AB185" s="14">
        <v>170.91399999999999</v>
      </c>
      <c r="AC185" s="14">
        <v>621.846</v>
      </c>
      <c r="AD185" s="14">
        <v>173.92</v>
      </c>
      <c r="AE185" s="14" t="s">
        <v>213</v>
      </c>
      <c r="AF185" s="14" t="s">
        <v>214</v>
      </c>
      <c r="AG185" s="14" t="s">
        <v>223</v>
      </c>
      <c r="AH185" s="14" t="s">
        <v>223</v>
      </c>
      <c r="AI185" s="14" t="s">
        <v>223</v>
      </c>
      <c r="AJ185" s="51">
        <v>1.20020434554353E-4</v>
      </c>
      <c r="AK185" s="51">
        <v>1.34772418838592E-4</v>
      </c>
      <c r="AL185" s="51">
        <v>1.0809794408034001E-4</v>
      </c>
      <c r="AM185" s="51">
        <v>1.06074070009653E-4</v>
      </c>
      <c r="AN185" s="51">
        <v>0.840573082164492</v>
      </c>
    </row>
    <row r="186" spans="1:40" x14ac:dyDescent="0.35">
      <c r="A186" s="40" t="s">
        <v>141</v>
      </c>
      <c r="B186" s="14">
        <v>1</v>
      </c>
      <c r="C186" s="40">
        <v>80</v>
      </c>
      <c r="D186" s="14">
        <v>1215</v>
      </c>
      <c r="E186" s="12">
        <f t="shared" si="276"/>
        <v>41.070628434442092</v>
      </c>
      <c r="F186" s="12">
        <f t="shared" si="204"/>
        <v>0.89752908732133585</v>
      </c>
      <c r="G186" s="12">
        <f t="shared" si="277"/>
        <v>2.5215332637107974</v>
      </c>
      <c r="H186" s="12">
        <f t="shared" si="278"/>
        <v>20.418034405887351</v>
      </c>
      <c r="I186" s="12">
        <f t="shared" si="205"/>
        <v>1.1992816938700088</v>
      </c>
      <c r="J186" s="12">
        <f t="shared" si="279"/>
        <v>19.712388921690859</v>
      </c>
      <c r="K186" s="13">
        <f t="shared" si="280"/>
        <v>3.3802986365795963E-2</v>
      </c>
      <c r="L186" s="13">
        <f t="shared" si="281"/>
        <v>51.424628693741269</v>
      </c>
      <c r="M186" s="13">
        <f t="shared" si="282"/>
        <v>2.0753360195150598E-3</v>
      </c>
      <c r="N186" s="13">
        <f t="shared" si="283"/>
        <v>1.6804966589207698E-2</v>
      </c>
      <c r="O186" s="13">
        <f t="shared" si="284"/>
        <v>68.713779506051921</v>
      </c>
      <c r="P186" s="13">
        <f t="shared" si="285"/>
        <v>1.6224188412914287E-2</v>
      </c>
      <c r="Q186" s="14">
        <v>489.25099999999998</v>
      </c>
      <c r="R186" s="14">
        <v>178.89599999999999</v>
      </c>
      <c r="S186" s="14">
        <v>489.60300000000001</v>
      </c>
      <c r="T186" s="14">
        <v>158.48099999999999</v>
      </c>
      <c r="U186" s="40">
        <v>524.91899999999998</v>
      </c>
      <c r="V186" s="40">
        <v>178.661</v>
      </c>
      <c r="W186" s="14">
        <v>525.15300000000002</v>
      </c>
      <c r="X186" s="14">
        <v>158.94999999999999</v>
      </c>
      <c r="Y186" s="14">
        <v>510.62400000000002</v>
      </c>
      <c r="Z186" s="14">
        <v>169.10400000000001</v>
      </c>
      <c r="AA186" s="14">
        <v>510.66199999999998</v>
      </c>
      <c r="AB186" s="14">
        <v>167.863</v>
      </c>
      <c r="AC186" s="14">
        <v>510.54899999999998</v>
      </c>
      <c r="AD186" s="14">
        <v>170.38200000000001</v>
      </c>
      <c r="AE186" s="14" t="s">
        <v>213</v>
      </c>
      <c r="AF186" s="14" t="s">
        <v>214</v>
      </c>
      <c r="AG186" s="14" t="s">
        <v>223</v>
      </c>
      <c r="AH186" s="14" t="s">
        <v>223</v>
      </c>
      <c r="AI186" s="14" t="s">
        <v>223</v>
      </c>
      <c r="AJ186" s="55">
        <v>9.6193020372910504E-5</v>
      </c>
      <c r="AK186" s="51">
        <v>1.46618236041254E-4</v>
      </c>
      <c r="AL186" s="51">
        <v>1.0116083998035499E-4</v>
      </c>
      <c r="AM186" s="51">
        <v>1.0962198479229099E-4</v>
      </c>
      <c r="AN186" s="51">
        <v>0.86809329964963799</v>
      </c>
    </row>
    <row r="187" spans="1:40" x14ac:dyDescent="0.35">
      <c r="A187" s="40" t="s">
        <v>141</v>
      </c>
      <c r="B187" s="14">
        <v>1</v>
      </c>
      <c r="C187" s="40">
        <v>90</v>
      </c>
      <c r="D187" s="14">
        <v>1215</v>
      </c>
      <c r="E187" s="12">
        <f t="shared" si="276"/>
        <v>38.943142066351029</v>
      </c>
      <c r="F187" s="12">
        <f t="shared" si="204"/>
        <v>1.0584018626688882</v>
      </c>
      <c r="G187" s="12">
        <f t="shared" si="277"/>
        <v>2.6260000000000048</v>
      </c>
      <c r="H187" s="12">
        <f t="shared" si="278"/>
        <v>19.145836988755544</v>
      </c>
      <c r="I187" s="12">
        <f t="shared" si="205"/>
        <v>1.017212263121726</v>
      </c>
      <c r="J187" s="12">
        <f t="shared" si="279"/>
        <v>19.275226483753691</v>
      </c>
      <c r="K187" s="13">
        <f t="shared" si="280"/>
        <v>3.2051968778889738E-2</v>
      </c>
      <c r="L187" s="13">
        <f t="shared" si="281"/>
        <v>60.641959759712265</v>
      </c>
      <c r="M187" s="13">
        <f t="shared" si="282"/>
        <v>2.1613168724279874E-3</v>
      </c>
      <c r="N187" s="13">
        <f t="shared" si="283"/>
        <v>1.5757890525724728E-2</v>
      </c>
      <c r="O187" s="13">
        <f t="shared" si="284"/>
        <v>58.281969545825895</v>
      </c>
      <c r="P187" s="13">
        <f t="shared" si="285"/>
        <v>1.5864383937245836E-2</v>
      </c>
      <c r="Q187" s="14">
        <v>345.98399999999998</v>
      </c>
      <c r="R187" s="14">
        <v>181.172</v>
      </c>
      <c r="S187" s="14">
        <v>345.09100000000001</v>
      </c>
      <c r="T187" s="14">
        <v>162.047</v>
      </c>
      <c r="U187" s="40">
        <v>379.517</v>
      </c>
      <c r="V187" s="40">
        <v>179.387</v>
      </c>
      <c r="W187" s="14">
        <v>378.75099999999998</v>
      </c>
      <c r="X187" s="14">
        <v>160.12700000000001</v>
      </c>
      <c r="Y187" s="14">
        <v>361.86099999999999</v>
      </c>
      <c r="Z187" s="14">
        <v>170.434</v>
      </c>
      <c r="AA187" s="14">
        <v>361.86099999999999</v>
      </c>
      <c r="AB187" s="14">
        <v>169.19399999999999</v>
      </c>
      <c r="AC187" s="14">
        <v>361.86099999999999</v>
      </c>
      <c r="AD187" s="14">
        <v>171.82</v>
      </c>
      <c r="AE187" s="14" t="s">
        <v>213</v>
      </c>
      <c r="AF187" s="14" t="s">
        <v>214</v>
      </c>
      <c r="AG187" s="14" t="s">
        <v>223</v>
      </c>
      <c r="AH187" s="14" t="s">
        <v>223</v>
      </c>
      <c r="AI187" s="14" t="s">
        <v>223</v>
      </c>
      <c r="AJ187" s="51">
        <v>1.12854260698742E-4</v>
      </c>
      <c r="AK187" s="51">
        <v>1.06093806499687E-4</v>
      </c>
      <c r="AL187" s="55">
        <v>9.66181208826569E-5</v>
      </c>
      <c r="AM187" s="55">
        <v>9.2386465477823203E-5</v>
      </c>
      <c r="AN187" s="51">
        <v>0.86323934611027697</v>
      </c>
    </row>
    <row r="188" spans="1:40" x14ac:dyDescent="0.35">
      <c r="A188" s="40" t="s">
        <v>142</v>
      </c>
      <c r="B188" s="14">
        <v>1</v>
      </c>
      <c r="C188" s="40">
        <v>40</v>
      </c>
      <c r="D188" s="14">
        <v>813</v>
      </c>
      <c r="E188" s="12">
        <f t="shared" ref="E188:E193" si="286">DIST2(Q188,R188,W188,X188)</f>
        <v>51.232149915848659</v>
      </c>
      <c r="F188" s="12">
        <f t="shared" si="204"/>
        <v>0.70890642420270089</v>
      </c>
      <c r="G188" s="12">
        <f t="shared" ref="G188:G193" si="287">DIST2(AA188,AB188,AC188,AD188)</f>
        <v>0</v>
      </c>
      <c r="H188" s="12">
        <f t="shared" ref="H188:H193" si="288">DIST2(Q188,R188,S188,T188)</f>
        <v>19.69995515223324</v>
      </c>
      <c r="I188" s="12">
        <f t="shared" si="205"/>
        <v>0.71794079258134047</v>
      </c>
      <c r="J188" s="12">
        <f t="shared" ref="J188:J193" si="289">DIST2(U188,V188,W188,X188)</f>
        <v>16.628230603404543</v>
      </c>
      <c r="K188" s="13">
        <f t="shared" ref="K188:K193" si="290">E188/D188</f>
        <v>6.3016174558239435E-2</v>
      </c>
      <c r="L188" s="13">
        <f t="shared" ref="L188:L193" si="291">F188*180/PI()</f>
        <v>40.617346176525558</v>
      </c>
      <c r="M188" s="13">
        <f t="shared" ref="M188:M193" si="292">G188/D188</f>
        <v>0</v>
      </c>
      <c r="N188" s="13">
        <f t="shared" ref="N188:N193" si="293">H188/D188</f>
        <v>2.4231187149118375E-2</v>
      </c>
      <c r="O188" s="13">
        <f t="shared" ref="O188:O193" si="294">I188*180/PI()</f>
        <v>41.134977355188049</v>
      </c>
      <c r="P188" s="13">
        <f t="shared" ref="P188:P193" si="295">J188/D188</f>
        <v>2.0452928171469303E-2</v>
      </c>
      <c r="Q188" s="14">
        <v>821.02200000000005</v>
      </c>
      <c r="R188" s="14">
        <v>-425.65800000000002</v>
      </c>
      <c r="S188" s="14">
        <v>817.81399999999996</v>
      </c>
      <c r="T188" s="14">
        <v>-445.09500000000003</v>
      </c>
      <c r="U188" s="40">
        <v>869.14300000000003</v>
      </c>
      <c r="V188" s="40">
        <v>-432.82900000000001</v>
      </c>
      <c r="W188" s="14">
        <v>866.50099999999998</v>
      </c>
      <c r="X188" s="14">
        <v>-449.24599999999998</v>
      </c>
      <c r="Y188" s="14">
        <v>845.81799999999998</v>
      </c>
      <c r="Z188" s="14">
        <v>-438.61799999999999</v>
      </c>
      <c r="AA188" s="14">
        <v>845.81799999999998</v>
      </c>
      <c r="AB188" s="14">
        <v>-438.61799999999999</v>
      </c>
      <c r="AC188" s="14">
        <v>845.81799999999998</v>
      </c>
      <c r="AD188" s="14">
        <v>-438.61799999999999</v>
      </c>
      <c r="AE188" s="14" t="s">
        <v>216</v>
      </c>
      <c r="AF188" s="14" t="s">
        <v>212</v>
      </c>
      <c r="AG188" s="14" t="s">
        <v>224</v>
      </c>
      <c r="AH188" s="14" t="s">
        <v>225</v>
      </c>
      <c r="AI188" s="51" t="s">
        <v>224</v>
      </c>
      <c r="AJ188" s="51">
        <v>2.7810077855391099E-4</v>
      </c>
      <c r="AK188" s="51">
        <v>3.9603637386927397E-4</v>
      </c>
      <c r="AL188" s="51">
        <v>3.3725942063848597E-4</v>
      </c>
      <c r="AM188" s="51">
        <v>3.2648301433198902E-4</v>
      </c>
      <c r="AN188" s="51">
        <v>0.98458070822035904</v>
      </c>
    </row>
    <row r="189" spans="1:40" x14ac:dyDescent="0.35">
      <c r="A189" s="40" t="s">
        <v>142</v>
      </c>
      <c r="B189" s="14">
        <v>1</v>
      </c>
      <c r="C189" s="40">
        <v>50</v>
      </c>
      <c r="D189" s="14">
        <v>813</v>
      </c>
      <c r="E189" s="12">
        <f t="shared" si="286"/>
        <v>57.349202784345742</v>
      </c>
      <c r="F189" s="12">
        <f t="shared" si="204"/>
        <v>0.58155617847323415</v>
      </c>
      <c r="G189" s="12">
        <f t="shared" si="287"/>
        <v>0.65590853020828344</v>
      </c>
      <c r="H189" s="12">
        <f t="shared" si="288"/>
        <v>16.631259152571662</v>
      </c>
      <c r="I189" s="12">
        <f t="shared" si="205"/>
        <v>0.60795144174119253</v>
      </c>
      <c r="J189" s="12">
        <f t="shared" si="289"/>
        <v>17.402107688438168</v>
      </c>
      <c r="K189" s="13">
        <f t="shared" si="290"/>
        <v>7.0540224826993528E-2</v>
      </c>
      <c r="L189" s="13">
        <f t="shared" si="291"/>
        <v>33.320714576273176</v>
      </c>
      <c r="M189" s="13">
        <f t="shared" si="292"/>
        <v>8.0677555991178775E-4</v>
      </c>
      <c r="N189" s="13">
        <f t="shared" si="293"/>
        <v>2.0456653324196387E-2</v>
      </c>
      <c r="O189" s="13">
        <f t="shared" si="294"/>
        <v>34.833051760663885</v>
      </c>
      <c r="P189" s="13">
        <f t="shared" si="295"/>
        <v>2.1404806504843995E-2</v>
      </c>
      <c r="Q189" s="14">
        <v>707.13699999999994</v>
      </c>
      <c r="R189" s="14">
        <v>-413.53500000000003</v>
      </c>
      <c r="S189" s="14">
        <v>704.40300000000002</v>
      </c>
      <c r="T189" s="14">
        <v>-429.94</v>
      </c>
      <c r="U189" s="40">
        <v>762.21299999999997</v>
      </c>
      <c r="V189" s="40">
        <v>-419.78500000000003</v>
      </c>
      <c r="W189" s="14">
        <v>759.47900000000004</v>
      </c>
      <c r="X189" s="14">
        <v>-436.971</v>
      </c>
      <c r="Y189" s="14">
        <v>733.29200000000003</v>
      </c>
      <c r="Z189" s="14">
        <v>-425.49400000000003</v>
      </c>
      <c r="AA189" s="14">
        <v>733.29200000000003</v>
      </c>
      <c r="AB189" s="14">
        <v>-425.846</v>
      </c>
      <c r="AC189" s="14">
        <v>733.34199999999998</v>
      </c>
      <c r="AD189" s="14">
        <v>-425.19200000000001</v>
      </c>
      <c r="AE189" s="14" t="s">
        <v>216</v>
      </c>
      <c r="AF189" s="14" t="s">
        <v>212</v>
      </c>
      <c r="AG189" s="14" t="s">
        <v>224</v>
      </c>
      <c r="AH189" s="14" t="s">
        <v>225</v>
      </c>
      <c r="AI189" s="51" t="s">
        <v>224</v>
      </c>
      <c r="AJ189" s="51">
        <v>3.6418341858695201E-4</v>
      </c>
      <c r="AK189" s="51">
        <v>3.49311904945618E-4</v>
      </c>
      <c r="AL189" s="51">
        <v>3.61771642845579E-4</v>
      </c>
      <c r="AM189" s="51">
        <v>3.2422072971652203E-4</v>
      </c>
      <c r="AN189" s="51">
        <v>0.961453214809735</v>
      </c>
    </row>
    <row r="190" spans="1:40" x14ac:dyDescent="0.35">
      <c r="A190" s="40" t="s">
        <v>142</v>
      </c>
      <c r="B190" s="14">
        <v>1</v>
      </c>
      <c r="C190" s="40">
        <v>60</v>
      </c>
      <c r="D190" s="14">
        <v>813</v>
      </c>
      <c r="E190" s="12">
        <f t="shared" si="286"/>
        <v>54.922181757464742</v>
      </c>
      <c r="F190" s="12">
        <f t="shared" si="204"/>
        <v>0.62023511487064109</v>
      </c>
      <c r="G190" s="12">
        <f t="shared" si="287"/>
        <v>0.66680206958289967</v>
      </c>
      <c r="H190" s="12">
        <f t="shared" si="288"/>
        <v>15.456514742981346</v>
      </c>
      <c r="I190" s="12">
        <f t="shared" si="205"/>
        <v>0.57547630363253022</v>
      </c>
      <c r="J190" s="12">
        <f t="shared" si="289"/>
        <v>16.719307700978511</v>
      </c>
      <c r="K190" s="13">
        <f t="shared" si="290"/>
        <v>6.7554959111272739E-2</v>
      </c>
      <c r="L190" s="13">
        <f t="shared" si="291"/>
        <v>35.536854387899538</v>
      </c>
      <c r="M190" s="13">
        <f t="shared" si="292"/>
        <v>8.201747473344399E-4</v>
      </c>
      <c r="N190" s="13">
        <f t="shared" si="293"/>
        <v>1.9011703250899566E-2</v>
      </c>
      <c r="O190" s="13">
        <f t="shared" si="294"/>
        <v>32.972363407933067</v>
      </c>
      <c r="P190" s="13">
        <f t="shared" si="295"/>
        <v>2.0564954121744788E-2</v>
      </c>
      <c r="Q190" s="14">
        <v>653.86</v>
      </c>
      <c r="R190" s="14">
        <v>-406.81700000000001</v>
      </c>
      <c r="S190" s="14">
        <v>651.98199999999997</v>
      </c>
      <c r="T190" s="14">
        <v>-422.15899999999999</v>
      </c>
      <c r="U190" s="40">
        <v>705.83500000000004</v>
      </c>
      <c r="V190" s="40">
        <v>-413.07900000000001</v>
      </c>
      <c r="W190" s="14">
        <v>703.8</v>
      </c>
      <c r="X190" s="14">
        <v>-429.67399999999998</v>
      </c>
      <c r="Y190" s="14">
        <v>676.77099999999996</v>
      </c>
      <c r="Z190" s="14">
        <v>-418.02</v>
      </c>
      <c r="AA190" s="14">
        <v>676.77099999999996</v>
      </c>
      <c r="AB190" s="14">
        <v>-418.35</v>
      </c>
      <c r="AC190" s="14">
        <v>676.86599999999999</v>
      </c>
      <c r="AD190" s="14">
        <v>-417.69</v>
      </c>
      <c r="AE190" s="14" t="s">
        <v>216</v>
      </c>
      <c r="AF190" s="14" t="s">
        <v>212</v>
      </c>
      <c r="AG190" s="14" t="s">
        <v>224</v>
      </c>
      <c r="AH190" s="14" t="s">
        <v>225</v>
      </c>
      <c r="AI190" s="51" t="s">
        <v>224</v>
      </c>
      <c r="AJ190" s="51">
        <v>3.57249844546416E-4</v>
      </c>
      <c r="AK190" s="51">
        <v>2.8181336492331699E-4</v>
      </c>
      <c r="AL190" s="51">
        <v>3.18517663460767E-4</v>
      </c>
      <c r="AM190" s="51">
        <v>2.9022851071683998E-4</v>
      </c>
      <c r="AN190" s="51">
        <v>0.95256019304055894</v>
      </c>
    </row>
    <row r="191" spans="1:40" x14ac:dyDescent="0.35">
      <c r="A191" s="40" t="s">
        <v>142</v>
      </c>
      <c r="B191" s="14">
        <v>1</v>
      </c>
      <c r="C191" s="40">
        <v>70</v>
      </c>
      <c r="D191" s="14">
        <v>813</v>
      </c>
      <c r="E191" s="12">
        <f t="shared" si="286"/>
        <v>26.532371360283598</v>
      </c>
      <c r="F191" s="12">
        <f t="shared" si="204"/>
        <v>1.4500574885876234</v>
      </c>
      <c r="G191" s="12">
        <f t="shared" si="287"/>
        <v>0</v>
      </c>
      <c r="H191" s="12">
        <f t="shared" si="288"/>
        <v>16.857559758161965</v>
      </c>
      <c r="I191" s="12">
        <f t="shared" si="205"/>
        <v>1.2883474294991109</v>
      </c>
      <c r="J191" s="12">
        <f t="shared" si="289"/>
        <v>16.420344850215553</v>
      </c>
      <c r="K191" s="13">
        <f t="shared" si="290"/>
        <v>3.2635143124580074E-2</v>
      </c>
      <c r="L191" s="13">
        <f t="shared" si="291"/>
        <v>83.082174147410356</v>
      </c>
      <c r="M191" s="13">
        <f t="shared" si="292"/>
        <v>0</v>
      </c>
      <c r="N191" s="13">
        <f t="shared" si="293"/>
        <v>2.0735005852597743E-2</v>
      </c>
      <c r="O191" s="13">
        <f t="shared" si="294"/>
        <v>73.816870256827428</v>
      </c>
      <c r="P191" s="13">
        <f t="shared" si="295"/>
        <v>2.0197226138026509E-2</v>
      </c>
      <c r="Q191" s="14">
        <v>573.96900000000005</v>
      </c>
      <c r="R191" s="14">
        <v>-395.48399999999998</v>
      </c>
      <c r="S191" s="14">
        <v>572.15800000000002</v>
      </c>
      <c r="T191" s="14">
        <v>-412.24400000000003</v>
      </c>
      <c r="U191" s="40">
        <v>594.57899999999995</v>
      </c>
      <c r="V191" s="40">
        <v>-398.88099999999997</v>
      </c>
      <c r="W191" s="14">
        <v>591.86199999999997</v>
      </c>
      <c r="X191" s="14">
        <v>-415.07499999999999</v>
      </c>
      <c r="Y191" s="14">
        <v>582.34900000000005</v>
      </c>
      <c r="Z191" s="14">
        <v>-405.90199999999999</v>
      </c>
      <c r="AA191" s="14">
        <v>582.34900000000005</v>
      </c>
      <c r="AB191" s="14">
        <v>-405.90199999999999</v>
      </c>
      <c r="AC191" s="14">
        <v>582.34900000000005</v>
      </c>
      <c r="AD191" s="14">
        <v>-405.90199999999999</v>
      </c>
      <c r="AE191" s="14" t="s">
        <v>216</v>
      </c>
      <c r="AF191" s="14" t="s">
        <v>212</v>
      </c>
      <c r="AG191" s="14" t="s">
        <v>224</v>
      </c>
      <c r="AH191" s="14" t="s">
        <v>225</v>
      </c>
      <c r="AI191" s="51" t="s">
        <v>224</v>
      </c>
      <c r="AJ191" s="51">
        <v>1.3538952885838699E-4</v>
      </c>
      <c r="AK191" s="51">
        <v>1.20516845721963E-4</v>
      </c>
      <c r="AL191" s="51">
        <v>1.4089020816407399E-4</v>
      </c>
      <c r="AM191" s="51">
        <v>1.16354540833231E-4</v>
      </c>
      <c r="AN191" s="51">
        <v>1.0052299377815399</v>
      </c>
    </row>
    <row r="192" spans="1:40" x14ac:dyDescent="0.35">
      <c r="A192" s="40" t="s">
        <v>142</v>
      </c>
      <c r="B192" s="14">
        <v>1</v>
      </c>
      <c r="C192" s="40">
        <v>80</v>
      </c>
      <c r="D192" s="14">
        <v>813</v>
      </c>
      <c r="E192" s="12">
        <f t="shared" si="286"/>
        <v>27.290532882301818</v>
      </c>
      <c r="F192" s="12">
        <f t="shared" si="204"/>
        <v>1.1190134239217686</v>
      </c>
      <c r="G192" s="12">
        <f t="shared" si="287"/>
        <v>0.50499999999999545</v>
      </c>
      <c r="H192" s="12">
        <f t="shared" si="288"/>
        <v>12.533228235374953</v>
      </c>
      <c r="I192" s="12">
        <f t="shared" si="205"/>
        <v>1.1562850176703376</v>
      </c>
      <c r="J192" s="12">
        <f t="shared" si="289"/>
        <v>16.833071763644284</v>
      </c>
      <c r="K192" s="13">
        <f t="shared" si="290"/>
        <v>3.356769112214246E-2</v>
      </c>
      <c r="L192" s="13">
        <f t="shared" si="291"/>
        <v>64.114746409200976</v>
      </c>
      <c r="M192" s="13">
        <f t="shared" si="292"/>
        <v>6.2115621156211005E-4</v>
      </c>
      <c r="N192" s="13">
        <f t="shared" si="293"/>
        <v>1.5416024889760089E-2</v>
      </c>
      <c r="O192" s="13">
        <f t="shared" si="294"/>
        <v>66.250251426720169</v>
      </c>
      <c r="P192" s="13">
        <f t="shared" si="295"/>
        <v>2.0704885318135652E-2</v>
      </c>
      <c r="Q192" s="14">
        <v>506.608</v>
      </c>
      <c r="R192" s="14">
        <v>-391.40600000000001</v>
      </c>
      <c r="S192" s="14">
        <v>505.46499999999997</v>
      </c>
      <c r="T192" s="14">
        <v>-403.887</v>
      </c>
      <c r="U192" s="40">
        <v>529.28599999999994</v>
      </c>
      <c r="V192" s="40">
        <v>-391.49400000000003</v>
      </c>
      <c r="W192" s="14">
        <v>528.05499999999995</v>
      </c>
      <c r="X192" s="14">
        <v>-408.28199999999998</v>
      </c>
      <c r="Y192" s="14">
        <v>515.78300000000002</v>
      </c>
      <c r="Z192" s="14">
        <v>-399.76299999999998</v>
      </c>
      <c r="AA192" s="14">
        <v>515.81500000000005</v>
      </c>
      <c r="AB192" s="14">
        <v>-399.952</v>
      </c>
      <c r="AC192" s="14">
        <v>515.81500000000005</v>
      </c>
      <c r="AD192" s="14">
        <v>-399.447</v>
      </c>
      <c r="AE192" s="14" t="s">
        <v>216</v>
      </c>
      <c r="AF192" s="14" t="s">
        <v>212</v>
      </c>
      <c r="AG192" s="14" t="s">
        <v>224</v>
      </c>
      <c r="AH192" s="14" t="s">
        <v>225</v>
      </c>
      <c r="AI192" s="51" t="s">
        <v>224</v>
      </c>
      <c r="AJ192" s="51">
        <v>1.63781678868448E-4</v>
      </c>
      <c r="AK192" s="55">
        <v>9.3851017218659502E-5</v>
      </c>
      <c r="AL192" s="51">
        <v>1.37331389217951E-4</v>
      </c>
      <c r="AM192" s="51">
        <v>1.0165370841900299E-4</v>
      </c>
      <c r="AN192" s="51">
        <v>0.92761944142427999</v>
      </c>
    </row>
    <row r="193" spans="1:40" x14ac:dyDescent="0.35">
      <c r="A193" s="40" t="s">
        <v>142</v>
      </c>
      <c r="B193" s="14">
        <v>1</v>
      </c>
      <c r="C193" s="40">
        <v>90</v>
      </c>
      <c r="D193" s="14">
        <v>813</v>
      </c>
      <c r="E193" s="12">
        <f t="shared" si="286"/>
        <v>27.974579478519448</v>
      </c>
      <c r="F193" s="12">
        <f t="shared" ref="F193:F204" si="296">ACOS((DIST2(Y193,Z193,S193,T193)^2 + DIST2(Y193,Z193,Q193,R193)^2 - DIST2(Q193,R193,S193,T193)^2)/(2*DIST2(Y193,Z193,S193,T193) * DIST2(Y193,Z193,Q193,R193)))</f>
        <v>1.2105642594105013</v>
      </c>
      <c r="G193" s="12">
        <f t="shared" si="287"/>
        <v>0</v>
      </c>
      <c r="H193" s="12">
        <f t="shared" si="288"/>
        <v>14.128644131692159</v>
      </c>
      <c r="I193" s="12">
        <f t="shared" ref="I193:I204" si="297">ACOS((DIST2(Y193,Z193,W193,X193)^2 + DIST2(Y193,Z193,U193,V193)^2 - DIST2(U193,V193,W193,X193)^2)/(2*DIST2(Y193,Z193,W193,X193) * DIST2(Y193,Z193,U193,V193)))</f>
        <v>0.99398610637458484</v>
      </c>
      <c r="J193" s="12">
        <f t="shared" si="289"/>
        <v>14.445680219359724</v>
      </c>
      <c r="K193" s="13">
        <f t="shared" si="290"/>
        <v>3.4409076849347416E-2</v>
      </c>
      <c r="L193" s="13">
        <f t="shared" si="291"/>
        <v>69.360222893601872</v>
      </c>
      <c r="M193" s="13">
        <f t="shared" si="292"/>
        <v>0</v>
      </c>
      <c r="N193" s="13">
        <f t="shared" si="293"/>
        <v>1.7378406066042015E-2</v>
      </c>
      <c r="O193" s="13">
        <f t="shared" si="294"/>
        <v>56.951208789905408</v>
      </c>
      <c r="P193" s="13">
        <f t="shared" si="295"/>
        <v>1.7768364353455995E-2</v>
      </c>
      <c r="Q193" s="14">
        <v>416.55099999999999</v>
      </c>
      <c r="R193" s="14">
        <v>-381.99700000000001</v>
      </c>
      <c r="S193" s="14">
        <v>414.74700000000001</v>
      </c>
      <c r="T193" s="14">
        <v>-396.01</v>
      </c>
      <c r="U193" s="40">
        <v>439.30399999999997</v>
      </c>
      <c r="V193" s="40">
        <v>-384.77199999999999</v>
      </c>
      <c r="W193" s="14">
        <v>438.61</v>
      </c>
      <c r="X193" s="14">
        <v>-399.20100000000002</v>
      </c>
      <c r="Y193" s="14">
        <v>425.70699999999999</v>
      </c>
      <c r="Z193" s="14">
        <v>-390.738</v>
      </c>
      <c r="AA193" s="14">
        <v>425.70699999999999</v>
      </c>
      <c r="AB193" s="14">
        <v>-390.738</v>
      </c>
      <c r="AC193" s="14">
        <v>425.70699999999999</v>
      </c>
      <c r="AD193" s="14">
        <v>-390.738</v>
      </c>
      <c r="AE193" s="14" t="s">
        <v>216</v>
      </c>
      <c r="AF193" s="14" t="s">
        <v>212</v>
      </c>
      <c r="AG193" s="14" t="s">
        <v>224</v>
      </c>
      <c r="AH193" s="14" t="s">
        <v>225</v>
      </c>
      <c r="AI193" s="51" t="s">
        <v>224</v>
      </c>
      <c r="AJ193" s="51">
        <v>1.4527966440180999E-4</v>
      </c>
      <c r="AK193" s="51">
        <v>1.08985286753236E-4</v>
      </c>
      <c r="AL193" s="51">
        <v>1.31228599979727E-4</v>
      </c>
      <c r="AM193" s="51">
        <v>1.2162377963263E-4</v>
      </c>
      <c r="AN193" s="51">
        <v>0.99444448974869404</v>
      </c>
    </row>
    <row r="194" spans="1:40" x14ac:dyDescent="0.35">
      <c r="A194" s="40" t="s">
        <v>143</v>
      </c>
      <c r="B194" s="14">
        <v>1</v>
      </c>
      <c r="C194" s="40">
        <v>50</v>
      </c>
      <c r="D194" s="14">
        <v>654</v>
      </c>
      <c r="E194" s="12">
        <f t="shared" ref="E194:E198" si="298">DIST2(Q194,R194,W194,X194)</f>
        <v>34.018506081249392</v>
      </c>
      <c r="F194" s="12">
        <f t="shared" si="296"/>
        <v>1.1818144356346902</v>
      </c>
      <c r="G194" s="12">
        <f t="shared" ref="G194:G198" si="299">DIST2(AA194,AB194,AC194,AD194)</f>
        <v>0</v>
      </c>
      <c r="H194" s="12">
        <f t="shared" ref="H194:H198" si="300">DIST2(Q194,R194,S194,T194)</f>
        <v>21.62538677110771</v>
      </c>
      <c r="I194" s="12">
        <f t="shared" si="297"/>
        <v>1.5059606210977776</v>
      </c>
      <c r="J194" s="12">
        <f t="shared" ref="J194:J198" si="301">DIST2(U194,V194,W194,X194)</f>
        <v>21.620681048477682</v>
      </c>
      <c r="K194" s="13">
        <f t="shared" ref="K194:K198" si="302">E194/D194</f>
        <v>5.201606434441803E-2</v>
      </c>
      <c r="L194" s="13">
        <f t="shared" ref="L194:L198" si="303">F194*180/PI()</f>
        <v>67.712979329503028</v>
      </c>
      <c r="M194" s="13">
        <f t="shared" ref="M194:M198" si="304">G194/D194</f>
        <v>0</v>
      </c>
      <c r="N194" s="13">
        <f t="shared" ref="N194:N198" si="305">H194/D194</f>
        <v>3.3066340628605063E-2</v>
      </c>
      <c r="O194" s="13">
        <f t="shared" ref="O194:O198" si="306">I194*180/PI()</f>
        <v>86.285187701802784</v>
      </c>
      <c r="P194" s="13">
        <f t="shared" ref="P194:P198" si="307">J194/D194</f>
        <v>3.3059145334063733E-2</v>
      </c>
      <c r="Q194" s="14">
        <v>476.65499999999997</v>
      </c>
      <c r="R194" s="14">
        <v>489.988</v>
      </c>
      <c r="S194" s="14">
        <v>490.84699999999998</v>
      </c>
      <c r="T194" s="14">
        <v>473.67099999999999</v>
      </c>
      <c r="U194" s="40">
        <v>497.7</v>
      </c>
      <c r="V194" s="40">
        <v>509.13600000000002</v>
      </c>
      <c r="W194" s="14">
        <v>510.625</v>
      </c>
      <c r="X194" s="14">
        <v>491.80399999999997</v>
      </c>
      <c r="Y194" s="14">
        <v>495.815</v>
      </c>
      <c r="Z194" s="14">
        <v>492.517</v>
      </c>
      <c r="AA194" s="14">
        <v>495.815</v>
      </c>
      <c r="AB194" s="14">
        <v>492.517</v>
      </c>
      <c r="AC194" s="14">
        <v>495.815</v>
      </c>
      <c r="AD194" s="14">
        <v>492.517</v>
      </c>
      <c r="AE194" s="14" t="s">
        <v>213</v>
      </c>
      <c r="AF194" s="14" t="s">
        <v>212</v>
      </c>
      <c r="AG194" s="14" t="s">
        <v>223</v>
      </c>
      <c r="AH194" s="14" t="s">
        <v>225</v>
      </c>
      <c r="AI194" s="51" t="s">
        <v>223</v>
      </c>
      <c r="AJ194" s="51">
        <v>2.8929405844064799E-4</v>
      </c>
      <c r="AK194" s="51">
        <v>4.07426058412592E-4</v>
      </c>
      <c r="AL194" s="51">
        <v>3.6666020794171901E-4</v>
      </c>
      <c r="AM194" s="51">
        <v>3.3041953539264399E-4</v>
      </c>
      <c r="AN194" s="51">
        <v>1.00051617065795</v>
      </c>
    </row>
    <row r="195" spans="1:40" x14ac:dyDescent="0.35">
      <c r="A195" s="40" t="s">
        <v>143</v>
      </c>
      <c r="B195" s="14">
        <v>1</v>
      </c>
      <c r="C195" s="40">
        <v>60</v>
      </c>
      <c r="D195" s="14">
        <v>654</v>
      </c>
      <c r="E195" s="12">
        <f t="shared" si="298"/>
        <v>29.363431168717302</v>
      </c>
      <c r="F195" s="12">
        <f t="shared" si="296"/>
        <v>1.131439973687143</v>
      </c>
      <c r="G195" s="12">
        <f t="shared" si="299"/>
        <v>1.8685076933210696</v>
      </c>
      <c r="H195" s="12">
        <f t="shared" si="300"/>
        <v>22.173060794576788</v>
      </c>
      <c r="I195" s="12">
        <f t="shared" si="297"/>
        <v>1.2777021121015282</v>
      </c>
      <c r="J195" s="12">
        <f t="shared" si="301"/>
        <v>19.13669702430386</v>
      </c>
      <c r="K195" s="13">
        <f t="shared" si="302"/>
        <v>4.4898212796203825E-2</v>
      </c>
      <c r="L195" s="13">
        <f t="shared" si="303"/>
        <v>64.826735264666212</v>
      </c>
      <c r="M195" s="13">
        <f t="shared" si="304"/>
        <v>2.857045402631605E-3</v>
      </c>
      <c r="N195" s="13">
        <f t="shared" si="305"/>
        <v>3.3903762682839123E-2</v>
      </c>
      <c r="O195" s="13">
        <f t="shared" si="306"/>
        <v>73.206938498368757</v>
      </c>
      <c r="P195" s="13">
        <f t="shared" si="307"/>
        <v>2.926100462431783E-2</v>
      </c>
      <c r="Q195" s="14">
        <v>429.44200000000001</v>
      </c>
      <c r="R195" s="14">
        <v>451.95</v>
      </c>
      <c r="S195" s="14">
        <v>441.22199999999998</v>
      </c>
      <c r="T195" s="14">
        <v>433.16500000000002</v>
      </c>
      <c r="U195" s="40">
        <v>463.82799999999997</v>
      </c>
      <c r="V195" s="40">
        <v>454.65699999999998</v>
      </c>
      <c r="W195" s="14">
        <v>452.52499999999998</v>
      </c>
      <c r="X195" s="14">
        <v>470.09899999999999</v>
      </c>
      <c r="Y195" s="14">
        <v>448.71499999999997</v>
      </c>
      <c r="Z195" s="14">
        <v>453.67</v>
      </c>
      <c r="AA195" s="14">
        <v>449.28500000000003</v>
      </c>
      <c r="AB195" s="14">
        <v>452.94400000000002</v>
      </c>
      <c r="AC195" s="14">
        <v>448.24900000000002</v>
      </c>
      <c r="AD195" s="14">
        <v>454.49900000000002</v>
      </c>
      <c r="AE195" s="14" t="s">
        <v>213</v>
      </c>
      <c r="AF195" s="14" t="s">
        <v>212</v>
      </c>
      <c r="AG195" s="14" t="s">
        <v>223</v>
      </c>
      <c r="AH195" s="14" t="s">
        <v>225</v>
      </c>
      <c r="AI195" s="51" t="s">
        <v>223</v>
      </c>
      <c r="AJ195" s="51">
        <v>2.8585674489614598E-4</v>
      </c>
      <c r="AK195" s="51">
        <v>4.46914430369683E-4</v>
      </c>
      <c r="AL195" s="55">
        <v>4.2948317341414902E-5</v>
      </c>
      <c r="AM195" s="55">
        <v>8.6782824350739197E-5</v>
      </c>
      <c r="AN195" s="51">
        <v>0.17704181888035</v>
      </c>
    </row>
    <row r="196" spans="1:40" x14ac:dyDescent="0.35">
      <c r="A196" s="40" t="s">
        <v>143</v>
      </c>
      <c r="B196" s="14">
        <v>1</v>
      </c>
      <c r="C196" s="40">
        <v>70</v>
      </c>
      <c r="D196" s="14">
        <v>654</v>
      </c>
      <c r="E196" s="12">
        <f t="shared" si="298"/>
        <v>36.128444043440332</v>
      </c>
      <c r="F196" s="12">
        <f t="shared" si="296"/>
        <v>1.1344589373048655</v>
      </c>
      <c r="G196" s="12">
        <f t="shared" si="299"/>
        <v>2.6725921873716358</v>
      </c>
      <c r="H196" s="12">
        <f t="shared" si="300"/>
        <v>21.104087400311801</v>
      </c>
      <c r="I196" s="12">
        <f t="shared" si="297"/>
        <v>1.273612145204631</v>
      </c>
      <c r="J196" s="12">
        <f t="shared" si="301"/>
        <v>19.703538616197857</v>
      </c>
      <c r="K196" s="13">
        <f t="shared" si="302"/>
        <v>5.5242269179572374E-2</v>
      </c>
      <c r="L196" s="13">
        <f t="shared" si="303"/>
        <v>64.999709138465263</v>
      </c>
      <c r="M196" s="13">
        <f t="shared" si="304"/>
        <v>4.0865323965927156E-3</v>
      </c>
      <c r="N196" s="13">
        <f t="shared" si="305"/>
        <v>3.2269246789467583E-2</v>
      </c>
      <c r="O196" s="13">
        <f t="shared" si="306"/>
        <v>72.97260065682832</v>
      </c>
      <c r="P196" s="13">
        <f t="shared" si="307"/>
        <v>3.0127734887152688E-2</v>
      </c>
      <c r="Q196" s="14">
        <v>355.55</v>
      </c>
      <c r="R196" s="14">
        <v>397.96</v>
      </c>
      <c r="S196" s="14">
        <v>368.75299999999999</v>
      </c>
      <c r="T196" s="14">
        <v>381.49599999999998</v>
      </c>
      <c r="U196" s="40">
        <v>380.21199999999999</v>
      </c>
      <c r="V196" s="40">
        <v>415.74299999999999</v>
      </c>
      <c r="W196" s="14">
        <v>391.637</v>
      </c>
      <c r="X196" s="14">
        <v>399.69</v>
      </c>
      <c r="Y196" s="14">
        <v>374.74299999999999</v>
      </c>
      <c r="Z196" s="14">
        <v>400.48399999999998</v>
      </c>
      <c r="AA196" s="14">
        <v>375.44099999999997</v>
      </c>
      <c r="AB196" s="14">
        <v>399.24400000000003</v>
      </c>
      <c r="AC196" s="14">
        <v>374.12299999999999</v>
      </c>
      <c r="AD196" s="14">
        <v>401.56900000000002</v>
      </c>
      <c r="AE196" s="14" t="s">
        <v>213</v>
      </c>
      <c r="AF196" s="14" t="s">
        <v>212</v>
      </c>
      <c r="AG196" s="14" t="s">
        <v>223</v>
      </c>
      <c r="AH196" s="14" t="s">
        <v>225</v>
      </c>
      <c r="AI196" s="51" t="s">
        <v>223</v>
      </c>
      <c r="AJ196" s="51">
        <v>3.0642755005657999E-4</v>
      </c>
      <c r="AK196" s="51">
        <v>4.0835264988917802E-4</v>
      </c>
      <c r="AL196" s="51">
        <v>2.8205456541256199E-4</v>
      </c>
      <c r="AM196" s="51">
        <v>3.3253813277969702E-4</v>
      </c>
      <c r="AN196" s="51">
        <v>0.85983453128513898</v>
      </c>
    </row>
    <row r="197" spans="1:40" x14ac:dyDescent="0.35">
      <c r="A197" s="40" t="s">
        <v>143</v>
      </c>
      <c r="B197" s="14">
        <v>1</v>
      </c>
      <c r="C197" s="40">
        <v>80</v>
      </c>
      <c r="D197" s="14">
        <v>654</v>
      </c>
      <c r="E197" s="12">
        <f t="shared" si="298"/>
        <v>36.214744455815215</v>
      </c>
      <c r="F197" s="12">
        <f t="shared" si="296"/>
        <v>1.019732176270147</v>
      </c>
      <c r="G197" s="12">
        <f t="shared" si="299"/>
        <v>4.0433210359801874</v>
      </c>
      <c r="H197" s="12">
        <f t="shared" si="300"/>
        <v>19.280937736531385</v>
      </c>
      <c r="I197" s="12">
        <f t="shared" si="297"/>
        <v>1.1262787468314039</v>
      </c>
      <c r="J197" s="12">
        <f t="shared" si="301"/>
        <v>17.512800004568067</v>
      </c>
      <c r="K197" s="13">
        <f t="shared" si="302"/>
        <v>5.5374226996659351E-2</v>
      </c>
      <c r="L197" s="13">
        <f t="shared" si="303"/>
        <v>58.426349933969938</v>
      </c>
      <c r="M197" s="13">
        <f t="shared" si="304"/>
        <v>6.1824480672479929E-3</v>
      </c>
      <c r="N197" s="13">
        <f t="shared" si="305"/>
        <v>2.9481556172066339E-2</v>
      </c>
      <c r="O197" s="13">
        <f t="shared" si="306"/>
        <v>64.531018748722786</v>
      </c>
      <c r="P197" s="13">
        <f t="shared" si="307"/>
        <v>2.6777981658360959E-2</v>
      </c>
      <c r="Q197" s="14">
        <v>276.81</v>
      </c>
      <c r="R197" s="14">
        <v>340.03100000000001</v>
      </c>
      <c r="S197" s="14">
        <v>287.72199999999998</v>
      </c>
      <c r="T197" s="14">
        <v>324.13499999999999</v>
      </c>
      <c r="U197" s="40">
        <v>302.40600000000001</v>
      </c>
      <c r="V197" s="40">
        <v>356.87099999999998</v>
      </c>
      <c r="W197" s="14">
        <v>312.91399999999999</v>
      </c>
      <c r="X197" s="14">
        <v>342.86099999999999</v>
      </c>
      <c r="Y197" s="14">
        <v>295.80500000000001</v>
      </c>
      <c r="Z197" s="14">
        <v>342.726</v>
      </c>
      <c r="AA197" s="14">
        <v>296.88299999999998</v>
      </c>
      <c r="AB197" s="14">
        <v>340.84</v>
      </c>
      <c r="AC197" s="14">
        <v>294.86200000000002</v>
      </c>
      <c r="AD197" s="14">
        <v>344.34199999999998</v>
      </c>
      <c r="AE197" s="14" t="s">
        <v>213</v>
      </c>
      <c r="AF197" s="14" t="s">
        <v>212</v>
      </c>
      <c r="AG197" s="14" t="s">
        <v>223</v>
      </c>
      <c r="AH197" s="14" t="s">
        <v>225</v>
      </c>
      <c r="AI197" s="51" t="s">
        <v>223</v>
      </c>
      <c r="AJ197" s="51">
        <v>2.8186421597508601E-4</v>
      </c>
      <c r="AK197" s="51">
        <v>3.8735090574119299E-4</v>
      </c>
      <c r="AL197" s="51">
        <v>2.26378395944973E-4</v>
      </c>
      <c r="AM197" s="51">
        <v>2.9141237877470101E-4</v>
      </c>
      <c r="AN197" s="51">
        <v>0.77372844383991202</v>
      </c>
    </row>
    <row r="198" spans="1:40" x14ac:dyDescent="0.35">
      <c r="A198" s="40" t="s">
        <v>143</v>
      </c>
      <c r="B198" s="14">
        <v>1</v>
      </c>
      <c r="C198" s="40">
        <v>90</v>
      </c>
      <c r="D198" s="14">
        <v>654</v>
      </c>
      <c r="E198" s="12">
        <f t="shared" si="298"/>
        <v>37.109552678522022</v>
      </c>
      <c r="F198" s="12">
        <f t="shared" si="296"/>
        <v>0.79104146081991</v>
      </c>
      <c r="G198" s="12">
        <f t="shared" si="299"/>
        <v>1.1108541758484602</v>
      </c>
      <c r="H198" s="12">
        <f t="shared" si="300"/>
        <v>15.092314368578469</v>
      </c>
      <c r="I198" s="12">
        <f t="shared" si="297"/>
        <v>0.96996507348786976</v>
      </c>
      <c r="J198" s="12">
        <f t="shared" si="301"/>
        <v>16.113532511525836</v>
      </c>
      <c r="K198" s="13">
        <f t="shared" si="302"/>
        <v>5.6742435288259972E-2</v>
      </c>
      <c r="L198" s="13">
        <f t="shared" si="303"/>
        <v>45.323337124844109</v>
      </c>
      <c r="M198" s="13">
        <f t="shared" si="304"/>
        <v>1.6985537857010095E-3</v>
      </c>
      <c r="N198" s="13">
        <f t="shared" si="305"/>
        <v>2.3076933285288179E-2</v>
      </c>
      <c r="O198" s="13">
        <f t="shared" si="306"/>
        <v>55.574904985951676</v>
      </c>
      <c r="P198" s="13">
        <f t="shared" si="307"/>
        <v>2.463842891670617E-2</v>
      </c>
      <c r="Q198" s="14">
        <v>221.19499999999999</v>
      </c>
      <c r="R198" s="14">
        <v>298.84399999999999</v>
      </c>
      <c r="S198" s="14">
        <v>230.10300000000001</v>
      </c>
      <c r="T198" s="14">
        <v>286.661</v>
      </c>
      <c r="U198" s="40">
        <v>248.18199999999999</v>
      </c>
      <c r="V198" s="40">
        <v>318.233</v>
      </c>
      <c r="W198" s="14">
        <v>257.745</v>
      </c>
      <c r="X198" s="14">
        <v>305.26400000000001</v>
      </c>
      <c r="Y198" s="14">
        <v>239.929</v>
      </c>
      <c r="Z198" s="14">
        <v>303.82299999999998</v>
      </c>
      <c r="AA198" s="14">
        <v>240.19399999999999</v>
      </c>
      <c r="AB198" s="14">
        <v>303.358</v>
      </c>
      <c r="AC198" s="14">
        <v>239.58799999999999</v>
      </c>
      <c r="AD198" s="14">
        <v>304.28899999999999</v>
      </c>
      <c r="AE198" s="14" t="s">
        <v>213</v>
      </c>
      <c r="AF198" s="14" t="s">
        <v>212</v>
      </c>
      <c r="AG198" s="14" t="s">
        <v>223</v>
      </c>
      <c r="AH198" s="14" t="s">
        <v>225</v>
      </c>
      <c r="AI198" s="51" t="s">
        <v>223</v>
      </c>
      <c r="AJ198" s="51">
        <v>2.8621326651329402E-4</v>
      </c>
      <c r="AK198" s="51">
        <v>3.18656835376745E-4</v>
      </c>
      <c r="AL198" s="51">
        <v>2.4511318491709502E-4</v>
      </c>
      <c r="AM198" s="51">
        <v>3.2009043500827699E-4</v>
      </c>
      <c r="AN198" s="51">
        <v>0.934421486794071</v>
      </c>
    </row>
    <row r="199" spans="1:40" x14ac:dyDescent="0.35">
      <c r="A199" s="40" t="s">
        <v>144</v>
      </c>
      <c r="B199" s="14">
        <v>1</v>
      </c>
      <c r="C199" s="40">
        <v>40</v>
      </c>
      <c r="D199" s="14">
        <v>1030</v>
      </c>
      <c r="E199" s="12">
        <f t="shared" ref="E199:E204" si="308">DIST2(Q199,R199,W199,X199)</f>
        <v>30.441418314526679</v>
      </c>
      <c r="F199" s="12">
        <f t="shared" si="296"/>
        <v>1.4363231393048745</v>
      </c>
      <c r="G199" s="12">
        <f t="shared" ref="G199:G204" si="309">DIST2(AA199,AB199,AC199,AD199)</f>
        <v>3.6278761004201661</v>
      </c>
      <c r="H199" s="12">
        <f t="shared" ref="H199:H204" si="310">DIST2(Q199,R199,S199,T199)</f>
        <v>20.178702138641135</v>
      </c>
      <c r="I199" s="12">
        <f t="shared" si="297"/>
        <v>1.6075454151743793</v>
      </c>
      <c r="J199" s="12">
        <f t="shared" ref="J199:J204" si="311">DIST2(U199,V199,W199,X199)</f>
        <v>21.382701232538398</v>
      </c>
      <c r="K199" s="13">
        <f t="shared" ref="K199:K204" si="312">E199/D199</f>
        <v>2.9554775062647261E-2</v>
      </c>
      <c r="L199" s="13">
        <f t="shared" ref="L199:L204" si="313">F199*180/PI()</f>
        <v>82.295253899150325</v>
      </c>
      <c r="M199" s="13">
        <f t="shared" ref="M199:M204" si="314">G199/D199</f>
        <v>3.522209806233171E-3</v>
      </c>
      <c r="N199" s="13">
        <f t="shared" ref="N199:N204" si="315">H199/D199</f>
        <v>1.9590972950137026E-2</v>
      </c>
      <c r="O199" s="13">
        <f t="shared" ref="O199:O204" si="316">I199*180/PI()</f>
        <v>92.10556766509761</v>
      </c>
      <c r="P199" s="13">
        <f t="shared" ref="P199:P204" si="317">J199/D199</f>
        <v>2.0759904109260582E-2</v>
      </c>
      <c r="Q199" s="40">
        <v>489.94400000000002</v>
      </c>
      <c r="R199" s="40">
        <v>-279.08499999999998</v>
      </c>
      <c r="S199" s="40">
        <v>491.87599999999998</v>
      </c>
      <c r="T199" s="40">
        <v>-299.17099999999999</v>
      </c>
      <c r="U199" s="40">
        <v>468.02300000000002</v>
      </c>
      <c r="V199" s="40">
        <v>-281.209</v>
      </c>
      <c r="W199" s="40">
        <v>470.43700000000001</v>
      </c>
      <c r="X199" s="40">
        <v>-302.45499999999998</v>
      </c>
      <c r="Y199" s="40">
        <v>479.42899999999997</v>
      </c>
      <c r="Z199" s="40">
        <v>-290.35300000000001</v>
      </c>
      <c r="AA199" s="40">
        <v>479.524</v>
      </c>
      <c r="AB199" s="40">
        <v>-292.06299999999999</v>
      </c>
      <c r="AC199" s="40">
        <v>479.20699999999999</v>
      </c>
      <c r="AD199" s="40">
        <v>-288.44900000000001</v>
      </c>
      <c r="AG199" s="14" t="s">
        <v>224</v>
      </c>
      <c r="AH199" s="14" t="s">
        <v>227</v>
      </c>
      <c r="AI199" s="14" t="s">
        <v>224</v>
      </c>
      <c r="AJ199" s="51">
        <v>1.03807267414459E-4</v>
      </c>
      <c r="AK199" s="51">
        <v>1.09800200772929E-4</v>
      </c>
      <c r="AL199" s="55">
        <v>8.5994370817230793E-5</v>
      </c>
      <c r="AM199" s="55">
        <v>9.0938062022810704E-5</v>
      </c>
      <c r="AN199" s="51">
        <v>0.82830639931009797</v>
      </c>
    </row>
    <row r="200" spans="1:40" x14ac:dyDescent="0.35">
      <c r="A200" s="40" t="s">
        <v>144</v>
      </c>
      <c r="B200" s="14">
        <v>1</v>
      </c>
      <c r="C200" s="40">
        <v>50</v>
      </c>
      <c r="D200" s="14">
        <v>1030</v>
      </c>
      <c r="E200" s="12">
        <f t="shared" si="308"/>
        <v>32.238144751210527</v>
      </c>
      <c r="F200" s="12">
        <f t="shared" si="296"/>
        <v>1.2793603333039263</v>
      </c>
      <c r="G200" s="12">
        <f t="shared" si="309"/>
        <v>2.6601924742393797</v>
      </c>
      <c r="H200" s="12">
        <f t="shared" si="310"/>
        <v>18.656987350587972</v>
      </c>
      <c r="I200" s="12">
        <f t="shared" si="297"/>
        <v>1.1767621295229067</v>
      </c>
      <c r="J200" s="12">
        <f t="shared" si="311"/>
        <v>18.282361827728913</v>
      </c>
      <c r="K200" s="13">
        <f t="shared" si="312"/>
        <v>3.129916966136944E-2</v>
      </c>
      <c r="L200" s="13">
        <f t="shared" si="313"/>
        <v>73.301947574765265</v>
      </c>
      <c r="M200" s="13">
        <f t="shared" si="314"/>
        <v>2.5827111400382329E-3</v>
      </c>
      <c r="N200" s="13">
        <f t="shared" si="315"/>
        <v>1.8113579952027156E-2</v>
      </c>
      <c r="O200" s="13">
        <f t="shared" si="316"/>
        <v>67.423503512489688</v>
      </c>
      <c r="P200" s="13">
        <f t="shared" si="317"/>
        <v>1.7749865852163992E-2</v>
      </c>
      <c r="Q200" s="40">
        <v>584.15700000000004</v>
      </c>
      <c r="R200" s="40">
        <v>-257.86399999999998</v>
      </c>
      <c r="S200" s="40">
        <v>588.48099999999999</v>
      </c>
      <c r="T200" s="40">
        <v>-276.01299999999998</v>
      </c>
      <c r="U200" s="40">
        <v>559.24800000000005</v>
      </c>
      <c r="V200" s="40">
        <v>-263.52800000000002</v>
      </c>
      <c r="W200" s="40">
        <v>562.29300000000001</v>
      </c>
      <c r="X200" s="40">
        <v>-281.55500000000001</v>
      </c>
      <c r="Y200" s="40">
        <v>574.32799999999997</v>
      </c>
      <c r="Z200" s="40">
        <v>-270.577</v>
      </c>
      <c r="AA200" s="40">
        <v>574.32799999999997</v>
      </c>
      <c r="AB200" s="40">
        <v>-271.73099999999999</v>
      </c>
      <c r="AC200" s="40">
        <v>574.36</v>
      </c>
      <c r="AD200" s="40">
        <v>-269.07100000000003</v>
      </c>
      <c r="AG200" s="14" t="s">
        <v>224</v>
      </c>
      <c r="AH200" s="14" t="s">
        <v>227</v>
      </c>
      <c r="AI200" s="14" t="s">
        <v>224</v>
      </c>
      <c r="AJ200" s="51">
        <v>1.1800497454991E-4</v>
      </c>
      <c r="AK200" s="51">
        <v>1.0998092798567301E-4</v>
      </c>
      <c r="AL200" s="51">
        <v>1.05412835799793E-4</v>
      </c>
      <c r="AM200" s="55">
        <v>8.98166377603921E-5</v>
      </c>
      <c r="AN200" s="51">
        <v>0.85632256814525898</v>
      </c>
    </row>
    <row r="201" spans="1:40" x14ac:dyDescent="0.35">
      <c r="A201" s="40" t="s">
        <v>144</v>
      </c>
      <c r="B201" s="14">
        <v>1</v>
      </c>
      <c r="C201" s="40">
        <v>60</v>
      </c>
      <c r="D201" s="14">
        <v>1030</v>
      </c>
      <c r="E201" s="12">
        <f t="shared" si="308"/>
        <v>30.56998256460087</v>
      </c>
      <c r="F201" s="12">
        <f t="shared" si="296"/>
        <v>1.3369110007316907</v>
      </c>
      <c r="G201" s="12">
        <f t="shared" si="309"/>
        <v>3.1919999999999789</v>
      </c>
      <c r="H201" s="12">
        <f t="shared" si="310"/>
        <v>18.727060901273294</v>
      </c>
      <c r="I201" s="12">
        <f t="shared" si="297"/>
        <v>1.35033439915958</v>
      </c>
      <c r="J201" s="12">
        <f t="shared" si="311"/>
        <v>18.365278462359349</v>
      </c>
      <c r="K201" s="13">
        <f t="shared" si="312"/>
        <v>2.9679594722913465E-2</v>
      </c>
      <c r="L201" s="13">
        <f t="shared" si="313"/>
        <v>76.599357926537195</v>
      </c>
      <c r="M201" s="13">
        <f t="shared" si="314"/>
        <v>3.0990291262135718E-3</v>
      </c>
      <c r="N201" s="13">
        <f t="shared" si="315"/>
        <v>1.8181612525508054E-2</v>
      </c>
      <c r="O201" s="13">
        <f t="shared" si="316"/>
        <v>77.368462003177797</v>
      </c>
      <c r="P201" s="13">
        <f t="shared" si="317"/>
        <v>1.7830367439183835E-2</v>
      </c>
      <c r="Q201" s="40">
        <v>679.62599999999998</v>
      </c>
      <c r="R201" s="40">
        <v>-245.97800000000001</v>
      </c>
      <c r="S201" s="40">
        <v>678.67700000000002</v>
      </c>
      <c r="T201" s="40">
        <v>-264.68099999999998</v>
      </c>
      <c r="U201" s="40">
        <v>656.096</v>
      </c>
      <c r="V201" s="40">
        <v>-246.495</v>
      </c>
      <c r="W201" s="40">
        <v>655.57899999999995</v>
      </c>
      <c r="X201" s="40">
        <v>-264.85300000000001</v>
      </c>
      <c r="Y201" s="40">
        <v>667.30100000000004</v>
      </c>
      <c r="Z201" s="40">
        <v>-255.459</v>
      </c>
      <c r="AA201" s="40">
        <v>667.36599999999999</v>
      </c>
      <c r="AB201" s="40">
        <v>-257.01</v>
      </c>
      <c r="AC201" s="40">
        <v>667.36599999999999</v>
      </c>
      <c r="AD201" s="40">
        <v>-253.81800000000001</v>
      </c>
      <c r="AG201" s="14" t="s">
        <v>224</v>
      </c>
      <c r="AH201" s="14" t="s">
        <v>227</v>
      </c>
      <c r="AI201" s="14" t="s">
        <v>224</v>
      </c>
      <c r="AJ201" s="55">
        <v>9.9130821943633403E-5</v>
      </c>
      <c r="AK201" s="51">
        <v>1.04400511829578E-4</v>
      </c>
      <c r="AL201" s="55">
        <v>8.3955500047129794E-5</v>
      </c>
      <c r="AM201" s="55">
        <v>8.4423720426053694E-5</v>
      </c>
      <c r="AN201" s="51">
        <v>0.82728893557393501</v>
      </c>
    </row>
    <row r="202" spans="1:40" x14ac:dyDescent="0.35">
      <c r="A202" s="40" t="s">
        <v>144</v>
      </c>
      <c r="B202" s="14">
        <v>1</v>
      </c>
      <c r="C202" s="40">
        <v>70</v>
      </c>
      <c r="D202" s="14">
        <v>1030</v>
      </c>
      <c r="E202" s="12">
        <f t="shared" si="308"/>
        <v>28.87646185044143</v>
      </c>
      <c r="F202" s="12">
        <f t="shared" si="296"/>
        <v>1.3677472103794039</v>
      </c>
      <c r="G202" s="12">
        <f t="shared" si="309"/>
        <v>3.0082659456902903</v>
      </c>
      <c r="H202" s="12">
        <f t="shared" si="310"/>
        <v>17.47128836119424</v>
      </c>
      <c r="I202" s="12">
        <f t="shared" si="297"/>
        <v>1.2900166973833214</v>
      </c>
      <c r="J202" s="12">
        <f t="shared" si="311"/>
        <v>17.808286413914161</v>
      </c>
      <c r="K202" s="13">
        <f t="shared" si="312"/>
        <v>2.8035399854797506E-2</v>
      </c>
      <c r="L202" s="13">
        <f t="shared" si="313"/>
        <v>78.366142595531741</v>
      </c>
      <c r="M202" s="13">
        <f t="shared" si="314"/>
        <v>2.9206465492138739E-3</v>
      </c>
      <c r="N202" s="13">
        <f t="shared" si="315"/>
        <v>1.6962415884654601E-2</v>
      </c>
      <c r="O202" s="13">
        <f t="shared" si="316"/>
        <v>73.912512261469416</v>
      </c>
      <c r="P202" s="13">
        <f t="shared" si="317"/>
        <v>1.7289598460110835E-2</v>
      </c>
      <c r="Q202" s="40">
        <v>792.94799999999998</v>
      </c>
      <c r="R202" s="40">
        <v>-244.62899999999999</v>
      </c>
      <c r="S202" s="40">
        <v>794.45699999999999</v>
      </c>
      <c r="T202" s="40">
        <v>-262.03500000000003</v>
      </c>
      <c r="U202" s="40">
        <v>771.31700000000001</v>
      </c>
      <c r="V202" s="40">
        <v>-245.83600000000001</v>
      </c>
      <c r="W202" s="40">
        <v>771.21600000000001</v>
      </c>
      <c r="X202" s="40">
        <v>-263.64400000000001</v>
      </c>
      <c r="Y202" s="40">
        <v>782.99300000000005</v>
      </c>
      <c r="Z202" s="40">
        <v>-253.34100000000001</v>
      </c>
      <c r="AA202" s="40">
        <v>782.91200000000003</v>
      </c>
      <c r="AB202" s="40">
        <v>-254.82499999999999</v>
      </c>
      <c r="AC202" s="40">
        <v>782.87199999999996</v>
      </c>
      <c r="AD202" s="40">
        <v>-251.81700000000001</v>
      </c>
      <c r="AG202" s="14" t="s">
        <v>224</v>
      </c>
      <c r="AH202" s="14" t="s">
        <v>227</v>
      </c>
      <c r="AI202" s="14" t="s">
        <v>224</v>
      </c>
      <c r="AJ202" s="55">
        <v>9.8352442737298804E-5</v>
      </c>
      <c r="AK202" s="55">
        <v>8.7860843623338304E-5</v>
      </c>
      <c r="AL202" s="55">
        <v>6.7547316429446605E-5</v>
      </c>
      <c r="AM202" s="55">
        <v>8.7729057875388997E-5</v>
      </c>
      <c r="AN202" s="51">
        <v>0.83386302524146305</v>
      </c>
    </row>
    <row r="203" spans="1:40" x14ac:dyDescent="0.35">
      <c r="A203" s="40" t="s">
        <v>144</v>
      </c>
      <c r="B203" s="14">
        <v>1</v>
      </c>
      <c r="C203" s="40">
        <v>80</v>
      </c>
      <c r="D203" s="14">
        <v>1030</v>
      </c>
      <c r="E203" s="12">
        <f t="shared" si="308"/>
        <v>28.18992346566414</v>
      </c>
      <c r="F203" s="12">
        <f t="shared" si="296"/>
        <v>1.3222781931307133</v>
      </c>
      <c r="G203" s="12">
        <f t="shared" si="309"/>
        <v>3.6226294317801875</v>
      </c>
      <c r="H203" s="12">
        <f t="shared" si="310"/>
        <v>16.404347624943828</v>
      </c>
      <c r="I203" s="12">
        <f t="shared" si="297"/>
        <v>1.2792969505908129</v>
      </c>
      <c r="J203" s="12">
        <f t="shared" si="311"/>
        <v>17.503548925860731</v>
      </c>
      <c r="K203" s="13">
        <f t="shared" si="312"/>
        <v>2.7368857733654505E-2</v>
      </c>
      <c r="L203" s="13">
        <f t="shared" si="313"/>
        <v>75.760959808574228</v>
      </c>
      <c r="M203" s="13">
        <f t="shared" si="314"/>
        <v>3.5171159531846479E-3</v>
      </c>
      <c r="N203" s="13">
        <f t="shared" si="315"/>
        <v>1.5926551092178474E-2</v>
      </c>
      <c r="O203" s="13">
        <f t="shared" si="316"/>
        <v>73.298316012809792</v>
      </c>
      <c r="P203" s="13">
        <f t="shared" si="317"/>
        <v>1.6993736821224011E-2</v>
      </c>
      <c r="Q203" s="40">
        <v>885.50900000000001</v>
      </c>
      <c r="R203" s="40">
        <v>-234.803</v>
      </c>
      <c r="S203" s="40">
        <v>886.57</v>
      </c>
      <c r="T203" s="40">
        <v>-251.173</v>
      </c>
      <c r="U203" s="40">
        <v>863.03399999999999</v>
      </c>
      <c r="V203" s="40">
        <v>-236.30799999999999</v>
      </c>
      <c r="W203" s="40">
        <v>864.62599999999998</v>
      </c>
      <c r="X203" s="40">
        <v>-253.739</v>
      </c>
      <c r="Y203" s="40">
        <v>875.55600000000004</v>
      </c>
      <c r="Z203" s="40">
        <v>-244.09200000000001</v>
      </c>
      <c r="AA203" s="40">
        <v>875.55600000000004</v>
      </c>
      <c r="AB203" s="40">
        <v>-245.77799999999999</v>
      </c>
      <c r="AC203" s="40">
        <v>875.41800000000001</v>
      </c>
      <c r="AD203" s="40">
        <v>-242.15799999999999</v>
      </c>
      <c r="AG203" s="14" t="s">
        <v>224</v>
      </c>
      <c r="AH203" s="14" t="s">
        <v>227</v>
      </c>
      <c r="AI203" s="14" t="s">
        <v>224</v>
      </c>
      <c r="AJ203" s="55">
        <v>9.70302827787732E-5</v>
      </c>
      <c r="AK203" s="55">
        <v>8.1433801018003599E-5</v>
      </c>
      <c r="AL203" s="55">
        <v>7.0749679517390906E-5</v>
      </c>
      <c r="AM203" s="55">
        <v>6.9115752662833797E-5</v>
      </c>
      <c r="AN203" s="51">
        <v>0.78371753691064405</v>
      </c>
    </row>
    <row r="204" spans="1:40" x14ac:dyDescent="0.35">
      <c r="A204" s="40" t="s">
        <v>144</v>
      </c>
      <c r="B204" s="14">
        <v>1</v>
      </c>
      <c r="C204" s="40">
        <v>90</v>
      </c>
      <c r="D204" s="14">
        <v>1030</v>
      </c>
      <c r="E204" s="12">
        <f t="shared" si="308"/>
        <v>28.691559751955001</v>
      </c>
      <c r="F204" s="12">
        <f t="shared" si="296"/>
        <v>1.1872132794542902</v>
      </c>
      <c r="G204" s="12">
        <f t="shared" si="309"/>
        <v>3.4128562817675077</v>
      </c>
      <c r="H204" s="12">
        <f t="shared" si="310"/>
        <v>15.374943772254911</v>
      </c>
      <c r="I204" s="12">
        <f t="shared" si="297"/>
        <v>1.2670903848564445</v>
      </c>
      <c r="J204" s="12">
        <f t="shared" si="311"/>
        <v>17.699593921895492</v>
      </c>
      <c r="K204" s="13">
        <f t="shared" si="312"/>
        <v>2.7855883254325243E-2</v>
      </c>
      <c r="L204" s="13">
        <f t="shared" si="313"/>
        <v>68.022310294616403</v>
      </c>
      <c r="M204" s="13">
        <f t="shared" si="314"/>
        <v>3.313452700745153E-3</v>
      </c>
      <c r="N204" s="13">
        <f t="shared" si="315"/>
        <v>1.4927129875975642E-2</v>
      </c>
      <c r="O204" s="13">
        <f t="shared" si="316"/>
        <v>72.598931313881465</v>
      </c>
      <c r="P204" s="13">
        <f t="shared" si="317"/>
        <v>1.7184071768830574E-2</v>
      </c>
      <c r="Q204" s="40">
        <v>1003.45</v>
      </c>
      <c r="R204" s="40">
        <v>-224.767</v>
      </c>
      <c r="S204" s="40">
        <v>1004.03</v>
      </c>
      <c r="T204" s="40">
        <v>-240.131</v>
      </c>
      <c r="U204" s="40">
        <v>979.43499999999995</v>
      </c>
      <c r="V204" s="40">
        <v>-225.416</v>
      </c>
      <c r="W204" s="40">
        <v>981.31</v>
      </c>
      <c r="X204" s="40">
        <v>-243.01599999999999</v>
      </c>
      <c r="Y204" s="40">
        <v>992.38699999999994</v>
      </c>
      <c r="Z204" s="40">
        <v>-233.35</v>
      </c>
      <c r="AA204" s="40">
        <v>992.52300000000002</v>
      </c>
      <c r="AB204" s="40">
        <v>-234.80199999999999</v>
      </c>
      <c r="AC204" s="40">
        <v>992.25099999999998</v>
      </c>
      <c r="AD204" s="40">
        <v>-231.4</v>
      </c>
      <c r="AG204" s="14" t="s">
        <v>224</v>
      </c>
      <c r="AH204" s="14" t="s">
        <v>227</v>
      </c>
      <c r="AI204" s="14" t="s">
        <v>224</v>
      </c>
      <c r="AJ204" s="51">
        <v>1.00423673296258E-4</v>
      </c>
      <c r="AK204" s="55">
        <v>8.2453611084928405E-5</v>
      </c>
      <c r="AL204" s="55">
        <v>7.1648291073617102E-5</v>
      </c>
      <c r="AM204" s="55">
        <v>7.2708349043265207E-5</v>
      </c>
      <c r="AN204" s="51">
        <v>0.78936342807884197</v>
      </c>
    </row>
    <row r="205" spans="1:40" x14ac:dyDescent="0.35">
      <c r="A205" s="40" t="s">
        <v>146</v>
      </c>
      <c r="B205" s="14">
        <v>1</v>
      </c>
      <c r="C205" s="40">
        <v>30</v>
      </c>
      <c r="D205" s="14">
        <v>1822</v>
      </c>
      <c r="E205" s="12">
        <f t="shared" ref="E205:E211" si="318">DIST2(Q205,R205,W205,X205)</f>
        <v>48.952631604439723</v>
      </c>
      <c r="F205" s="12">
        <f t="shared" ref="F205:F211" si="319">ACOS((DIST2(Y205,Z205,S205,T205)^2 + DIST2(Y205,Z205,Q205,R205)^2 - DIST2(Q205,R205,S205,T205)^2)/(2*DIST2(Y205,Z205,S205,T205) * DIST2(Y205,Z205,Q205,R205)))</f>
        <v>1.4085518553308152</v>
      </c>
      <c r="G205" s="12">
        <f t="shared" ref="G205:G211" si="320">DIST2(AA205,AB205,AC205,AD205)</f>
        <v>14.30842283412116</v>
      </c>
      <c r="H205" s="12">
        <f t="shared" ref="H205:H211" si="321">DIST2(Q205,R205,S205,T205)</f>
        <v>34.179067336602387</v>
      </c>
      <c r="I205" s="12">
        <f t="shared" ref="I205:I211" si="322">ACOS((DIST2(Y205,Z205,W205,X205)^2 + DIST2(Y205,Z205,U205,V205)^2 - DIST2(U205,V205,W205,X205)^2)/(2*DIST2(Y205,Z205,W205,X205) * DIST2(Y205,Z205,U205,V205)))</f>
        <v>1.5752564393172754</v>
      </c>
      <c r="J205" s="12">
        <f t="shared" ref="J205:J211" si="323">DIST2(U205,V205,W205,X205)</f>
        <v>31.833587608059506</v>
      </c>
      <c r="K205" s="13">
        <f t="shared" ref="K205:K211" si="324">E205/D205</f>
        <v>2.6867525578726521E-2</v>
      </c>
      <c r="L205" s="13">
        <f t="shared" ref="L205:L211" si="325">F205*180/PI()</f>
        <v>80.704076535777418</v>
      </c>
      <c r="M205" s="13">
        <f t="shared" ref="M205:M211" si="326">G205/D205</f>
        <v>7.8531409627448732E-3</v>
      </c>
      <c r="N205" s="13">
        <f t="shared" ref="N205:N211" si="327">H205/D205</f>
        <v>1.8759092939957402E-2</v>
      </c>
      <c r="O205" s="13">
        <f t="shared" ref="O205:O211" si="328">I205*180/PI()</f>
        <v>90.255545623685748</v>
      </c>
      <c r="P205" s="13">
        <f t="shared" ref="P205:P211" si="329">J205/D205</f>
        <v>1.7471782441305986E-2</v>
      </c>
      <c r="Q205" s="40">
        <v>1627.66</v>
      </c>
      <c r="R205" s="40">
        <v>-148.26</v>
      </c>
      <c r="S205" s="40">
        <v>1628.74</v>
      </c>
      <c r="T205" s="40">
        <v>-182.422</v>
      </c>
      <c r="U205" s="40">
        <v>1663.62</v>
      </c>
      <c r="V205" s="40">
        <v>-148.619</v>
      </c>
      <c r="W205" s="40">
        <v>1664.55</v>
      </c>
      <c r="X205" s="40">
        <v>-180.43899999999999</v>
      </c>
      <c r="Y205" s="40">
        <v>1648.3</v>
      </c>
      <c r="Z205" s="40">
        <v>-165.91900000000001</v>
      </c>
      <c r="AA205" s="40">
        <v>1648.28</v>
      </c>
      <c r="AB205" s="40">
        <v>-172.399</v>
      </c>
      <c r="AC205" s="40">
        <v>1648.39</v>
      </c>
      <c r="AD205" s="40">
        <v>-158.09100000000001</v>
      </c>
      <c r="AG205" s="14" t="s">
        <v>227</v>
      </c>
      <c r="AH205" s="14" t="s">
        <v>227</v>
      </c>
      <c r="AI205" s="14" t="s">
        <v>222</v>
      </c>
      <c r="AJ205" s="55">
        <v>7.5846285369330195E-5</v>
      </c>
      <c r="AK205" s="51">
        <v>1.0332790108938E-4</v>
      </c>
      <c r="AL205" s="55">
        <v>5.2125547190636003E-5</v>
      </c>
      <c r="AM205" s="55">
        <v>4.8223838473782297E-5</v>
      </c>
      <c r="AN205" s="51">
        <v>0.56006608791017598</v>
      </c>
    </row>
    <row r="206" spans="1:40" x14ac:dyDescent="0.35">
      <c r="A206" s="40" t="s">
        <v>146</v>
      </c>
      <c r="B206" s="14">
        <v>1</v>
      </c>
      <c r="C206" s="40">
        <v>40</v>
      </c>
      <c r="D206" s="14">
        <v>1822</v>
      </c>
      <c r="E206" s="12">
        <f t="shared" si="318"/>
        <v>47.476582606586241</v>
      </c>
      <c r="F206" s="12">
        <f t="shared" si="319"/>
        <v>1.4460765161325673</v>
      </c>
      <c r="G206" s="12">
        <f t="shared" si="320"/>
        <v>17.590550190372106</v>
      </c>
      <c r="H206" s="12">
        <f t="shared" si="321"/>
        <v>33.704251719923995</v>
      </c>
      <c r="I206" s="12">
        <f t="shared" si="322"/>
        <v>1.6248469920849429</v>
      </c>
      <c r="J206" s="12">
        <f t="shared" si="323"/>
        <v>31.919453253462866</v>
      </c>
      <c r="K206" s="13">
        <f t="shared" si="324"/>
        <v>2.6057399893845357E-2</v>
      </c>
      <c r="L206" s="13">
        <f t="shared" si="325"/>
        <v>82.854081227377819</v>
      </c>
      <c r="M206" s="13">
        <f t="shared" si="326"/>
        <v>9.6545280957036801E-3</v>
      </c>
      <c r="N206" s="13">
        <f t="shared" si="327"/>
        <v>1.8498491613569701E-2</v>
      </c>
      <c r="O206" s="13">
        <f t="shared" si="328"/>
        <v>93.096875000993904</v>
      </c>
      <c r="P206" s="13">
        <f t="shared" si="329"/>
        <v>1.7518909579288072E-2</v>
      </c>
      <c r="Q206" s="40">
        <v>1444.52</v>
      </c>
      <c r="R206" s="40">
        <v>-135.81399999999999</v>
      </c>
      <c r="S206" s="40">
        <v>1445.85</v>
      </c>
      <c r="T206" s="40">
        <v>-169.49199999999999</v>
      </c>
      <c r="U206" s="40">
        <v>1479.08</v>
      </c>
      <c r="V206" s="40">
        <v>-135.81399999999999</v>
      </c>
      <c r="W206" s="40">
        <v>1479.67</v>
      </c>
      <c r="X206" s="40">
        <v>-167.72800000000001</v>
      </c>
      <c r="Y206" s="40">
        <v>1464.28</v>
      </c>
      <c r="Z206" s="40">
        <v>-152.64400000000001</v>
      </c>
      <c r="AA206" s="40">
        <v>1464.76</v>
      </c>
      <c r="AB206" s="40">
        <v>-161.273</v>
      </c>
      <c r="AC206" s="40">
        <v>1464.28</v>
      </c>
      <c r="AD206" s="40">
        <v>-143.68899999999999</v>
      </c>
      <c r="AG206" s="14" t="s">
        <v>227</v>
      </c>
      <c r="AH206" s="14" t="s">
        <v>227</v>
      </c>
      <c r="AI206" s="14" t="s">
        <v>222</v>
      </c>
      <c r="AJ206" s="55">
        <v>7.2635964748452104E-5</v>
      </c>
      <c r="AK206" s="55">
        <v>9.6860631915568E-5</v>
      </c>
      <c r="AL206" s="55">
        <v>4.0991853441472103E-5</v>
      </c>
      <c r="AM206" s="55">
        <v>3.6842262697293101E-5</v>
      </c>
      <c r="AN206" s="51">
        <v>0.45920754558305199</v>
      </c>
    </row>
    <row r="207" spans="1:40" x14ac:dyDescent="0.35">
      <c r="A207" s="40" t="s">
        <v>146</v>
      </c>
      <c r="B207" s="14">
        <v>1</v>
      </c>
      <c r="C207" s="40">
        <v>50</v>
      </c>
      <c r="D207" s="14">
        <v>1822</v>
      </c>
      <c r="E207" s="12">
        <f t="shared" si="318"/>
        <v>48.807602440603524</v>
      </c>
      <c r="F207" s="12">
        <f t="shared" si="319"/>
        <v>1.6151196765626776</v>
      </c>
      <c r="G207" s="12">
        <f t="shared" si="320"/>
        <v>19.845004308389534</v>
      </c>
      <c r="H207" s="12">
        <f t="shared" si="321"/>
        <v>33.693609126954634</v>
      </c>
      <c r="I207" s="12">
        <f t="shared" si="322"/>
        <v>1.4754663772062144</v>
      </c>
      <c r="J207" s="12">
        <f t="shared" si="323"/>
        <v>33.857548774239412</v>
      </c>
      <c r="K207" s="13">
        <f t="shared" si="324"/>
        <v>2.6787926696269771E-2</v>
      </c>
      <c r="L207" s="13">
        <f t="shared" si="325"/>
        <v>92.539540875576023</v>
      </c>
      <c r="M207" s="13">
        <f t="shared" si="326"/>
        <v>1.0891879422826309E-2</v>
      </c>
      <c r="N207" s="13">
        <f t="shared" si="327"/>
        <v>1.8492650453871919E-2</v>
      </c>
      <c r="O207" s="13">
        <f t="shared" si="328"/>
        <v>84.537996227373625</v>
      </c>
      <c r="P207" s="13">
        <f t="shared" si="329"/>
        <v>1.8582628306388262E-2</v>
      </c>
      <c r="Q207" s="40">
        <v>1255.0899999999999</v>
      </c>
      <c r="R207" s="40">
        <v>-173.82300000000001</v>
      </c>
      <c r="S207" s="40">
        <v>1262.95</v>
      </c>
      <c r="T207" s="40">
        <v>-206.58699999999999</v>
      </c>
      <c r="U207" s="40">
        <v>1289.58</v>
      </c>
      <c r="V207" s="40">
        <v>-166.542</v>
      </c>
      <c r="W207" s="40">
        <v>1296.48</v>
      </c>
      <c r="X207" s="40">
        <v>-199.68899999999999</v>
      </c>
      <c r="Y207" s="40">
        <v>1274.81</v>
      </c>
      <c r="Z207" s="40">
        <v>-186.977</v>
      </c>
      <c r="AA207" s="40">
        <v>1276.8599999999999</v>
      </c>
      <c r="AB207" s="40">
        <v>-196.285</v>
      </c>
      <c r="AC207" s="40">
        <v>1272.99</v>
      </c>
      <c r="AD207" s="40">
        <v>-176.821</v>
      </c>
      <c r="AG207" s="14" t="s">
        <v>227</v>
      </c>
      <c r="AH207" s="14" t="s">
        <v>227</v>
      </c>
      <c r="AI207" s="14" t="s">
        <v>222</v>
      </c>
      <c r="AJ207" s="55">
        <v>9.4976312504443404E-5</v>
      </c>
      <c r="AK207" s="55">
        <v>8.1742063401215096E-5</v>
      </c>
      <c r="AL207" s="55">
        <v>3.5203790481262697E-5</v>
      </c>
      <c r="AM207" s="55">
        <v>3.7575094496946203E-5</v>
      </c>
      <c r="AN207" s="51">
        <v>0.41183541103310101</v>
      </c>
    </row>
    <row r="208" spans="1:40" x14ac:dyDescent="0.35">
      <c r="A208" s="40" t="s">
        <v>146</v>
      </c>
      <c r="B208" s="14">
        <v>1</v>
      </c>
      <c r="C208" s="40">
        <v>60</v>
      </c>
      <c r="D208" s="14">
        <v>1822</v>
      </c>
      <c r="E208" s="12">
        <f t="shared" si="318"/>
        <v>52.29835550951865</v>
      </c>
      <c r="F208" s="12">
        <f t="shared" si="319"/>
        <v>1.533977609335669</v>
      </c>
      <c r="G208" s="12">
        <f t="shared" si="320"/>
        <v>21.0441499947135</v>
      </c>
      <c r="H208" s="12">
        <f t="shared" si="321"/>
        <v>35.745374651834332</v>
      </c>
      <c r="I208" s="12">
        <f t="shared" si="322"/>
        <v>1.523523369720551</v>
      </c>
      <c r="J208" s="12">
        <f t="shared" si="323"/>
        <v>35.912334705501934</v>
      </c>
      <c r="K208" s="13">
        <f t="shared" si="324"/>
        <v>2.8703817513456999E-2</v>
      </c>
      <c r="L208" s="13">
        <f t="shared" si="325"/>
        <v>87.890442882501617</v>
      </c>
      <c r="M208" s="13">
        <f t="shared" si="326"/>
        <v>1.155002743946954E-2</v>
      </c>
      <c r="N208" s="13">
        <f t="shared" si="327"/>
        <v>1.9618756669502926E-2</v>
      </c>
      <c r="O208" s="13">
        <f t="shared" si="328"/>
        <v>87.291459074536903</v>
      </c>
      <c r="P208" s="13">
        <f t="shared" si="329"/>
        <v>1.9710392264271095E-2</v>
      </c>
      <c r="Q208" s="40">
        <v>1059.05</v>
      </c>
      <c r="R208" s="40">
        <v>-196.43199999999999</v>
      </c>
      <c r="S208" s="40">
        <v>1060.79</v>
      </c>
      <c r="T208" s="40">
        <v>-232.13499999999999</v>
      </c>
      <c r="U208" s="40">
        <v>1096.49</v>
      </c>
      <c r="V208" s="40">
        <v>-195.387</v>
      </c>
      <c r="W208" s="40">
        <v>1098.06</v>
      </c>
      <c r="X208" s="40">
        <v>-231.26499999999999</v>
      </c>
      <c r="Y208" s="40">
        <v>1078.46</v>
      </c>
      <c r="Z208" s="40">
        <v>-213.96</v>
      </c>
      <c r="AA208" s="40">
        <v>1078.68</v>
      </c>
      <c r="AB208" s="40">
        <v>-223.81700000000001</v>
      </c>
      <c r="AC208" s="40">
        <v>1078.46</v>
      </c>
      <c r="AD208" s="40">
        <v>-202.774</v>
      </c>
      <c r="AG208" s="14" t="s">
        <v>227</v>
      </c>
      <c r="AH208" s="14" t="s">
        <v>227</v>
      </c>
      <c r="AI208" s="14" t="s">
        <v>222</v>
      </c>
      <c r="AJ208" s="51">
        <v>1.01822937062684E-4</v>
      </c>
      <c r="AK208" s="55">
        <v>9.9783068207697306E-5</v>
      </c>
      <c r="AL208" s="55">
        <v>3.8818142027976301E-5</v>
      </c>
      <c r="AM208" s="55">
        <v>4.4348733192677202E-5</v>
      </c>
      <c r="AN208" s="51">
        <v>0.41252181505761898</v>
      </c>
    </row>
    <row r="209" spans="1:40" x14ac:dyDescent="0.35">
      <c r="A209" s="40" t="s">
        <v>146</v>
      </c>
      <c r="B209" s="14">
        <v>1</v>
      </c>
      <c r="C209" s="40">
        <v>70</v>
      </c>
      <c r="D209" s="14">
        <v>1822</v>
      </c>
      <c r="E209" s="12">
        <f t="shared" si="318"/>
        <v>51.568543948806649</v>
      </c>
      <c r="F209" s="12">
        <f t="shared" si="319"/>
        <v>1.5400742825240334</v>
      </c>
      <c r="G209" s="12">
        <f t="shared" si="320"/>
        <v>20.527129487583018</v>
      </c>
      <c r="H209" s="12">
        <f t="shared" si="321"/>
        <v>36.489983283087426</v>
      </c>
      <c r="I209" s="12">
        <f t="shared" si="322"/>
        <v>1.4666347339342629</v>
      </c>
      <c r="J209" s="12">
        <f t="shared" si="323"/>
        <v>33.557868779170114</v>
      </c>
      <c r="K209" s="13">
        <f t="shared" si="324"/>
        <v>2.8303262320969622E-2</v>
      </c>
      <c r="L209" s="13">
        <f t="shared" si="325"/>
        <v>88.239756525265463</v>
      </c>
      <c r="M209" s="13">
        <f t="shared" si="326"/>
        <v>1.1266262067828221E-2</v>
      </c>
      <c r="N209" s="13">
        <f t="shared" si="327"/>
        <v>2.0027433195986512E-2</v>
      </c>
      <c r="O209" s="13">
        <f t="shared" si="328"/>
        <v>84.031980341725671</v>
      </c>
      <c r="P209" s="13">
        <f t="shared" si="329"/>
        <v>1.841814971414386E-2</v>
      </c>
      <c r="Q209" s="40">
        <v>895.43799999999999</v>
      </c>
      <c r="R209" s="40">
        <v>-187.202</v>
      </c>
      <c r="S209" s="40">
        <v>891.64200000000005</v>
      </c>
      <c r="T209" s="40">
        <v>-223.494</v>
      </c>
      <c r="U209" s="40">
        <v>932.33699999999999</v>
      </c>
      <c r="V209" s="40">
        <v>-192.821</v>
      </c>
      <c r="W209" s="40">
        <v>929.14800000000002</v>
      </c>
      <c r="X209" s="40">
        <v>-226.227</v>
      </c>
      <c r="Y209" s="40">
        <v>912.25699999999995</v>
      </c>
      <c r="Z209" s="40">
        <v>-207.25899999999999</v>
      </c>
      <c r="AA209" s="40">
        <v>911.69200000000001</v>
      </c>
      <c r="AB209" s="40">
        <v>-217.54900000000001</v>
      </c>
      <c r="AC209" s="40">
        <v>913.27499999999998</v>
      </c>
      <c r="AD209" s="40">
        <v>-197.083</v>
      </c>
      <c r="AG209" s="14" t="s">
        <v>227</v>
      </c>
      <c r="AH209" s="14" t="s">
        <v>227</v>
      </c>
      <c r="AI209" s="14" t="s">
        <v>222</v>
      </c>
      <c r="AJ209" s="55">
        <v>9.40977662331719E-5</v>
      </c>
      <c r="AK209" s="51">
        <v>1.03403143190737E-4</v>
      </c>
      <c r="AL209" s="55">
        <v>3.9818988192852102E-5</v>
      </c>
      <c r="AM209" s="55">
        <v>4.1836786272428301E-5</v>
      </c>
      <c r="AN209" s="51">
        <v>0.413445055536516</v>
      </c>
    </row>
    <row r="210" spans="1:40" x14ac:dyDescent="0.35">
      <c r="A210" s="40" t="s">
        <v>146</v>
      </c>
      <c r="B210" s="14">
        <v>1</v>
      </c>
      <c r="C210" s="40">
        <v>80</v>
      </c>
      <c r="D210" s="14">
        <v>1822</v>
      </c>
      <c r="E210" s="12">
        <f t="shared" si="318"/>
        <v>50.904454991680304</v>
      </c>
      <c r="F210" s="12">
        <f t="shared" si="319"/>
        <v>1.5010252598041578</v>
      </c>
      <c r="G210" s="12">
        <f t="shared" si="320"/>
        <v>20.549581528585925</v>
      </c>
      <c r="H210" s="12">
        <f t="shared" si="321"/>
        <v>34.18586452029551</v>
      </c>
      <c r="I210" s="12">
        <f t="shared" si="322"/>
        <v>1.5342846520757909</v>
      </c>
      <c r="J210" s="12">
        <f t="shared" si="323"/>
        <v>34.857225377244241</v>
      </c>
      <c r="K210" s="13">
        <f t="shared" si="324"/>
        <v>2.7938778809923327E-2</v>
      </c>
      <c r="L210" s="13">
        <f t="shared" si="325"/>
        <v>86.002412329306139</v>
      </c>
      <c r="M210" s="13">
        <f t="shared" si="326"/>
        <v>1.1278584812615766E-2</v>
      </c>
      <c r="N210" s="13">
        <f t="shared" si="327"/>
        <v>1.8762823556693474E-2</v>
      </c>
      <c r="O210" s="13">
        <f t="shared" si="328"/>
        <v>87.908035135640745</v>
      </c>
      <c r="P210" s="13">
        <f t="shared" si="329"/>
        <v>1.9131298231198815E-2</v>
      </c>
      <c r="Q210" s="40">
        <v>694.17</v>
      </c>
      <c r="R210" s="40">
        <v>-178.28200000000001</v>
      </c>
      <c r="S210" s="40">
        <v>692.01700000000005</v>
      </c>
      <c r="T210" s="40">
        <v>-212.4</v>
      </c>
      <c r="U210" s="40">
        <v>730.44200000000001</v>
      </c>
      <c r="V210" s="40">
        <v>-181.429</v>
      </c>
      <c r="W210" s="40">
        <v>728.12300000000005</v>
      </c>
      <c r="X210" s="40">
        <v>-216.209</v>
      </c>
      <c r="Y210" s="40">
        <v>711.404</v>
      </c>
      <c r="Z210" s="40">
        <v>-196.16300000000001</v>
      </c>
      <c r="AA210" s="40">
        <v>711.30799999999999</v>
      </c>
      <c r="AB210" s="40">
        <v>-206.333</v>
      </c>
      <c r="AC210" s="40">
        <v>712.08199999999999</v>
      </c>
      <c r="AD210" s="40">
        <v>-185.798</v>
      </c>
      <c r="AG210" s="14" t="s">
        <v>227</v>
      </c>
      <c r="AH210" s="14" t="s">
        <v>227</v>
      </c>
      <c r="AI210" s="14" t="s">
        <v>222</v>
      </c>
      <c r="AJ210" s="55">
        <v>9.4583323894684103E-5</v>
      </c>
      <c r="AK210" s="55">
        <v>9.4359494006055906E-5</v>
      </c>
      <c r="AL210" s="55">
        <v>3.2571065197771902E-5</v>
      </c>
      <c r="AM210" s="55">
        <v>4.4060597484579798E-5</v>
      </c>
      <c r="AN210" s="51">
        <v>0.40558124163581399</v>
      </c>
    </row>
    <row r="211" spans="1:40" x14ac:dyDescent="0.35">
      <c r="A211" s="40" t="s">
        <v>146</v>
      </c>
      <c r="B211" s="14">
        <v>1</v>
      </c>
      <c r="C211" s="40">
        <v>90</v>
      </c>
      <c r="D211" s="14">
        <v>1822</v>
      </c>
      <c r="E211" s="12">
        <f t="shared" si="318"/>
        <v>47.764916465958578</v>
      </c>
      <c r="F211" s="12">
        <f t="shared" si="319"/>
        <v>1.4923630901954283</v>
      </c>
      <c r="G211" s="12">
        <f t="shared" si="320"/>
        <v>18.32696562445625</v>
      </c>
      <c r="H211" s="12">
        <f t="shared" si="321"/>
        <v>32.341216504640002</v>
      </c>
      <c r="I211" s="12">
        <f t="shared" si="322"/>
        <v>1.4845152167135407</v>
      </c>
      <c r="J211" s="12">
        <f t="shared" si="323"/>
        <v>31.851725510559085</v>
      </c>
      <c r="K211" s="13">
        <f t="shared" si="324"/>
        <v>2.6215651188780779E-2</v>
      </c>
      <c r="L211" s="13">
        <f t="shared" si="325"/>
        <v>85.506106569299448</v>
      </c>
      <c r="M211" s="13">
        <f t="shared" si="326"/>
        <v>1.005870780705612E-2</v>
      </c>
      <c r="N211" s="13">
        <f t="shared" si="327"/>
        <v>1.7750393251723381E-2</v>
      </c>
      <c r="O211" s="13">
        <f t="shared" si="328"/>
        <v>85.056456540634656</v>
      </c>
      <c r="P211" s="13">
        <f t="shared" si="329"/>
        <v>1.7481737382304657E-2</v>
      </c>
      <c r="Q211" s="40">
        <v>546.89499999999998</v>
      </c>
      <c r="R211" s="40">
        <v>-146.072</v>
      </c>
      <c r="S211" s="40">
        <v>538.08100000000002</v>
      </c>
      <c r="T211" s="40">
        <v>-177.18899999999999</v>
      </c>
      <c r="U211" s="40">
        <v>580.53</v>
      </c>
      <c r="V211" s="40">
        <v>-157.404</v>
      </c>
      <c r="W211" s="40">
        <v>570.45699999999999</v>
      </c>
      <c r="X211" s="40">
        <v>-187.62100000000001</v>
      </c>
      <c r="Y211" s="40">
        <v>558.66200000000003</v>
      </c>
      <c r="Z211" s="40">
        <v>-168.267</v>
      </c>
      <c r="AA211" s="40">
        <v>556.601</v>
      </c>
      <c r="AB211" s="40">
        <v>-176.87200000000001</v>
      </c>
      <c r="AC211" s="40">
        <v>561.46400000000006</v>
      </c>
      <c r="AD211" s="40">
        <v>-159.202</v>
      </c>
      <c r="AG211" s="14" t="s">
        <v>227</v>
      </c>
      <c r="AH211" s="14" t="s">
        <v>227</v>
      </c>
      <c r="AI211" s="14" t="s">
        <v>222</v>
      </c>
      <c r="AJ211" s="55">
        <v>8.3044403774575894E-5</v>
      </c>
      <c r="AK211" s="55">
        <v>8.4613545897742196E-5</v>
      </c>
      <c r="AL211" s="55">
        <v>4.16502959317813E-5</v>
      </c>
      <c r="AM211" s="55">
        <v>3.0645060192476101E-5</v>
      </c>
      <c r="AN211" s="51">
        <v>0.43120744507228098</v>
      </c>
    </row>
    <row r="212" spans="1:40" x14ac:dyDescent="0.35">
      <c r="A212" s="40" t="s">
        <v>150</v>
      </c>
      <c r="B212" s="14">
        <v>1</v>
      </c>
      <c r="C212" s="40">
        <v>40</v>
      </c>
      <c r="D212" s="14">
        <v>1107</v>
      </c>
      <c r="E212" s="12">
        <f t="shared" ref="E212:E217" si="330">DIST2(Q212,R212,W212,X212)</f>
        <v>39.925807656201499</v>
      </c>
      <c r="F212" s="12">
        <f t="shared" ref="F212:F217" si="331">ACOS((DIST2(Y212,Z212,S212,T212)^2 + DIST2(Y212,Z212,Q212,R212)^2 - DIST2(Q212,R212,S212,T212)^2)/(2*DIST2(Y212,Z212,S212,T212) * DIST2(Y212,Z212,Q212,R212)))</f>
        <v>1.0488645973093567</v>
      </c>
      <c r="G212" s="12">
        <f t="shared" ref="G212:G217" si="332">DIST2(AA212,AB212,AC212,AD212)</f>
        <v>3.7302848416709669</v>
      </c>
      <c r="H212" s="12">
        <f t="shared" ref="H212:H217" si="333">DIST2(Q212,R212,S212,T212)</f>
        <v>22.368162553057402</v>
      </c>
      <c r="I212" s="12">
        <f t="shared" ref="I212:I217" si="334">ACOS((DIST2(Y212,Z212,W212,X212)^2 + DIST2(Y212,Z212,U212,V212)^2 - DIST2(U212,V212,W212,X212)^2)/(2*DIST2(Y212,Z212,W212,X212) * DIST2(Y212,Z212,U212,V212)))</f>
        <v>1.3139808725722573</v>
      </c>
      <c r="J212" s="12">
        <f t="shared" ref="J212:J217" si="335">DIST2(U212,V212,W212,X212)</f>
        <v>22.164876358779907</v>
      </c>
      <c r="K212" s="13">
        <f t="shared" ref="K212:K217" si="336">E212/D212</f>
        <v>3.6066673582837848E-2</v>
      </c>
      <c r="L212" s="13">
        <f t="shared" ref="L212:L217" si="337">F212*180/PI()</f>
        <v>60.095514706514777</v>
      </c>
      <c r="M212" s="13">
        <f t="shared" ref="M212:M217" si="338">G212/D212</f>
        <v>3.3697243375528157E-3</v>
      </c>
      <c r="N212" s="13">
        <f t="shared" ref="N212:N217" si="339">H212/D212</f>
        <v>2.0206108900684194E-2</v>
      </c>
      <c r="O212" s="13">
        <f t="shared" ref="O212:O217" si="340">I212*180/PI()</f>
        <v>75.285558359307572</v>
      </c>
      <c r="P212" s="13">
        <f t="shared" ref="P212:P217" si="341">J212/D212</f>
        <v>2.0022471868816536E-2</v>
      </c>
      <c r="Q212" s="40">
        <v>984.87099999999998</v>
      </c>
      <c r="R212" s="40">
        <v>223.31899999999999</v>
      </c>
      <c r="S212" s="40">
        <v>979.80100000000004</v>
      </c>
      <c r="T212" s="40">
        <v>201.53299999999999</v>
      </c>
      <c r="U212" s="40">
        <v>1017.89</v>
      </c>
      <c r="V212" s="40">
        <v>216.05699999999999</v>
      </c>
      <c r="W212" s="40">
        <v>1012.55</v>
      </c>
      <c r="X212" s="40">
        <v>194.54499999999999</v>
      </c>
      <c r="Y212" s="40">
        <v>1001.37</v>
      </c>
      <c r="Z212" s="40">
        <v>209.12200000000001</v>
      </c>
      <c r="AA212" s="40">
        <v>1001.06</v>
      </c>
      <c r="AB212" s="40">
        <v>207.44399999999999</v>
      </c>
      <c r="AC212" s="40">
        <v>1001.94</v>
      </c>
      <c r="AD212" s="40">
        <v>211.06899999999999</v>
      </c>
      <c r="AG212" s="14" t="s">
        <v>223</v>
      </c>
      <c r="AH212" s="14" t="s">
        <v>225</v>
      </c>
      <c r="AI212" s="14" t="s">
        <v>223</v>
      </c>
      <c r="AJ212" s="51">
        <v>1.2988926507753501E-4</v>
      </c>
      <c r="AK212" s="51">
        <v>1.7602772698006999E-4</v>
      </c>
      <c r="AL212" s="51">
        <v>1.1445913783437701E-4</v>
      </c>
      <c r="AM212" s="51">
        <v>1.3959668293009301E-4</v>
      </c>
      <c r="AN212" s="51">
        <v>0.83047306086427197</v>
      </c>
    </row>
    <row r="213" spans="1:40" x14ac:dyDescent="0.35">
      <c r="A213" s="40" t="s">
        <v>150</v>
      </c>
      <c r="B213" s="14">
        <v>1</v>
      </c>
      <c r="C213" s="40">
        <v>50</v>
      </c>
      <c r="D213" s="14">
        <v>1107</v>
      </c>
      <c r="E213" s="12">
        <f t="shared" si="330"/>
        <v>43.941752138484411</v>
      </c>
      <c r="F213" s="12">
        <f t="shared" si="331"/>
        <v>0.91450311172323095</v>
      </c>
      <c r="G213" s="12">
        <f t="shared" si="332"/>
        <v>1.4440945259919815</v>
      </c>
      <c r="H213" s="12">
        <f t="shared" si="333"/>
        <v>19.473584159060184</v>
      </c>
      <c r="I213" s="12">
        <f t="shared" si="334"/>
        <v>1.0321041029786211</v>
      </c>
      <c r="J213" s="12">
        <f t="shared" si="335"/>
        <v>21.749806458909021</v>
      </c>
      <c r="K213" s="13">
        <f t="shared" si="336"/>
        <v>3.9694446376228015E-2</v>
      </c>
      <c r="L213" s="13">
        <f t="shared" si="337"/>
        <v>52.397168653321934</v>
      </c>
      <c r="M213" s="13">
        <f t="shared" si="338"/>
        <v>1.304511766930426E-3</v>
      </c>
      <c r="N213" s="13">
        <f t="shared" si="339"/>
        <v>1.7591313603487067E-2</v>
      </c>
      <c r="O213" s="13">
        <f t="shared" si="340"/>
        <v>59.135209118810685</v>
      </c>
      <c r="P213" s="13">
        <f t="shared" si="341"/>
        <v>1.964752164309758E-2</v>
      </c>
      <c r="Q213" s="40">
        <v>839.63099999999997</v>
      </c>
      <c r="R213" s="40">
        <v>254.43</v>
      </c>
      <c r="S213" s="40">
        <v>835.77499999999998</v>
      </c>
      <c r="T213" s="40">
        <v>235.34200000000001</v>
      </c>
      <c r="U213" s="40">
        <v>878.19200000000001</v>
      </c>
      <c r="V213" s="40">
        <v>247.489</v>
      </c>
      <c r="W213" s="40">
        <v>873.37199999999996</v>
      </c>
      <c r="X213" s="40">
        <v>226.28</v>
      </c>
      <c r="Y213" s="40">
        <v>856.90899999999999</v>
      </c>
      <c r="Z213" s="40">
        <v>240.16200000000001</v>
      </c>
      <c r="AA213" s="40">
        <v>856.83699999999999</v>
      </c>
      <c r="AB213" s="40">
        <v>239.44800000000001</v>
      </c>
      <c r="AC213" s="40">
        <v>857.05200000000002</v>
      </c>
      <c r="AD213" s="40">
        <v>240.876</v>
      </c>
      <c r="AG213" s="14" t="s">
        <v>223</v>
      </c>
      <c r="AH213" s="14" t="s">
        <v>225</v>
      </c>
      <c r="AI213" s="14" t="s">
        <v>223</v>
      </c>
      <c r="AJ213" s="51">
        <v>1.6976430965303299E-4</v>
      </c>
      <c r="AK213" s="51">
        <v>1.5701178588419399E-4</v>
      </c>
      <c r="AL213" s="51">
        <v>1.6391405639891999E-4</v>
      </c>
      <c r="AM213" s="51">
        <v>1.40861482607599E-4</v>
      </c>
      <c r="AN213" s="51">
        <v>0.93267391087913298</v>
      </c>
    </row>
    <row r="214" spans="1:40" x14ac:dyDescent="0.35">
      <c r="A214" s="40" t="s">
        <v>150</v>
      </c>
      <c r="B214" s="14">
        <v>1</v>
      </c>
      <c r="C214" s="40">
        <v>60</v>
      </c>
      <c r="D214" s="14">
        <v>1107</v>
      </c>
      <c r="E214" s="12">
        <f t="shared" si="330"/>
        <v>46.857866201951587</v>
      </c>
      <c r="F214" s="12">
        <f t="shared" si="331"/>
        <v>1.1004323890201253</v>
      </c>
      <c r="G214" s="12">
        <f t="shared" si="332"/>
        <v>2.6398070005210155</v>
      </c>
      <c r="H214" s="12">
        <f t="shared" si="333"/>
        <v>24.81910886796706</v>
      </c>
      <c r="I214" s="12">
        <f t="shared" si="334"/>
        <v>0.87561581788488885</v>
      </c>
      <c r="J214" s="12">
        <f t="shared" si="335"/>
        <v>19.701442612154089</v>
      </c>
      <c r="K214" s="13">
        <f t="shared" si="336"/>
        <v>4.232869575605383E-2</v>
      </c>
      <c r="L214" s="13">
        <f t="shared" si="337"/>
        <v>63.050131530351536</v>
      </c>
      <c r="M214" s="13">
        <f t="shared" si="338"/>
        <v>2.3846495036323537E-3</v>
      </c>
      <c r="N214" s="13">
        <f t="shared" si="339"/>
        <v>2.2420152545589035E-2</v>
      </c>
      <c r="O214" s="13">
        <f t="shared" si="340"/>
        <v>50.169090839699841</v>
      </c>
      <c r="P214" s="13">
        <f t="shared" si="341"/>
        <v>1.7797147797790507E-2</v>
      </c>
      <c r="Q214" s="40">
        <v>722.03200000000004</v>
      </c>
      <c r="R214" s="40">
        <v>272.93400000000003</v>
      </c>
      <c r="S214" s="40">
        <v>719.49400000000003</v>
      </c>
      <c r="T214" s="40">
        <v>248.245</v>
      </c>
      <c r="U214" s="40">
        <v>763.10400000000004</v>
      </c>
      <c r="V214" s="40">
        <v>265.55</v>
      </c>
      <c r="W214" s="40">
        <v>760.4</v>
      </c>
      <c r="X214" s="40">
        <v>246.035</v>
      </c>
      <c r="Y214" s="40">
        <v>740.89300000000003</v>
      </c>
      <c r="Z214" s="40">
        <v>258.57400000000001</v>
      </c>
      <c r="AA214" s="40">
        <v>740.89300000000003</v>
      </c>
      <c r="AB214" s="40">
        <v>257.34500000000003</v>
      </c>
      <c r="AC214" s="40">
        <v>741.06799999999998</v>
      </c>
      <c r="AD214" s="40">
        <v>259.97899999999998</v>
      </c>
      <c r="AG214" s="14" t="s">
        <v>223</v>
      </c>
      <c r="AH214" s="14" t="s">
        <v>225</v>
      </c>
      <c r="AI214" s="14" t="s">
        <v>223</v>
      </c>
      <c r="AJ214" s="51">
        <v>1.6915618724239E-4</v>
      </c>
      <c r="AK214" s="51">
        <v>2.0486568963702301E-4</v>
      </c>
      <c r="AL214" s="51">
        <v>1.5974795197515399E-4</v>
      </c>
      <c r="AM214" s="51">
        <v>1.71176601392633E-4</v>
      </c>
      <c r="AN214" s="51">
        <v>0.88477325478605295</v>
      </c>
    </row>
    <row r="215" spans="1:40" x14ac:dyDescent="0.35">
      <c r="A215" s="40" t="s">
        <v>150</v>
      </c>
      <c r="B215" s="14">
        <v>1</v>
      </c>
      <c r="C215" s="40">
        <v>70</v>
      </c>
      <c r="D215" s="14">
        <v>1107</v>
      </c>
      <c r="E215" s="12">
        <f t="shared" si="330"/>
        <v>48.595030877652512</v>
      </c>
      <c r="F215" s="12">
        <f t="shared" si="331"/>
        <v>1.0783459005660998</v>
      </c>
      <c r="G215" s="12">
        <f t="shared" si="332"/>
        <v>1.5018019176975514</v>
      </c>
      <c r="H215" s="12">
        <f t="shared" si="333"/>
        <v>24.701144690074582</v>
      </c>
      <c r="I215" s="12">
        <f t="shared" si="334"/>
        <v>1.0416195001272124</v>
      </c>
      <c r="J215" s="12">
        <f t="shared" si="335"/>
        <v>24.418091755909163</v>
      </c>
      <c r="K215" s="13">
        <f t="shared" si="336"/>
        <v>4.3897950205648156E-2</v>
      </c>
      <c r="L215" s="13">
        <f t="shared" si="337"/>
        <v>61.78466895767145</v>
      </c>
      <c r="M215" s="13">
        <f t="shared" si="338"/>
        <v>1.3566412987331088E-3</v>
      </c>
      <c r="N215" s="13">
        <f t="shared" si="339"/>
        <v>2.2313590505939097E-2</v>
      </c>
      <c r="O215" s="13">
        <f t="shared" si="340"/>
        <v>59.680401215815792</v>
      </c>
      <c r="P215" s="13">
        <f t="shared" si="341"/>
        <v>2.2057896798472594E-2</v>
      </c>
      <c r="Q215" s="40">
        <v>637.85799999999995</v>
      </c>
      <c r="R215" s="40">
        <v>281.41199999999998</v>
      </c>
      <c r="S215" s="40">
        <v>635.83299999999997</v>
      </c>
      <c r="T215" s="40">
        <v>256.79399999999998</v>
      </c>
      <c r="U215" s="40">
        <v>679.77</v>
      </c>
      <c r="V215" s="40">
        <v>277.517</v>
      </c>
      <c r="W215" s="40">
        <v>677.43299999999999</v>
      </c>
      <c r="X215" s="40">
        <v>253.21100000000001</v>
      </c>
      <c r="Y215" s="40">
        <v>657.39099999999996</v>
      </c>
      <c r="Z215" s="40">
        <v>267.11399999999998</v>
      </c>
      <c r="AA215" s="40">
        <v>657.39099999999996</v>
      </c>
      <c r="AB215" s="40">
        <v>266.33499999999998</v>
      </c>
      <c r="AC215" s="40">
        <v>657.51099999999997</v>
      </c>
      <c r="AD215" s="40">
        <v>267.83199999999999</v>
      </c>
      <c r="AG215" s="14" t="s">
        <v>223</v>
      </c>
      <c r="AH215" s="14" t="s">
        <v>225</v>
      </c>
      <c r="AI215" s="14" t="s">
        <v>223</v>
      </c>
      <c r="AJ215" s="51">
        <v>2.1201704966914201E-4</v>
      </c>
      <c r="AK215" s="51">
        <v>2.0801226489229699E-4</v>
      </c>
      <c r="AL215" s="51">
        <v>2.0099429882434899E-4</v>
      </c>
      <c r="AM215" s="51">
        <v>1.93458852224776E-4</v>
      </c>
      <c r="AN215" s="51">
        <v>0.93910862259931205</v>
      </c>
    </row>
    <row r="216" spans="1:40" x14ac:dyDescent="0.35">
      <c r="A216" s="40" t="s">
        <v>150</v>
      </c>
      <c r="B216" s="14">
        <v>1</v>
      </c>
      <c r="C216" s="40">
        <v>80</v>
      </c>
      <c r="D216" s="14">
        <v>1107</v>
      </c>
      <c r="E216" s="12">
        <f t="shared" si="330"/>
        <v>51.852883902440773</v>
      </c>
      <c r="F216" s="12">
        <f t="shared" si="331"/>
        <v>1.0122509536014528</v>
      </c>
      <c r="G216" s="12">
        <f t="shared" si="332"/>
        <v>2.1759999999999877</v>
      </c>
      <c r="H216" s="12">
        <f t="shared" si="333"/>
        <v>25.737560898422387</v>
      </c>
      <c r="I216" s="12">
        <f t="shared" si="334"/>
        <v>1.0624913058919341</v>
      </c>
      <c r="J216" s="12">
        <f t="shared" si="335"/>
        <v>25.562750732266664</v>
      </c>
      <c r="K216" s="13">
        <f t="shared" si="336"/>
        <v>4.6840906867606842E-2</v>
      </c>
      <c r="L216" s="13">
        <f t="shared" si="337"/>
        <v>57.997707449456165</v>
      </c>
      <c r="M216" s="13">
        <f t="shared" si="338"/>
        <v>1.9656729900632227E-3</v>
      </c>
      <c r="N216" s="13">
        <f t="shared" si="339"/>
        <v>2.3249829176533322E-2</v>
      </c>
      <c r="O216" s="13">
        <f t="shared" si="340"/>
        <v>60.876267596951159</v>
      </c>
      <c r="P216" s="13">
        <f t="shared" si="341"/>
        <v>2.3091915747305028E-2</v>
      </c>
      <c r="Q216" s="40">
        <v>542.48</v>
      </c>
      <c r="R216" s="40">
        <v>287.33100000000002</v>
      </c>
      <c r="S216" s="40">
        <v>541.67600000000004</v>
      </c>
      <c r="T216" s="40">
        <v>261.60599999999999</v>
      </c>
      <c r="U216" s="40">
        <v>587.69899999999996</v>
      </c>
      <c r="V216" s="40">
        <v>285.12</v>
      </c>
      <c r="W216" s="40">
        <v>586.29200000000003</v>
      </c>
      <c r="X216" s="40">
        <v>259.596</v>
      </c>
      <c r="Y216" s="40">
        <v>565.26700000000005</v>
      </c>
      <c r="Z216" s="40">
        <v>273.363</v>
      </c>
      <c r="AA216" s="40">
        <v>565.26700000000005</v>
      </c>
      <c r="AB216" s="40">
        <v>272.10700000000003</v>
      </c>
      <c r="AC216" s="40">
        <v>565.26700000000005</v>
      </c>
      <c r="AD216" s="40">
        <v>274.28300000000002</v>
      </c>
      <c r="AG216" s="14" t="s">
        <v>223</v>
      </c>
      <c r="AH216" s="14" t="s">
        <v>225</v>
      </c>
      <c r="AI216" s="14" t="s">
        <v>223</v>
      </c>
      <c r="AJ216" s="51">
        <v>2.2686063189900101E-4</v>
      </c>
      <c r="AK216" s="51">
        <v>2.4375793974290301E-4</v>
      </c>
      <c r="AL216" s="51">
        <v>2.2017866716607501E-4</v>
      </c>
      <c r="AM216" s="51">
        <v>2.1050673100227001E-4</v>
      </c>
      <c r="AN216" s="51">
        <v>0.91514747636448002</v>
      </c>
    </row>
    <row r="217" spans="1:40" x14ac:dyDescent="0.35">
      <c r="A217" s="40" t="s">
        <v>150</v>
      </c>
      <c r="B217" s="14">
        <v>1</v>
      </c>
      <c r="C217" s="40">
        <v>90</v>
      </c>
      <c r="D217" s="14">
        <v>1107</v>
      </c>
      <c r="E217" s="12">
        <f t="shared" si="330"/>
        <v>50.920152601892305</v>
      </c>
      <c r="F217" s="12">
        <f t="shared" si="331"/>
        <v>1.0877837302963678</v>
      </c>
      <c r="G217" s="12">
        <f t="shared" si="332"/>
        <v>3.0579999999999927</v>
      </c>
      <c r="H217" s="12">
        <f t="shared" si="333"/>
        <v>25.278252570144197</v>
      </c>
      <c r="I217" s="12">
        <f t="shared" si="334"/>
        <v>0.96125553325298396</v>
      </c>
      <c r="J217" s="12">
        <f t="shared" si="335"/>
        <v>24.971531991449787</v>
      </c>
      <c r="K217" s="13">
        <f t="shared" si="336"/>
        <v>4.5998331167021053E-2</v>
      </c>
      <c r="L217" s="13">
        <f t="shared" si="337"/>
        <v>62.325416768978897</v>
      </c>
      <c r="M217" s="13">
        <f t="shared" si="338"/>
        <v>2.762420957542902E-3</v>
      </c>
      <c r="N217" s="13">
        <f t="shared" si="339"/>
        <v>2.28349165041953E-2</v>
      </c>
      <c r="O217" s="13">
        <f t="shared" si="340"/>
        <v>55.075885088993346</v>
      </c>
      <c r="P217" s="13">
        <f t="shared" si="341"/>
        <v>2.2557842810704415E-2</v>
      </c>
      <c r="Q217" s="40">
        <v>388.36</v>
      </c>
      <c r="R217" s="40">
        <v>286.44600000000003</v>
      </c>
      <c r="S217" s="40">
        <v>389.238</v>
      </c>
      <c r="T217" s="40">
        <v>261.18299999999999</v>
      </c>
      <c r="U217" s="40">
        <v>433.66800000000001</v>
      </c>
      <c r="V217" s="40">
        <v>287.863</v>
      </c>
      <c r="W217" s="40">
        <v>433.505</v>
      </c>
      <c r="X217" s="40">
        <v>262.892</v>
      </c>
      <c r="Y217" s="40">
        <v>409.69499999999999</v>
      </c>
      <c r="Z217" s="40">
        <v>274.14699999999999</v>
      </c>
      <c r="AA217" s="40">
        <v>409.53899999999999</v>
      </c>
      <c r="AB217" s="40">
        <v>272.65699999999998</v>
      </c>
      <c r="AC217" s="40">
        <v>409.53899999999999</v>
      </c>
      <c r="AD217" s="40">
        <v>275.71499999999997</v>
      </c>
      <c r="AG217" s="14" t="s">
        <v>223</v>
      </c>
      <c r="AH217" s="14" t="s">
        <v>225</v>
      </c>
      <c r="AI217" s="14" t="s">
        <v>223</v>
      </c>
      <c r="AJ217" s="51">
        <v>2.4333696261533499E-4</v>
      </c>
      <c r="AK217" s="51">
        <v>2.1550777837347801E-4</v>
      </c>
      <c r="AL217" s="51">
        <v>2.10621082966326E-4</v>
      </c>
      <c r="AM217" s="51">
        <v>1.93082351448326E-4</v>
      </c>
      <c r="AN217" s="51">
        <v>0.87982578495869501</v>
      </c>
    </row>
    <row r="218" spans="1:40" x14ac:dyDescent="0.35">
      <c r="A218" s="40" t="s">
        <v>152</v>
      </c>
      <c r="B218" s="14">
        <v>1</v>
      </c>
      <c r="C218" s="40">
        <v>20</v>
      </c>
      <c r="D218" s="14">
        <v>2082</v>
      </c>
      <c r="E218" s="12">
        <f t="shared" ref="E218:E225" si="342">DIST2(Q218,R218,W218,X218)</f>
        <v>44.395550159897788</v>
      </c>
      <c r="F218" s="12">
        <f t="shared" ref="F218:F225" si="343">ACOS((DIST2(Y218,Z218,S218,T218)^2 + DIST2(Y218,Z218,Q218,R218)^2 - DIST2(Q218,R218,S218,T218)^2)/(2*DIST2(Y218,Z218,S218,T218) * DIST2(Y218,Z218,Q218,R218)))</f>
        <v>1.5963553430064157</v>
      </c>
      <c r="G218" s="12">
        <f t="shared" ref="G218:G225" si="344">DIST2(AA218,AB218,AC218,AD218)</f>
        <v>3.9612231696787643</v>
      </c>
      <c r="H218" s="12">
        <f t="shared" ref="H218:H225" si="345">DIST2(Q218,R218,S218,T218)</f>
        <v>32.567459219288203</v>
      </c>
      <c r="I218" s="12">
        <f t="shared" ref="I218:I225" si="346">ACOS((DIST2(Y218,Z218,W218,X218)^2 + DIST2(Y218,Z218,U218,V218)^2 - DIST2(U218,V218,W218,X218)^2)/(2*DIST2(Y218,Z218,W218,X218) * DIST2(Y218,Z218,U218,V218)))</f>
        <v>1.8719413796627058</v>
      </c>
      <c r="J218" s="12">
        <f t="shared" ref="J218:J225" si="347">DIST2(U218,V218,W218,X218)</f>
        <v>34.926777492348201</v>
      </c>
      <c r="K218" s="13">
        <f t="shared" ref="K218:K225" si="348">E218/D218</f>
        <v>2.1323511123870216E-2</v>
      </c>
      <c r="L218" s="13">
        <f t="shared" ref="L218:L225" si="349">F218*180/PI()</f>
        <v>91.464423757426502</v>
      </c>
      <c r="M218" s="13">
        <f t="shared" ref="M218:M225" si="350">G218/D218</f>
        <v>1.9026047885104536E-3</v>
      </c>
      <c r="N218" s="13">
        <f t="shared" ref="N218:N225" si="351">H218/D218</f>
        <v>1.5642391555854084E-2</v>
      </c>
      <c r="O218" s="13">
        <f t="shared" ref="O218:O225" si="352">I218*180/PI()</f>
        <v>107.25434055056951</v>
      </c>
      <c r="P218" s="13">
        <f t="shared" ref="P218:P225" si="353">J218/D218</f>
        <v>1.6775589573654274E-2</v>
      </c>
      <c r="Q218" s="40">
        <v>444.41899999999998</v>
      </c>
      <c r="R218" s="40">
        <v>132.77500000000001</v>
      </c>
      <c r="S218" s="40">
        <v>453.16899999999998</v>
      </c>
      <c r="T218" s="40">
        <v>101.405</v>
      </c>
      <c r="U218" s="40">
        <v>416.517</v>
      </c>
      <c r="V218" s="40">
        <v>126.17100000000001</v>
      </c>
      <c r="W218" s="40">
        <v>425.762</v>
      </c>
      <c r="X218" s="40">
        <v>92.49</v>
      </c>
      <c r="Y218" s="40">
        <v>433.64</v>
      </c>
      <c r="Z218" s="40">
        <v>112.367</v>
      </c>
      <c r="AA218" s="40">
        <v>434.16899999999998</v>
      </c>
      <c r="AB218" s="40">
        <v>110.51600000000001</v>
      </c>
      <c r="AC218" s="40">
        <v>433.17700000000002</v>
      </c>
      <c r="AD218" s="40">
        <v>114.351</v>
      </c>
      <c r="AG218" s="14" t="s">
        <v>223</v>
      </c>
      <c r="AH218" s="14" t="s">
        <v>223</v>
      </c>
      <c r="AI218" s="14" t="s">
        <v>223</v>
      </c>
      <c r="AJ218" s="55">
        <v>5.1802811782249599E-5</v>
      </c>
      <c r="AK218" s="55">
        <v>5.9600937683691E-5</v>
      </c>
      <c r="AL218" s="55">
        <v>5.0732674098743101E-5</v>
      </c>
      <c r="AM218" s="55">
        <v>4.8341045127671297E-5</v>
      </c>
      <c r="AN218" s="51">
        <v>0.889321227529278</v>
      </c>
    </row>
    <row r="219" spans="1:40" x14ac:dyDescent="0.35">
      <c r="A219" s="40" t="s">
        <v>152</v>
      </c>
      <c r="B219" s="14">
        <v>1</v>
      </c>
      <c r="C219" s="40">
        <v>30</v>
      </c>
      <c r="D219" s="14">
        <v>2082</v>
      </c>
      <c r="E219" s="12">
        <f t="shared" si="342"/>
        <v>45.714838345990024</v>
      </c>
      <c r="F219" s="12">
        <f t="shared" si="343"/>
        <v>1.1925603702012624</v>
      </c>
      <c r="G219" s="12">
        <f t="shared" si="344"/>
        <v>3.967266061155978</v>
      </c>
      <c r="H219" s="12">
        <f t="shared" si="345"/>
        <v>29.090435679102509</v>
      </c>
      <c r="I219" s="12">
        <f t="shared" si="346"/>
        <v>1.4383998546491936</v>
      </c>
      <c r="J219" s="12">
        <f t="shared" si="347"/>
        <v>26.793831323646145</v>
      </c>
      <c r="K219" s="13">
        <f t="shared" si="348"/>
        <v>2.1957174998073981E-2</v>
      </c>
      <c r="L219" s="13">
        <f t="shared" si="349"/>
        <v>68.328676027091362</v>
      </c>
      <c r="M219" s="13">
        <f t="shared" si="350"/>
        <v>1.9055072339846195E-3</v>
      </c>
      <c r="N219" s="13">
        <f t="shared" si="351"/>
        <v>1.3972351430884971E-2</v>
      </c>
      <c r="O219" s="13">
        <f t="shared" si="352"/>
        <v>82.414240923629848</v>
      </c>
      <c r="P219" s="13">
        <f t="shared" si="353"/>
        <v>1.2869275371587966E-2</v>
      </c>
      <c r="Q219" s="40">
        <v>665.34699999999998</v>
      </c>
      <c r="R219" s="40">
        <v>157.27000000000001</v>
      </c>
      <c r="S219" s="40">
        <v>667.02499999999998</v>
      </c>
      <c r="T219" s="40">
        <v>128.22800000000001</v>
      </c>
      <c r="U219" s="40">
        <v>628.82299999999998</v>
      </c>
      <c r="V219" s="40">
        <v>154.86000000000001</v>
      </c>
      <c r="W219" s="40">
        <v>630.149</v>
      </c>
      <c r="X219" s="40">
        <v>128.09899999999999</v>
      </c>
      <c r="Y219" s="40">
        <v>644.76499999999999</v>
      </c>
      <c r="Z219" s="40">
        <v>142.268</v>
      </c>
      <c r="AA219" s="40">
        <v>644.88499999999999</v>
      </c>
      <c r="AB219" s="40">
        <v>140.46799999999999</v>
      </c>
      <c r="AC219" s="40">
        <v>644.64499999999998</v>
      </c>
      <c r="AD219" s="40">
        <v>144.428</v>
      </c>
      <c r="AG219" s="14" t="s">
        <v>223</v>
      </c>
      <c r="AH219" s="14" t="s">
        <v>223</v>
      </c>
      <c r="AI219" s="14" t="s">
        <v>223</v>
      </c>
      <c r="AJ219" s="55">
        <v>4.7284079678429399E-5</v>
      </c>
      <c r="AK219" s="55">
        <v>7.1851841086076004E-5</v>
      </c>
      <c r="AL219" s="55">
        <v>4.8347874974277598E-5</v>
      </c>
      <c r="AM219" s="55">
        <v>5.23929897266815E-5</v>
      </c>
      <c r="AN219" s="51">
        <v>0.84559605578650199</v>
      </c>
    </row>
    <row r="220" spans="1:40" x14ac:dyDescent="0.35">
      <c r="A220" s="40" t="s">
        <v>152</v>
      </c>
      <c r="B220" s="14">
        <v>1</v>
      </c>
      <c r="C220" s="40">
        <v>40</v>
      </c>
      <c r="D220" s="14">
        <v>2082</v>
      </c>
      <c r="E220" s="12">
        <f t="shared" si="342"/>
        <v>43.602882714334392</v>
      </c>
      <c r="F220" s="12">
        <f t="shared" si="343"/>
        <v>1.2901096496538398</v>
      </c>
      <c r="G220" s="12">
        <f t="shared" si="344"/>
        <v>3.641235229973466</v>
      </c>
      <c r="H220" s="12">
        <f t="shared" si="345"/>
        <v>29.692346101310349</v>
      </c>
      <c r="I220" s="12">
        <f t="shared" si="346"/>
        <v>1.4714110489922823</v>
      </c>
      <c r="J220" s="12">
        <f t="shared" si="347"/>
        <v>25.584190508984275</v>
      </c>
      <c r="K220" s="13">
        <f t="shared" si="348"/>
        <v>2.0942787086615941E-2</v>
      </c>
      <c r="L220" s="13">
        <f t="shared" si="349"/>
        <v>73.917838034266282</v>
      </c>
      <c r="M220" s="13">
        <f t="shared" si="350"/>
        <v>1.7489122142043546E-3</v>
      </c>
      <c r="N220" s="13">
        <f t="shared" si="351"/>
        <v>1.4261453458842627E-2</v>
      </c>
      <c r="O220" s="13">
        <f t="shared" si="352"/>
        <v>84.30564303617497</v>
      </c>
      <c r="P220" s="13">
        <f t="shared" si="353"/>
        <v>1.2288275940914637E-2</v>
      </c>
      <c r="Q220" s="40">
        <v>852.72400000000005</v>
      </c>
      <c r="R220" s="40">
        <v>165.05099999999999</v>
      </c>
      <c r="S220" s="40">
        <v>854.08799999999997</v>
      </c>
      <c r="T220" s="40">
        <v>135.38999999999999</v>
      </c>
      <c r="U220" s="40">
        <v>819.14200000000005</v>
      </c>
      <c r="V220" s="40">
        <v>161.81200000000001</v>
      </c>
      <c r="W220" s="40">
        <v>819.99400000000003</v>
      </c>
      <c r="X220" s="40">
        <v>136.24199999999999</v>
      </c>
      <c r="Y220" s="40">
        <v>833.68299999999999</v>
      </c>
      <c r="Z220" s="40">
        <v>149.69800000000001</v>
      </c>
      <c r="AA220" s="40">
        <v>833.73</v>
      </c>
      <c r="AB220" s="40">
        <v>147.94800000000001</v>
      </c>
      <c r="AC220" s="40">
        <v>833.94299999999998</v>
      </c>
      <c r="AD220" s="40">
        <v>151.583</v>
      </c>
      <c r="AG220" s="14" t="s">
        <v>223</v>
      </c>
      <c r="AH220" s="14" t="s">
        <v>223</v>
      </c>
      <c r="AI220" s="14" t="s">
        <v>223</v>
      </c>
      <c r="AJ220" s="55">
        <v>4.169726169417E-5</v>
      </c>
      <c r="AK220" s="55">
        <v>6.7561001923075196E-5</v>
      </c>
      <c r="AL220" s="55">
        <v>4.5152899815536098E-5</v>
      </c>
      <c r="AM220" s="55">
        <v>4.7385650851126799E-5</v>
      </c>
      <c r="AN220" s="51">
        <v>0.846970724254277</v>
      </c>
    </row>
    <row r="221" spans="1:40" x14ac:dyDescent="0.35">
      <c r="A221" s="40" t="s">
        <v>152</v>
      </c>
      <c r="B221" s="14">
        <v>1</v>
      </c>
      <c r="C221" s="40">
        <v>50</v>
      </c>
      <c r="D221" s="14">
        <v>2082</v>
      </c>
      <c r="E221" s="12">
        <f t="shared" si="342"/>
        <v>42.519403805791953</v>
      </c>
      <c r="F221" s="12">
        <f t="shared" si="343"/>
        <v>1.3889814169844166</v>
      </c>
      <c r="G221" s="12">
        <f t="shared" si="344"/>
        <v>4.2807475982589773</v>
      </c>
      <c r="H221" s="12">
        <f t="shared" si="345"/>
        <v>27.449790454573613</v>
      </c>
      <c r="I221" s="12">
        <f t="shared" si="346"/>
        <v>1.3671776558192914</v>
      </c>
      <c r="J221" s="12">
        <f t="shared" si="347"/>
        <v>26.107168536629956</v>
      </c>
      <c r="K221" s="13">
        <f t="shared" si="348"/>
        <v>2.0422384152637824E-2</v>
      </c>
      <c r="L221" s="13">
        <f t="shared" si="349"/>
        <v>79.582773015307794</v>
      </c>
      <c r="M221" s="13">
        <f t="shared" si="350"/>
        <v>2.0560747349947059E-3</v>
      </c>
      <c r="N221" s="13">
        <f t="shared" si="351"/>
        <v>1.3184337394127575E-2</v>
      </c>
      <c r="O221" s="13">
        <f t="shared" si="352"/>
        <v>78.333509523034877</v>
      </c>
      <c r="P221" s="13">
        <f t="shared" si="353"/>
        <v>1.2539466155922168E-2</v>
      </c>
      <c r="Q221" s="40">
        <v>1063.26</v>
      </c>
      <c r="R221" s="40">
        <v>165.21299999999999</v>
      </c>
      <c r="S221" s="40">
        <v>1064.1300000000001</v>
      </c>
      <c r="T221" s="40">
        <v>137.77699999999999</v>
      </c>
      <c r="U221" s="40">
        <v>1030.81</v>
      </c>
      <c r="V221" s="40">
        <v>162.846</v>
      </c>
      <c r="W221" s="40">
        <v>1031.67</v>
      </c>
      <c r="X221" s="40">
        <v>136.75299999999999</v>
      </c>
      <c r="Y221" s="40">
        <v>1047.25</v>
      </c>
      <c r="Z221" s="40">
        <v>150.47200000000001</v>
      </c>
      <c r="AA221" s="40">
        <v>1047.33</v>
      </c>
      <c r="AB221" s="40">
        <v>148.31100000000001</v>
      </c>
      <c r="AC221" s="40">
        <v>1047.25</v>
      </c>
      <c r="AD221" s="40">
        <v>152.59100000000001</v>
      </c>
      <c r="AG221" s="14" t="s">
        <v>223</v>
      </c>
      <c r="AH221" s="14" t="s">
        <v>223</v>
      </c>
      <c r="AI221" s="14" t="s">
        <v>223</v>
      </c>
      <c r="AJ221" s="55">
        <v>4.8253046791445102E-5</v>
      </c>
      <c r="AK221" s="55">
        <v>5.2145768681005E-5</v>
      </c>
      <c r="AL221" s="55">
        <v>4.2873344415930598E-5</v>
      </c>
      <c r="AM221" s="55">
        <v>4.1425571731902799E-5</v>
      </c>
      <c r="AN221" s="51">
        <v>0.839640545071623</v>
      </c>
    </row>
    <row r="222" spans="1:40" x14ac:dyDescent="0.35">
      <c r="A222" s="40" t="s">
        <v>152</v>
      </c>
      <c r="B222" s="14">
        <v>1</v>
      </c>
      <c r="C222" s="40">
        <v>60</v>
      </c>
      <c r="D222" s="14">
        <v>2082</v>
      </c>
      <c r="E222" s="12">
        <f t="shared" si="342"/>
        <v>38.187606156971967</v>
      </c>
      <c r="F222" s="12">
        <f t="shared" si="343"/>
        <v>1.3588590495964468</v>
      </c>
      <c r="G222" s="12">
        <f t="shared" si="344"/>
        <v>3.5264743016219362</v>
      </c>
      <c r="H222" s="12">
        <f t="shared" si="345"/>
        <v>24.582187473859996</v>
      </c>
      <c r="I222" s="12">
        <f t="shared" si="346"/>
        <v>1.3552719639979862</v>
      </c>
      <c r="J222" s="12">
        <f t="shared" si="347"/>
        <v>23.685016550553623</v>
      </c>
      <c r="K222" s="13">
        <f t="shared" si="348"/>
        <v>1.8341789700755028E-2</v>
      </c>
      <c r="L222" s="13">
        <f t="shared" si="349"/>
        <v>77.85688849503461</v>
      </c>
      <c r="M222" s="13">
        <f t="shared" si="350"/>
        <v>1.6937916914610645E-3</v>
      </c>
      <c r="N222" s="13">
        <f t="shared" si="351"/>
        <v>1.1807006471594619E-2</v>
      </c>
      <c r="O222" s="13">
        <f t="shared" si="352"/>
        <v>77.65136362949066</v>
      </c>
      <c r="P222" s="13">
        <f t="shared" si="353"/>
        <v>1.1376088640995976E-2</v>
      </c>
      <c r="Q222" s="40">
        <v>1263.71</v>
      </c>
      <c r="R222" s="40">
        <v>182.964</v>
      </c>
      <c r="S222" s="40">
        <v>1265.96</v>
      </c>
      <c r="T222" s="40">
        <v>158.48500000000001</v>
      </c>
      <c r="U222" s="40">
        <v>1233.99</v>
      </c>
      <c r="V222" s="40">
        <v>180.25299999999999</v>
      </c>
      <c r="W222" s="40">
        <v>1236.03</v>
      </c>
      <c r="X222" s="40">
        <v>156.65600000000001</v>
      </c>
      <c r="Y222" s="40">
        <v>1249.71</v>
      </c>
      <c r="Z222" s="40">
        <v>169.05799999999999</v>
      </c>
      <c r="AA222" s="40">
        <v>1249.8499999999999</v>
      </c>
      <c r="AB222" s="40">
        <v>167.32599999999999</v>
      </c>
      <c r="AC222" s="40">
        <v>1249.52</v>
      </c>
      <c r="AD222" s="40">
        <v>170.83699999999999</v>
      </c>
      <c r="AG222" s="14" t="s">
        <v>223</v>
      </c>
      <c r="AH222" s="14" t="s">
        <v>223</v>
      </c>
      <c r="AI222" s="14" t="s">
        <v>223</v>
      </c>
      <c r="AJ222" s="55">
        <v>4.0153310799026699E-5</v>
      </c>
      <c r="AK222" s="55">
        <v>4.3139367120028803E-5</v>
      </c>
      <c r="AL222" s="55">
        <v>3.7135622706313098E-5</v>
      </c>
      <c r="AM222" s="55">
        <v>3.3920997046178801E-5</v>
      </c>
      <c r="AN222" s="51">
        <v>0.85309563250619902</v>
      </c>
    </row>
    <row r="223" spans="1:40" x14ac:dyDescent="0.35">
      <c r="A223" s="40" t="s">
        <v>152</v>
      </c>
      <c r="B223" s="14">
        <v>1</v>
      </c>
      <c r="C223" s="40">
        <v>70</v>
      </c>
      <c r="D223" s="14">
        <v>2082</v>
      </c>
      <c r="E223" s="12">
        <f t="shared" si="342"/>
        <v>35.641513000993641</v>
      </c>
      <c r="F223" s="12">
        <f t="shared" si="343"/>
        <v>1.3432944570201868</v>
      </c>
      <c r="G223" s="12">
        <f t="shared" si="344"/>
        <v>3.2120155665874237</v>
      </c>
      <c r="H223" s="12">
        <f t="shared" si="345"/>
        <v>22.378517399506148</v>
      </c>
      <c r="I223" s="12">
        <f t="shared" si="346"/>
        <v>1.4037040072033993</v>
      </c>
      <c r="J223" s="12">
        <f t="shared" si="347"/>
        <v>22.517435222511462</v>
      </c>
      <c r="K223" s="13">
        <f t="shared" si="348"/>
        <v>1.7118882325165053E-2</v>
      </c>
      <c r="L223" s="13">
        <f t="shared" si="349"/>
        <v>76.965103030574255</v>
      </c>
      <c r="M223" s="13">
        <f t="shared" si="350"/>
        <v>1.5427548350563994E-3</v>
      </c>
      <c r="N223" s="13">
        <f t="shared" si="351"/>
        <v>1.0748567434921301E-2</v>
      </c>
      <c r="O223" s="13">
        <f t="shared" si="352"/>
        <v>80.426315298356087</v>
      </c>
      <c r="P223" s="13">
        <f t="shared" si="353"/>
        <v>1.0815290692848926E-2</v>
      </c>
      <c r="Q223" s="40">
        <v>1483.1</v>
      </c>
      <c r="R223" s="40">
        <v>203.01599999999999</v>
      </c>
      <c r="S223" s="40">
        <v>1483.68</v>
      </c>
      <c r="T223" s="40">
        <v>180.64500000000001</v>
      </c>
      <c r="U223" s="40">
        <v>1455.94</v>
      </c>
      <c r="V223" s="40">
        <v>202.29</v>
      </c>
      <c r="W223" s="40">
        <v>1456.08</v>
      </c>
      <c r="X223" s="40">
        <v>179.773</v>
      </c>
      <c r="Y223" s="40">
        <v>1469.32</v>
      </c>
      <c r="Z223" s="40">
        <v>191.43299999999999</v>
      </c>
      <c r="AA223" s="40">
        <v>1469.33</v>
      </c>
      <c r="AB223" s="40">
        <v>189.881</v>
      </c>
      <c r="AC223" s="40">
        <v>1469.32</v>
      </c>
      <c r="AD223" s="40">
        <v>193.09299999999999</v>
      </c>
      <c r="AG223" s="14" t="s">
        <v>223</v>
      </c>
      <c r="AH223" s="14" t="s">
        <v>223</v>
      </c>
      <c r="AI223" s="14" t="s">
        <v>223</v>
      </c>
      <c r="AJ223" s="55">
        <v>3.4576305204206603E-5</v>
      </c>
      <c r="AK223" s="55">
        <v>3.6333399773549699E-5</v>
      </c>
      <c r="AL223" s="55">
        <v>2.9933209127039998E-5</v>
      </c>
      <c r="AM223" s="55">
        <v>3.08470389348897E-5</v>
      </c>
      <c r="AN223" s="51">
        <v>0.85714992159388903</v>
      </c>
    </row>
    <row r="224" spans="1:40" x14ac:dyDescent="0.35">
      <c r="A224" s="40" t="s">
        <v>152</v>
      </c>
      <c r="B224" s="14">
        <v>1</v>
      </c>
      <c r="C224" s="40">
        <v>80</v>
      </c>
      <c r="D224" s="14">
        <v>2082</v>
      </c>
      <c r="E224" s="12">
        <f t="shared" si="342"/>
        <v>31.979667618660393</v>
      </c>
      <c r="F224" s="12">
        <f t="shared" si="343"/>
        <v>1.3231011389458425</v>
      </c>
      <c r="G224" s="12">
        <f t="shared" si="344"/>
        <v>2.0310000000000059</v>
      </c>
      <c r="H224" s="12">
        <f t="shared" si="345"/>
        <v>19.881571869447342</v>
      </c>
      <c r="I224" s="12">
        <f t="shared" si="346"/>
        <v>1.313849330630307</v>
      </c>
      <c r="J224" s="12">
        <f t="shared" si="347"/>
        <v>19.527390096989421</v>
      </c>
      <c r="K224" s="13">
        <f t="shared" si="348"/>
        <v>1.5360070902334483E-2</v>
      </c>
      <c r="L224" s="13">
        <f t="shared" si="349"/>
        <v>75.808111130549079</v>
      </c>
      <c r="M224" s="13">
        <f t="shared" si="350"/>
        <v>9.7550432276657343E-4</v>
      </c>
      <c r="N224" s="13">
        <f t="shared" si="351"/>
        <v>9.5492660275923839E-3</v>
      </c>
      <c r="O224" s="13">
        <f t="shared" si="352"/>
        <v>75.278021561204866</v>
      </c>
      <c r="P224" s="13">
        <f t="shared" si="353"/>
        <v>9.379149902492518E-3</v>
      </c>
      <c r="Q224" s="40">
        <v>1688.03</v>
      </c>
      <c r="R224" s="40">
        <v>219.72200000000001</v>
      </c>
      <c r="S224" s="40">
        <v>1688.28</v>
      </c>
      <c r="T224" s="40">
        <v>199.84200000000001</v>
      </c>
      <c r="U224" s="40">
        <v>1662.31</v>
      </c>
      <c r="V224" s="40">
        <v>219.101</v>
      </c>
      <c r="W224" s="40">
        <v>1663.18</v>
      </c>
      <c r="X224" s="40">
        <v>199.59299999999999</v>
      </c>
      <c r="Y224" s="40">
        <v>1675.39</v>
      </c>
      <c r="Z224" s="40">
        <v>209.97399999999999</v>
      </c>
      <c r="AA224" s="40">
        <v>1675.39</v>
      </c>
      <c r="AB224" s="40">
        <v>208.905</v>
      </c>
      <c r="AC224" s="40">
        <v>1675.39</v>
      </c>
      <c r="AD224" s="40">
        <v>210.93600000000001</v>
      </c>
      <c r="AG224" s="14" t="s">
        <v>223</v>
      </c>
      <c r="AH224" s="14" t="s">
        <v>223</v>
      </c>
      <c r="AI224" s="14" t="s">
        <v>223</v>
      </c>
      <c r="AJ224" s="55">
        <v>2.85167117906471E-5</v>
      </c>
      <c r="AK224" s="55">
        <v>2.9266015552547E-5</v>
      </c>
      <c r="AL224" s="55">
        <v>2.5160365458100702E-5</v>
      </c>
      <c r="AM224" s="55">
        <v>2.6609642274802199E-5</v>
      </c>
      <c r="AN224" s="51">
        <v>0.89594261318647395</v>
      </c>
    </row>
    <row r="225" spans="1:40" x14ac:dyDescent="0.35">
      <c r="A225" s="40" t="s">
        <v>152</v>
      </c>
      <c r="B225" s="14">
        <v>1</v>
      </c>
      <c r="C225" s="40">
        <v>90</v>
      </c>
      <c r="D225" s="14">
        <v>2082</v>
      </c>
      <c r="E225" s="12">
        <f t="shared" si="342"/>
        <v>28.142354201452381</v>
      </c>
      <c r="F225" s="12">
        <f t="shared" si="343"/>
        <v>1.2601825160043778</v>
      </c>
      <c r="G225" s="12">
        <f t="shared" si="344"/>
        <v>1.1081286026450152</v>
      </c>
      <c r="H225" s="12">
        <f t="shared" si="345"/>
        <v>16.033000000000015</v>
      </c>
      <c r="I225" s="12">
        <f t="shared" si="346"/>
        <v>1.1715656567748682</v>
      </c>
      <c r="J225" s="12">
        <f t="shared" si="347"/>
        <v>15.782141046131851</v>
      </c>
      <c r="K225" s="13">
        <f t="shared" si="348"/>
        <v>1.35169808844632E-2</v>
      </c>
      <c r="L225" s="13">
        <f t="shared" si="349"/>
        <v>72.203139583228165</v>
      </c>
      <c r="M225" s="13">
        <f t="shared" si="350"/>
        <v>5.3224236438281227E-4</v>
      </c>
      <c r="N225" s="13">
        <f t="shared" si="351"/>
        <v>7.7007684918347814E-3</v>
      </c>
      <c r="O225" s="13">
        <f t="shared" si="352"/>
        <v>67.12576755567234</v>
      </c>
      <c r="P225" s="13">
        <f t="shared" si="353"/>
        <v>7.5802790807549718E-3</v>
      </c>
      <c r="Q225" s="40">
        <v>1897.52</v>
      </c>
      <c r="R225" s="40">
        <v>204.846</v>
      </c>
      <c r="S225" s="40">
        <v>1897.52</v>
      </c>
      <c r="T225" s="40">
        <v>188.81299999999999</v>
      </c>
      <c r="U225" s="40">
        <v>1874.04</v>
      </c>
      <c r="V225" s="40">
        <v>203.21199999999999</v>
      </c>
      <c r="W225" s="40">
        <v>1875.37</v>
      </c>
      <c r="X225" s="40">
        <v>187.48599999999999</v>
      </c>
      <c r="Y225" s="40">
        <v>1886.53</v>
      </c>
      <c r="Z225" s="40">
        <v>196.61500000000001</v>
      </c>
      <c r="AA225" s="40">
        <v>1886.58</v>
      </c>
      <c r="AB225" s="40">
        <v>196.08600000000001</v>
      </c>
      <c r="AC225" s="40">
        <v>1886.53</v>
      </c>
      <c r="AD225" s="40">
        <v>197.19300000000001</v>
      </c>
      <c r="AG225" s="14" t="s">
        <v>223</v>
      </c>
      <c r="AH225" s="14" t="s">
        <v>223</v>
      </c>
      <c r="AI225" s="14" t="s">
        <v>223</v>
      </c>
      <c r="AJ225" s="55">
        <v>2.1644253474961799E-5</v>
      </c>
      <c r="AK225" s="55">
        <v>2.0324554689064399E-5</v>
      </c>
      <c r="AL225" s="55">
        <v>1.8655718334085401E-5</v>
      </c>
      <c r="AM225" s="55">
        <v>2.0256691083446299E-5</v>
      </c>
      <c r="AN225" s="51">
        <v>0.92717451649926996</v>
      </c>
    </row>
    <row r="226" spans="1:40" x14ac:dyDescent="0.35">
      <c r="A226" s="51" t="s">
        <v>154</v>
      </c>
      <c r="B226" s="14">
        <v>1</v>
      </c>
      <c r="C226" s="51">
        <v>20</v>
      </c>
      <c r="D226" s="14">
        <v>1651</v>
      </c>
      <c r="E226" s="12">
        <f t="shared" ref="E226:E233" si="354">DIST2(Q226,R226,W226,X226)</f>
        <v>43.628315305659036</v>
      </c>
      <c r="F226" s="12">
        <f t="shared" ref="F226:F233" si="355">ACOS((DIST2(Y226,Z226,S226,T226)^2 + DIST2(Y226,Z226,Q226,R226)^2 - DIST2(Q226,R226,S226,T226)^2)/(2*DIST2(Y226,Z226,S226,T226) * DIST2(Y226,Z226,Q226,R226)))</f>
        <v>1.3826395243060063</v>
      </c>
      <c r="G226" s="12">
        <f t="shared" ref="G226:G233" si="356">DIST2(AA226,AB226,AC226,AD226)</f>
        <v>5.2023390210558311</v>
      </c>
      <c r="H226" s="12">
        <f t="shared" ref="H226:H233" si="357">DIST2(Q226,R226,S226,T226)</f>
        <v>28.733642637333691</v>
      </c>
      <c r="I226" s="12">
        <f t="shared" ref="I226:I233" si="358">ACOS((DIST2(Y226,Z226,W226,X226)^2 + DIST2(Y226,Z226,U226,V226)^2 - DIST2(U226,V226,W226,X226)^2)/(2*DIST2(Y226,Z226,W226,X226) * DIST2(Y226,Z226,U226,V226)))</f>
        <v>1.297605716870794</v>
      </c>
      <c r="J226" s="12">
        <f t="shared" ref="J226:J233" si="359">DIST2(U226,V226,W226,X226)</f>
        <v>25.380431509531114</v>
      </c>
      <c r="K226" s="13">
        <f t="shared" ref="K226:K233" si="360">E226/D226</f>
        <v>2.6425387828987908E-2</v>
      </c>
      <c r="L226" s="13">
        <f t="shared" ref="L226:L233" si="361">F226*180/PI()</f>
        <v>79.219409330709965</v>
      </c>
      <c r="M226" s="13">
        <f t="shared" ref="M226:M233" si="362">G226/D226</f>
        <v>3.1510230291071054E-3</v>
      </c>
      <c r="N226" s="13">
        <f t="shared" ref="N226:N233" si="363">H226/D226</f>
        <v>1.7403781124974978E-2</v>
      </c>
      <c r="O226" s="13">
        <f t="shared" ref="O226:O233" si="364">I226*180/PI()</f>
        <v>74.347331048744138</v>
      </c>
      <c r="P226" s="13">
        <f t="shared" ref="P226:P233" si="365">J226/D226</f>
        <v>1.5372762876760215E-2</v>
      </c>
      <c r="Q226" s="51">
        <v>1474.5</v>
      </c>
      <c r="R226" s="51">
        <v>102.992</v>
      </c>
      <c r="S226" s="51">
        <v>1476.19</v>
      </c>
      <c r="T226" s="51">
        <v>74.308099999999996</v>
      </c>
      <c r="U226" s="51">
        <v>1509.1</v>
      </c>
      <c r="V226" s="51">
        <v>102.60299999999999</v>
      </c>
      <c r="W226" s="51">
        <v>1509.71</v>
      </c>
      <c r="X226" s="51">
        <v>77.229900000000001</v>
      </c>
      <c r="Y226" s="51">
        <v>1492.7</v>
      </c>
      <c r="Z226" s="51">
        <v>88.962000000000003</v>
      </c>
      <c r="AA226" s="51">
        <v>1492.89</v>
      </c>
      <c r="AB226" s="51">
        <v>86.592299999999994</v>
      </c>
      <c r="AC226" s="51">
        <v>1492.5</v>
      </c>
      <c r="AD226" s="51">
        <v>91.78</v>
      </c>
      <c r="AG226" s="14" t="s">
        <v>222</v>
      </c>
      <c r="AH226" s="14" t="s">
        <v>238</v>
      </c>
      <c r="AI226" s="14" t="s">
        <v>222</v>
      </c>
      <c r="AJ226" s="55">
        <v>7.7855986185344805E-5</v>
      </c>
      <c r="AK226" s="55">
        <v>9.1410979745036505E-5</v>
      </c>
      <c r="AL226" s="55">
        <v>6.9875460460979897E-5</v>
      </c>
      <c r="AM226" s="55">
        <v>6.6580855315556705E-5</v>
      </c>
      <c r="AN226" s="51">
        <v>0.80616034573846096</v>
      </c>
    </row>
    <row r="227" spans="1:40" x14ac:dyDescent="0.35">
      <c r="A227" s="51" t="s">
        <v>154</v>
      </c>
      <c r="B227" s="14">
        <v>1</v>
      </c>
      <c r="C227" s="51">
        <v>30</v>
      </c>
      <c r="D227" s="14">
        <v>1651</v>
      </c>
      <c r="E227" s="12">
        <f t="shared" si="354"/>
        <v>45.025170271860134</v>
      </c>
      <c r="F227" s="12">
        <f t="shared" si="355"/>
        <v>1.3829654947666801</v>
      </c>
      <c r="G227" s="12">
        <f t="shared" si="356"/>
        <v>5.5342856892285548</v>
      </c>
      <c r="H227" s="12">
        <f t="shared" si="357"/>
        <v>30.052241850650677</v>
      </c>
      <c r="I227" s="12">
        <f t="shared" si="358"/>
        <v>1.3428976143529292</v>
      </c>
      <c r="J227" s="12">
        <f t="shared" si="359"/>
        <v>28.186050734361491</v>
      </c>
      <c r="K227" s="13">
        <f t="shared" si="360"/>
        <v>2.7271453829109712E-2</v>
      </c>
      <c r="L227" s="13">
        <f t="shared" si="361"/>
        <v>79.238086062352508</v>
      </c>
      <c r="M227" s="13">
        <f t="shared" si="362"/>
        <v>3.3520809746993064E-3</v>
      </c>
      <c r="N227" s="13">
        <f t="shared" si="363"/>
        <v>1.8202448122744203E-2</v>
      </c>
      <c r="O227" s="13">
        <f t="shared" si="364"/>
        <v>76.942365620609692</v>
      </c>
      <c r="P227" s="13">
        <f t="shared" si="365"/>
        <v>1.707210825824439E-2</v>
      </c>
      <c r="Q227" s="51">
        <v>1326.77</v>
      </c>
      <c r="R227" s="51">
        <v>92.6875</v>
      </c>
      <c r="S227" s="51">
        <v>1327.61</v>
      </c>
      <c r="T227" s="51">
        <v>62.646999999999998</v>
      </c>
      <c r="U227" s="51">
        <v>1362.71</v>
      </c>
      <c r="V227" s="51">
        <v>94.206400000000002</v>
      </c>
      <c r="W227" s="51">
        <v>1363.05</v>
      </c>
      <c r="X227" s="51">
        <v>66.022400000000005</v>
      </c>
      <c r="Y227" s="51">
        <v>1345.34</v>
      </c>
      <c r="Z227" s="51">
        <v>77.705100000000002</v>
      </c>
      <c r="AA227" s="51">
        <v>1345.41</v>
      </c>
      <c r="AB227" s="51">
        <v>75.147400000000005</v>
      </c>
      <c r="AC227" s="51">
        <v>1345.2</v>
      </c>
      <c r="AD227" s="51">
        <v>80.677700000000002</v>
      </c>
      <c r="AG227" s="14" t="s">
        <v>222</v>
      </c>
      <c r="AH227" s="14" t="s">
        <v>238</v>
      </c>
      <c r="AI227" s="14" t="s">
        <v>222</v>
      </c>
      <c r="AJ227" s="55">
        <v>9.0829543682756402E-5</v>
      </c>
      <c r="AK227" s="51">
        <v>1.00019566542092E-4</v>
      </c>
      <c r="AL227" s="55">
        <v>8.4310178732783603E-5</v>
      </c>
      <c r="AM227" s="55">
        <v>7.0242115253461298E-5</v>
      </c>
      <c r="AN227" s="51">
        <v>0.80981406622310104</v>
      </c>
    </row>
    <row r="228" spans="1:40" x14ac:dyDescent="0.35">
      <c r="A228" s="51" t="s">
        <v>154</v>
      </c>
      <c r="B228" s="14">
        <v>1</v>
      </c>
      <c r="C228" s="51">
        <v>40</v>
      </c>
      <c r="D228" s="14">
        <v>1651</v>
      </c>
      <c r="E228" s="12">
        <f t="shared" si="354"/>
        <v>45.910937115354031</v>
      </c>
      <c r="F228" s="12">
        <f t="shared" si="355"/>
        <v>1.4338331953722716</v>
      </c>
      <c r="G228" s="12">
        <f t="shared" si="356"/>
        <v>5.7329348862515301</v>
      </c>
      <c r="H228" s="12">
        <f t="shared" si="357"/>
        <v>31.270899999999997</v>
      </c>
      <c r="I228" s="12">
        <f t="shared" si="358"/>
        <v>1.4443608349657555</v>
      </c>
      <c r="J228" s="12">
        <f t="shared" si="359"/>
        <v>28.884791106913003</v>
      </c>
      <c r="K228" s="13">
        <f t="shared" si="360"/>
        <v>2.7807957065629333E-2</v>
      </c>
      <c r="L228" s="13">
        <f t="shared" si="361"/>
        <v>82.152590620587972</v>
      </c>
      <c r="M228" s="13">
        <f t="shared" si="362"/>
        <v>3.4724015059064387E-3</v>
      </c>
      <c r="N228" s="13">
        <f t="shared" si="363"/>
        <v>1.8940581465778313E-2</v>
      </c>
      <c r="O228" s="13">
        <f t="shared" si="364"/>
        <v>82.755779937529411</v>
      </c>
      <c r="P228" s="13">
        <f t="shared" si="365"/>
        <v>1.749533077341793E-2</v>
      </c>
      <c r="Q228" s="51">
        <v>1143.3900000000001</v>
      </c>
      <c r="R228" s="51">
        <v>88.732900000000001</v>
      </c>
      <c r="S228" s="51">
        <v>1143.3900000000001</v>
      </c>
      <c r="T228" s="51">
        <v>57.462000000000003</v>
      </c>
      <c r="U228" s="51">
        <v>1177.3699999999999</v>
      </c>
      <c r="V228" s="51">
        <v>87.456500000000005</v>
      </c>
      <c r="W228" s="51">
        <v>1178.01</v>
      </c>
      <c r="X228" s="51">
        <v>58.578800000000001</v>
      </c>
      <c r="Y228" s="51">
        <v>1161.31</v>
      </c>
      <c r="Z228" s="51">
        <v>72.339100000000002</v>
      </c>
      <c r="AA228" s="51">
        <v>1161.28</v>
      </c>
      <c r="AB228" s="51">
        <v>70.052000000000007</v>
      </c>
      <c r="AC228" s="51">
        <v>1161.26</v>
      </c>
      <c r="AD228" s="51">
        <v>75.784899999999993</v>
      </c>
      <c r="AG228" s="14" t="s">
        <v>222</v>
      </c>
      <c r="AH228" s="14" t="s">
        <v>238</v>
      </c>
      <c r="AI228" s="14" t="s">
        <v>222</v>
      </c>
      <c r="AJ228" s="55">
        <v>8.6846214745683897E-5</v>
      </c>
      <c r="AK228" s="51">
        <v>1.0279079947508901E-4</v>
      </c>
      <c r="AL228" s="55">
        <v>7.6521318320742698E-5</v>
      </c>
      <c r="AM228" s="55">
        <v>7.6286979130171101E-5</v>
      </c>
      <c r="AN228" s="51">
        <v>0.805793626728463</v>
      </c>
    </row>
    <row r="229" spans="1:40" x14ac:dyDescent="0.35">
      <c r="A229" s="51" t="s">
        <v>154</v>
      </c>
      <c r="B229" s="14">
        <v>1</v>
      </c>
      <c r="C229" s="51">
        <v>50</v>
      </c>
      <c r="D229" s="14">
        <v>1651</v>
      </c>
      <c r="E229" s="12">
        <f t="shared" si="354"/>
        <v>45.803806117068532</v>
      </c>
      <c r="F229" s="12">
        <f t="shared" si="355"/>
        <v>1.5213632614841677</v>
      </c>
      <c r="G229" s="12">
        <f t="shared" si="356"/>
        <v>6.4733784842229021</v>
      </c>
      <c r="H229" s="12">
        <f t="shared" si="357"/>
        <v>31.635794163573632</v>
      </c>
      <c r="I229" s="12">
        <f t="shared" si="358"/>
        <v>1.5063855589249118</v>
      </c>
      <c r="J229" s="12">
        <f t="shared" si="359"/>
        <v>31.040399999999998</v>
      </c>
      <c r="K229" s="13">
        <f t="shared" si="360"/>
        <v>2.7743068514275309E-2</v>
      </c>
      <c r="L229" s="13">
        <f t="shared" si="361"/>
        <v>87.167693989300673</v>
      </c>
      <c r="M229" s="13">
        <f t="shared" si="362"/>
        <v>3.9208833944414916E-3</v>
      </c>
      <c r="N229" s="13">
        <f t="shared" si="363"/>
        <v>1.9161595495804744E-2</v>
      </c>
      <c r="O229" s="13">
        <f t="shared" si="364"/>
        <v>86.309534845853022</v>
      </c>
      <c r="P229" s="13">
        <f t="shared" si="365"/>
        <v>1.8800969109630528E-2</v>
      </c>
      <c r="Q229" s="51">
        <v>995.904</v>
      </c>
      <c r="R229" s="51">
        <v>88.093999999999994</v>
      </c>
      <c r="S229" s="51">
        <v>996.20100000000002</v>
      </c>
      <c r="T229" s="51">
        <v>56.459600000000002</v>
      </c>
      <c r="U229" s="51">
        <v>1029.17</v>
      </c>
      <c r="V229" s="51">
        <v>87.648499999999999</v>
      </c>
      <c r="W229" s="51">
        <v>1029.17</v>
      </c>
      <c r="X229" s="51">
        <v>56.6081</v>
      </c>
      <c r="Y229" s="51">
        <v>1012.64</v>
      </c>
      <c r="Z229" s="51">
        <v>71.273600000000002</v>
      </c>
      <c r="AA229" s="51">
        <v>1012.71</v>
      </c>
      <c r="AB229" s="51">
        <v>68.291600000000003</v>
      </c>
      <c r="AC229" s="51">
        <v>1012.64</v>
      </c>
      <c r="AD229" s="51">
        <v>74.764600000000002</v>
      </c>
      <c r="AG229" s="14" t="s">
        <v>222</v>
      </c>
      <c r="AH229" s="14" t="s">
        <v>238</v>
      </c>
      <c r="AI229" s="14" t="s">
        <v>222</v>
      </c>
      <c r="AJ229" s="55">
        <v>9.4118721799574303E-5</v>
      </c>
      <c r="AK229" s="55">
        <v>9.61988163479284E-5</v>
      </c>
      <c r="AL229" s="55">
        <v>7.9969141621123594E-5</v>
      </c>
      <c r="AM229" s="55">
        <v>7.1105268047814296E-5</v>
      </c>
      <c r="AN229" s="51">
        <v>0.793801827931644</v>
      </c>
    </row>
    <row r="230" spans="1:40" x14ac:dyDescent="0.35">
      <c r="A230" s="51" t="s">
        <v>154</v>
      </c>
      <c r="B230" s="14">
        <v>1</v>
      </c>
      <c r="C230" s="51">
        <v>60</v>
      </c>
      <c r="D230" s="14">
        <v>1651</v>
      </c>
      <c r="E230" s="12">
        <f t="shared" si="354"/>
        <v>45.701599755807258</v>
      </c>
      <c r="F230" s="12">
        <f t="shared" si="355"/>
        <v>1.501824433779569</v>
      </c>
      <c r="G230" s="12">
        <f t="shared" si="356"/>
        <v>3.9853564006246538</v>
      </c>
      <c r="H230" s="12">
        <f t="shared" si="357"/>
        <v>31.412807996898326</v>
      </c>
      <c r="I230" s="12">
        <f t="shared" si="358"/>
        <v>1.5653080138769817</v>
      </c>
      <c r="J230" s="12">
        <f t="shared" si="359"/>
        <v>31.692513608264029</v>
      </c>
      <c r="K230" s="13">
        <f t="shared" si="360"/>
        <v>2.7681162783650671E-2</v>
      </c>
      <c r="L230" s="13">
        <f t="shared" si="361"/>
        <v>86.048201625193883</v>
      </c>
      <c r="M230" s="13">
        <f t="shared" si="362"/>
        <v>2.4139045430797419E-3</v>
      </c>
      <c r="N230" s="13">
        <f t="shared" si="363"/>
        <v>1.9026534219805165E-2</v>
      </c>
      <c r="O230" s="13">
        <f t="shared" si="364"/>
        <v>89.685542833156362</v>
      </c>
      <c r="P230" s="13">
        <f t="shared" si="365"/>
        <v>1.9195950095859497E-2</v>
      </c>
      <c r="Q230" s="51">
        <v>815.27</v>
      </c>
      <c r="R230" s="51">
        <v>84.859399999999994</v>
      </c>
      <c r="S230" s="51">
        <v>816.21799999999996</v>
      </c>
      <c r="T230" s="51">
        <v>53.460900000000002</v>
      </c>
      <c r="U230" s="51">
        <v>847.88699999999994</v>
      </c>
      <c r="V230" s="51">
        <v>85.806700000000006</v>
      </c>
      <c r="W230" s="51">
        <v>849.10500000000002</v>
      </c>
      <c r="X230" s="51">
        <v>54.137599999999999</v>
      </c>
      <c r="Y230" s="51">
        <v>832.56600000000003</v>
      </c>
      <c r="Z230" s="51">
        <v>69.640500000000003</v>
      </c>
      <c r="AA230" s="51">
        <v>832.56600000000003</v>
      </c>
      <c r="AB230" s="51">
        <v>67.960400000000007</v>
      </c>
      <c r="AC230" s="51">
        <v>832.47</v>
      </c>
      <c r="AD230" s="51">
        <v>71.944599999999994</v>
      </c>
      <c r="AG230" s="14" t="s">
        <v>222</v>
      </c>
      <c r="AH230" s="14" t="s">
        <v>238</v>
      </c>
      <c r="AI230" s="14" t="s">
        <v>222</v>
      </c>
      <c r="AJ230" s="55">
        <v>9.2613641403022196E-5</v>
      </c>
      <c r="AK230" s="55">
        <v>9.6969833601206007E-5</v>
      </c>
      <c r="AL230" s="55">
        <v>8.0258168442964102E-5</v>
      </c>
      <c r="AM230" s="55">
        <v>8.5439539588546797E-5</v>
      </c>
      <c r="AN230" s="51">
        <v>0.87400923539256503</v>
      </c>
    </row>
    <row r="231" spans="1:40" x14ac:dyDescent="0.35">
      <c r="A231" s="51" t="s">
        <v>154</v>
      </c>
      <c r="B231" s="14">
        <v>1</v>
      </c>
      <c r="C231" s="51">
        <v>70</v>
      </c>
      <c r="D231" s="14">
        <v>1651</v>
      </c>
      <c r="E231" s="12">
        <f t="shared" si="354"/>
        <v>43.768143506436289</v>
      </c>
      <c r="F231" s="12">
        <f t="shared" si="355"/>
        <v>1.3505637080546056</v>
      </c>
      <c r="G231" s="12">
        <f t="shared" si="356"/>
        <v>4.6128033515423148</v>
      </c>
      <c r="H231" s="12">
        <f t="shared" si="357"/>
        <v>25.773834394788842</v>
      </c>
      <c r="I231" s="12">
        <f t="shared" si="358"/>
        <v>1.4211711182014355</v>
      </c>
      <c r="J231" s="12">
        <f t="shared" si="359"/>
        <v>29.970863471878811</v>
      </c>
      <c r="K231" s="13">
        <f t="shared" si="360"/>
        <v>2.6510080863983217E-2</v>
      </c>
      <c r="L231" s="13">
        <f t="shared" si="361"/>
        <v>77.381600435067568</v>
      </c>
      <c r="M231" s="13">
        <f t="shared" si="362"/>
        <v>2.7939450948166657E-3</v>
      </c>
      <c r="N231" s="13">
        <f t="shared" si="363"/>
        <v>1.5611044454747936E-2</v>
      </c>
      <c r="O231" s="13">
        <f t="shared" si="364"/>
        <v>81.427107038830101</v>
      </c>
      <c r="P231" s="13">
        <f t="shared" si="365"/>
        <v>1.81531577661289E-2</v>
      </c>
      <c r="Q231" s="51">
        <v>641.13900000000001</v>
      </c>
      <c r="R231" s="51">
        <v>76.191100000000006</v>
      </c>
      <c r="S231" s="51">
        <v>640.84</v>
      </c>
      <c r="T231" s="51">
        <v>50.418999999999997</v>
      </c>
      <c r="U231" s="51">
        <v>674.70299999999997</v>
      </c>
      <c r="V231" s="51">
        <v>77.539599999999993</v>
      </c>
      <c r="W231" s="51">
        <v>674.25400000000002</v>
      </c>
      <c r="X231" s="51">
        <v>47.572099999999999</v>
      </c>
      <c r="Y231" s="51">
        <v>657.06500000000005</v>
      </c>
      <c r="Z231" s="51">
        <v>62.6402</v>
      </c>
      <c r="AA231" s="51">
        <v>657.06500000000005</v>
      </c>
      <c r="AB231" s="51">
        <v>60.516100000000002</v>
      </c>
      <c r="AC231" s="51">
        <v>657.00400000000002</v>
      </c>
      <c r="AD231" s="51">
        <v>65.128500000000003</v>
      </c>
      <c r="AG231" s="14" t="s">
        <v>222</v>
      </c>
      <c r="AH231" s="14" t="s">
        <v>238</v>
      </c>
      <c r="AI231" s="14" t="s">
        <v>222</v>
      </c>
      <c r="AJ231" s="55">
        <v>9.5729096584819994E-5</v>
      </c>
      <c r="AK231" s="55">
        <v>7.6032363275969304E-5</v>
      </c>
      <c r="AL231" s="55">
        <v>7.2033699250238705E-5</v>
      </c>
      <c r="AM231" s="55">
        <v>7.0360134855772705E-5</v>
      </c>
      <c r="AN231" s="51">
        <v>0.82902086545736098</v>
      </c>
    </row>
    <row r="232" spans="1:40" x14ac:dyDescent="0.35">
      <c r="A232" s="51" t="s">
        <v>154</v>
      </c>
      <c r="B232" s="14">
        <v>1</v>
      </c>
      <c r="C232" s="51">
        <v>80</v>
      </c>
      <c r="D232" s="14">
        <v>1651</v>
      </c>
      <c r="E232" s="12">
        <f t="shared" si="354"/>
        <v>42.19695763156389</v>
      </c>
      <c r="F232" s="12">
        <f t="shared" si="355"/>
        <v>1.1975572386423481</v>
      </c>
      <c r="G232" s="12">
        <f t="shared" si="356"/>
        <v>5.0081518547264547</v>
      </c>
      <c r="H232" s="12">
        <f t="shared" si="357"/>
        <v>23.474868113793523</v>
      </c>
      <c r="I232" s="12">
        <f t="shared" si="358"/>
        <v>1.2558265571356158</v>
      </c>
      <c r="J232" s="12">
        <f t="shared" si="359"/>
        <v>24.578764863393769</v>
      </c>
      <c r="K232" s="13">
        <f t="shared" si="360"/>
        <v>2.5558423762303991E-2</v>
      </c>
      <c r="L232" s="13">
        <f t="shared" si="361"/>
        <v>68.614975499547683</v>
      </c>
      <c r="M232" s="13">
        <f t="shared" si="362"/>
        <v>3.0334051209730192E-3</v>
      </c>
      <c r="N232" s="13">
        <f t="shared" si="363"/>
        <v>1.4218575477767125E-2</v>
      </c>
      <c r="O232" s="13">
        <f t="shared" si="364"/>
        <v>71.953561524315518</v>
      </c>
      <c r="P232" s="13">
        <f t="shared" si="365"/>
        <v>1.4887198584732749E-2</v>
      </c>
      <c r="Q232" s="51">
        <v>507.96199999999999</v>
      </c>
      <c r="R232" s="51">
        <v>75.950800000000001</v>
      </c>
      <c r="S232" s="51">
        <v>508.20600000000002</v>
      </c>
      <c r="T232" s="51">
        <v>52.477200000000003</v>
      </c>
      <c r="U232" s="51">
        <v>541.95000000000005</v>
      </c>
      <c r="V232" s="51">
        <v>76.195300000000003</v>
      </c>
      <c r="W232" s="51">
        <v>542.43899999999996</v>
      </c>
      <c r="X232" s="51">
        <v>51.621400000000001</v>
      </c>
      <c r="Y232" s="51">
        <v>525.26800000000003</v>
      </c>
      <c r="Z232" s="51">
        <v>63.600499999999997</v>
      </c>
      <c r="AA232" s="51">
        <v>525.23599999999999</v>
      </c>
      <c r="AB232" s="51">
        <v>61.331099999999999</v>
      </c>
      <c r="AC232" s="51">
        <v>525.197</v>
      </c>
      <c r="AD232" s="51">
        <v>66.339100000000002</v>
      </c>
      <c r="AG232" s="14" t="s">
        <v>222</v>
      </c>
      <c r="AH232" s="14" t="s">
        <v>238</v>
      </c>
      <c r="AI232" s="14" t="s">
        <v>222</v>
      </c>
      <c r="AJ232" s="55">
        <v>7.6326308670368698E-5</v>
      </c>
      <c r="AK232" s="55">
        <v>7.39636988173386E-5</v>
      </c>
      <c r="AL232" s="55">
        <v>6.0697097311946199E-5</v>
      </c>
      <c r="AM232" s="55">
        <v>5.8270914256029603E-5</v>
      </c>
      <c r="AN232" s="51">
        <v>0.79158963098532398</v>
      </c>
    </row>
    <row r="233" spans="1:40" x14ac:dyDescent="0.35">
      <c r="A233" s="51" t="s">
        <v>154</v>
      </c>
      <c r="B233" s="14">
        <v>1</v>
      </c>
      <c r="C233" s="51">
        <v>90</v>
      </c>
      <c r="D233" s="14">
        <v>1651</v>
      </c>
      <c r="E233" s="12">
        <f t="shared" si="354"/>
        <v>33.52959716191053</v>
      </c>
      <c r="F233" s="12">
        <f t="shared" si="355"/>
        <v>0.84639960676650317</v>
      </c>
      <c r="G233" s="12">
        <f t="shared" si="356"/>
        <v>3.1748000000000047</v>
      </c>
      <c r="H233" s="12">
        <f t="shared" si="357"/>
        <v>12.263648672397631</v>
      </c>
      <c r="I233" s="12">
        <f t="shared" si="358"/>
        <v>0.77600299355022495</v>
      </c>
      <c r="J233" s="12">
        <f t="shared" si="359"/>
        <v>12.96429472088629</v>
      </c>
      <c r="K233" s="13">
        <f t="shared" si="360"/>
        <v>2.0308659698310437E-2</v>
      </c>
      <c r="L233" s="13">
        <f t="shared" si="361"/>
        <v>48.495125249253142</v>
      </c>
      <c r="M233" s="13">
        <f t="shared" si="362"/>
        <v>1.9229557843731101E-3</v>
      </c>
      <c r="N233" s="13">
        <f t="shared" si="363"/>
        <v>7.4280125211372691E-3</v>
      </c>
      <c r="O233" s="13">
        <f t="shared" si="364"/>
        <v>44.461696419945532</v>
      </c>
      <c r="P233" s="13">
        <f t="shared" si="365"/>
        <v>7.8523892918754036E-3</v>
      </c>
      <c r="Q233" s="51">
        <v>329.09500000000003</v>
      </c>
      <c r="R233" s="51">
        <v>75.975700000000003</v>
      </c>
      <c r="S233" s="51">
        <v>328.92</v>
      </c>
      <c r="T233" s="51">
        <v>63.713299999999997</v>
      </c>
      <c r="U233" s="51">
        <v>357.82400000000001</v>
      </c>
      <c r="V233" s="51">
        <v>71.946600000000004</v>
      </c>
      <c r="W233" s="51">
        <v>358</v>
      </c>
      <c r="X233" s="51">
        <v>58.983499999999999</v>
      </c>
      <c r="Y233" s="51">
        <v>342.40899999999999</v>
      </c>
      <c r="Z233" s="51">
        <v>67.917500000000004</v>
      </c>
      <c r="AA233" s="51">
        <v>342.38200000000001</v>
      </c>
      <c r="AB233" s="51">
        <v>66.279399999999995</v>
      </c>
      <c r="AC233" s="51">
        <v>342.38200000000001</v>
      </c>
      <c r="AD233" s="51">
        <v>69.4542</v>
      </c>
      <c r="AG233" s="14" t="s">
        <v>222</v>
      </c>
      <c r="AH233" s="14" t="s">
        <v>238</v>
      </c>
      <c r="AI233" s="14" t="s">
        <v>222</v>
      </c>
      <c r="AJ233" s="55">
        <v>3.6784656711917003E-5</v>
      </c>
      <c r="AK233" s="55">
        <v>3.0206126309293999E-5</v>
      </c>
      <c r="AL233" s="55">
        <v>2.4547192146455299E-5</v>
      </c>
      <c r="AM233" s="55">
        <v>2.5367727798177501E-5</v>
      </c>
      <c r="AN233" s="51">
        <v>0.74510130638163197</v>
      </c>
    </row>
    <row r="234" spans="1:40" x14ac:dyDescent="0.35">
      <c r="A234" s="51" t="s">
        <v>156</v>
      </c>
      <c r="B234" s="14">
        <v>1</v>
      </c>
      <c r="C234" s="51">
        <v>40</v>
      </c>
      <c r="D234" s="14">
        <v>913</v>
      </c>
      <c r="E234" s="12">
        <f t="shared" ref="E234:E239" si="366">DIST2(Q234,R234,W234,X234)</f>
        <v>28.622618156975065</v>
      </c>
      <c r="F234" s="12">
        <f t="shared" ref="F234:F239" si="367">ACOS((DIST2(Y234,Z234,S234,T234)^2 + DIST2(Y234,Z234,Q234,R234)^2 - DIST2(Q234,R234,S234,T234)^2)/(2*DIST2(Y234,Z234,S234,T234) * DIST2(Y234,Z234,Q234,R234)))</f>
        <v>1.3405210212643264</v>
      </c>
      <c r="G234" s="12">
        <f t="shared" ref="G234:G239" si="368">DIST2(AA234,AB234,AC234,AD234)</f>
        <v>1.3736515424226059</v>
      </c>
      <c r="H234" s="12">
        <f t="shared" ref="H234:H239" si="369">DIST2(Q234,R234,S234,T234)</f>
        <v>19.185384533284704</v>
      </c>
      <c r="I234" s="12">
        <f t="shared" ref="I234:I239" si="370">ACOS((DIST2(Y234,Z234,W234,X234)^2 + DIST2(Y234,Z234,U234,V234)^2 - DIST2(U234,V234,W234,X234)^2)/(2*DIST2(Y234,Z234,W234,X234) * DIST2(Y234,Z234,U234,V234)))</f>
        <v>1.5738453897772886</v>
      </c>
      <c r="J234" s="12">
        <f t="shared" ref="J234:J239" si="371">DIST2(U234,V234,W234,X234)</f>
        <v>19.016643735422928</v>
      </c>
      <c r="K234" s="13">
        <f t="shared" ref="K234:K239" si="372">E234/D234</f>
        <v>3.135007465167039E-2</v>
      </c>
      <c r="L234" s="13">
        <f t="shared" ref="L234:L239" si="373">F234*180/PI()</f>
        <v>76.806196867012787</v>
      </c>
      <c r="M234" s="13">
        <f t="shared" ref="M234:M239" si="374">G234/D234</f>
        <v>1.5045471439458992E-3</v>
      </c>
      <c r="N234" s="13">
        <f t="shared" ref="N234:N239" si="375">H234/D234</f>
        <v>2.1013564658581275E-2</v>
      </c>
      <c r="O234" s="13">
        <f t="shared" ref="O234:O239" si="376">I234*180/PI()</f>
        <v>90.174698440360643</v>
      </c>
      <c r="P234" s="13">
        <f t="shared" ref="P234:P239" si="377">J234/D234</f>
        <v>2.0828744507582615E-2</v>
      </c>
      <c r="Q234" s="51">
        <v>377.19799999999998</v>
      </c>
      <c r="R234" s="51">
        <v>-48.134799999999998</v>
      </c>
      <c r="S234" s="51">
        <v>378.42200000000003</v>
      </c>
      <c r="T234" s="51">
        <v>-67.281099999999995</v>
      </c>
      <c r="U234" s="51">
        <v>355.60399999999998</v>
      </c>
      <c r="V234" s="51">
        <v>-49.358800000000002</v>
      </c>
      <c r="W234" s="51">
        <v>356.91500000000002</v>
      </c>
      <c r="X234" s="51">
        <v>-68.330200000000005</v>
      </c>
      <c r="Y234" s="51">
        <v>365.72300000000001</v>
      </c>
      <c r="Z234" s="51">
        <v>-58.296100000000003</v>
      </c>
      <c r="AA234" s="51">
        <v>365.79500000000002</v>
      </c>
      <c r="AB234" s="51">
        <v>-58.944299999999998</v>
      </c>
      <c r="AC234" s="51">
        <v>365.67500000000001</v>
      </c>
      <c r="AD234" s="51">
        <v>-57.575899999999997</v>
      </c>
      <c r="AG234" s="14" t="s">
        <v>226</v>
      </c>
      <c r="AH234" s="14" t="s">
        <v>226</v>
      </c>
      <c r="AI234" s="14" t="s">
        <v>223</v>
      </c>
      <c r="AJ234" s="51">
        <v>1.08122300793336E-4</v>
      </c>
      <c r="AK234" s="51">
        <v>1.39245355633427E-4</v>
      </c>
      <c r="AL234" s="51">
        <v>1.13827986285478E-4</v>
      </c>
      <c r="AM234" s="51">
        <v>1.15495263919364E-4</v>
      </c>
      <c r="AN234" s="51">
        <v>0.92705430256092203</v>
      </c>
    </row>
    <row r="235" spans="1:40" x14ac:dyDescent="0.35">
      <c r="A235" s="51" t="s">
        <v>156</v>
      </c>
      <c r="B235" s="14">
        <v>1</v>
      </c>
      <c r="C235" s="51">
        <v>50</v>
      </c>
      <c r="D235" s="14">
        <v>913</v>
      </c>
      <c r="E235" s="12">
        <f t="shared" si="366"/>
        <v>25.205443495602307</v>
      </c>
      <c r="F235" s="12">
        <f t="shared" si="367"/>
        <v>1.4642287111565651</v>
      </c>
      <c r="G235" s="12">
        <f t="shared" si="368"/>
        <v>1.5408686154244335</v>
      </c>
      <c r="H235" s="12">
        <f t="shared" si="369"/>
        <v>17.880630647714863</v>
      </c>
      <c r="I235" s="12">
        <f t="shared" si="370"/>
        <v>1.4778045047681496</v>
      </c>
      <c r="J235" s="12">
        <f t="shared" si="371"/>
        <v>16.522016362720379</v>
      </c>
      <c r="K235" s="13">
        <f t="shared" si="372"/>
        <v>2.7607276555971859E-2</v>
      </c>
      <c r="L235" s="13">
        <f t="shared" si="373"/>
        <v>83.894125391151249</v>
      </c>
      <c r="M235" s="13">
        <f t="shared" si="374"/>
        <v>1.6876983739588537E-3</v>
      </c>
      <c r="N235" s="13">
        <f t="shared" si="375"/>
        <v>1.9584480446566115E-2</v>
      </c>
      <c r="O235" s="13">
        <f t="shared" si="376"/>
        <v>84.67196106863571</v>
      </c>
      <c r="P235" s="13">
        <f t="shared" si="377"/>
        <v>1.80964034640968E-2</v>
      </c>
      <c r="Q235" s="51">
        <v>464.23099999999999</v>
      </c>
      <c r="R235" s="51">
        <v>-44.807600000000001</v>
      </c>
      <c r="S235" s="51">
        <v>464.964</v>
      </c>
      <c r="T235" s="51">
        <v>-62.673200000000001</v>
      </c>
      <c r="U235" s="51">
        <v>445.08300000000003</v>
      </c>
      <c r="V235" s="51">
        <v>-45.815399999999997</v>
      </c>
      <c r="W235" s="51">
        <v>446.09</v>
      </c>
      <c r="X235" s="51">
        <v>-62.306699999999999</v>
      </c>
      <c r="Y235" s="51">
        <v>454.65199999999999</v>
      </c>
      <c r="Z235" s="51">
        <v>-53.9377</v>
      </c>
      <c r="AA235" s="51">
        <v>454.68200000000002</v>
      </c>
      <c r="AB235" s="51">
        <v>-54.601900000000001</v>
      </c>
      <c r="AC235" s="51">
        <v>454.62200000000001</v>
      </c>
      <c r="AD235" s="51">
        <v>-53.062199999999997</v>
      </c>
      <c r="AG235" s="14" t="s">
        <v>226</v>
      </c>
      <c r="AH235" s="14" t="s">
        <v>226</v>
      </c>
      <c r="AI235" s="14" t="s">
        <v>223</v>
      </c>
      <c r="AJ235" s="55">
        <v>8.9750274782291403E-5</v>
      </c>
      <c r="AK235" s="51">
        <v>1.0666600227455701E-4</v>
      </c>
      <c r="AL235" s="55">
        <v>8.8999909185682097E-5</v>
      </c>
      <c r="AM235" s="55">
        <v>8.91164157976126E-5</v>
      </c>
      <c r="AN235" s="51">
        <v>0.906830776207732</v>
      </c>
    </row>
    <row r="236" spans="1:40" x14ac:dyDescent="0.35">
      <c r="A236" s="51" t="s">
        <v>156</v>
      </c>
      <c r="B236" s="14">
        <v>1</v>
      </c>
      <c r="C236" s="51">
        <v>60</v>
      </c>
      <c r="D236" s="14">
        <v>913</v>
      </c>
      <c r="E236" s="12">
        <f t="shared" si="366"/>
        <v>25.106491866447655</v>
      </c>
      <c r="F236" s="12">
        <f t="shared" si="367"/>
        <v>1.5541383476046398</v>
      </c>
      <c r="G236" s="12">
        <f t="shared" si="368"/>
        <v>1.6711516418326646</v>
      </c>
      <c r="H236" s="12">
        <f t="shared" si="369"/>
        <v>17.449173675564126</v>
      </c>
      <c r="I236" s="12">
        <f t="shared" si="370"/>
        <v>1.5753525610861234</v>
      </c>
      <c r="J236" s="12">
        <f t="shared" si="371"/>
        <v>18.511085587830873</v>
      </c>
      <c r="K236" s="13">
        <f t="shared" si="372"/>
        <v>2.7498895801147488E-2</v>
      </c>
      <c r="L236" s="13">
        <f t="shared" si="373"/>
        <v>89.04556809718153</v>
      </c>
      <c r="M236" s="13">
        <f t="shared" si="374"/>
        <v>1.8303961027740028E-3</v>
      </c>
      <c r="N236" s="13">
        <f t="shared" si="375"/>
        <v>1.9111909830847894E-2</v>
      </c>
      <c r="O236" s="13">
        <f t="shared" si="376"/>
        <v>90.261052995360089</v>
      </c>
      <c r="P236" s="13">
        <f t="shared" si="377"/>
        <v>2.0275011596747945E-2</v>
      </c>
      <c r="Q236" s="51">
        <v>559.47</v>
      </c>
      <c r="R236" s="51">
        <v>-41.892899999999997</v>
      </c>
      <c r="S236" s="51">
        <v>559.91099999999994</v>
      </c>
      <c r="T236" s="51">
        <v>-59.336500000000001</v>
      </c>
      <c r="U236" s="51">
        <v>541.322</v>
      </c>
      <c r="V236" s="51">
        <v>-41.3643</v>
      </c>
      <c r="W236" s="51">
        <v>541.93899999999996</v>
      </c>
      <c r="X236" s="51">
        <v>-59.865099999999998</v>
      </c>
      <c r="Y236" s="51">
        <v>550.83199999999999</v>
      </c>
      <c r="Z236" s="51">
        <v>-51.0871</v>
      </c>
      <c r="AA236" s="51">
        <v>550.86099999999999</v>
      </c>
      <c r="AB236" s="51">
        <v>-51.833100000000002</v>
      </c>
      <c r="AC236" s="51">
        <v>550.83199999999999</v>
      </c>
      <c r="AD236" s="51">
        <v>-50.162199999999999</v>
      </c>
      <c r="AG236" s="14" t="s">
        <v>226</v>
      </c>
      <c r="AH236" s="14" t="s">
        <v>226</v>
      </c>
      <c r="AI236" s="14" t="s">
        <v>223</v>
      </c>
      <c r="AJ236" s="51">
        <v>1.01937356355623E-4</v>
      </c>
      <c r="AK236" s="55">
        <v>9.28132278191727E-5</v>
      </c>
      <c r="AL236" s="55">
        <v>9.2756150480644199E-5</v>
      </c>
      <c r="AM236" s="55">
        <v>8.3757274322821394E-5</v>
      </c>
      <c r="AN236" s="51">
        <v>0.90635633033603002</v>
      </c>
    </row>
    <row r="237" spans="1:40" x14ac:dyDescent="0.35">
      <c r="A237" s="51" t="s">
        <v>156</v>
      </c>
      <c r="B237" s="14">
        <v>1</v>
      </c>
      <c r="C237" s="51">
        <v>70</v>
      </c>
      <c r="D237" s="14">
        <v>913</v>
      </c>
      <c r="E237" s="12">
        <f t="shared" si="366"/>
        <v>25.389273802336266</v>
      </c>
      <c r="F237" s="12">
        <f t="shared" si="367"/>
        <v>1.6324067341896731</v>
      </c>
      <c r="G237" s="12">
        <f t="shared" si="368"/>
        <v>1.8021999999999991</v>
      </c>
      <c r="H237" s="12">
        <f t="shared" si="369"/>
        <v>18.243752230284205</v>
      </c>
      <c r="I237" s="12">
        <f t="shared" si="370"/>
        <v>1.6216496071714577</v>
      </c>
      <c r="J237" s="12">
        <f t="shared" si="371"/>
        <v>18.693227132841461</v>
      </c>
      <c r="K237" s="13">
        <f t="shared" si="372"/>
        <v>2.7808624098944433E-2</v>
      </c>
      <c r="L237" s="13">
        <f t="shared" si="373"/>
        <v>93.530016317802293</v>
      </c>
      <c r="M237" s="13">
        <f t="shared" si="374"/>
        <v>1.9739320920043801E-3</v>
      </c>
      <c r="N237" s="13">
        <f t="shared" si="375"/>
        <v>1.9982203976214901E-2</v>
      </c>
      <c r="O237" s="13">
        <f t="shared" si="376"/>
        <v>92.913678339972392</v>
      </c>
      <c r="P237" s="13">
        <f t="shared" si="377"/>
        <v>2.04745094554671E-2</v>
      </c>
      <c r="Q237" s="51">
        <v>654.18700000000001</v>
      </c>
      <c r="R237" s="51">
        <v>-42.494700000000002</v>
      </c>
      <c r="S237" s="51">
        <v>653.33399999999995</v>
      </c>
      <c r="T237" s="51">
        <v>-60.718499999999999</v>
      </c>
      <c r="U237" s="51">
        <v>636.50599999999997</v>
      </c>
      <c r="V237" s="51">
        <v>-41.641599999999997</v>
      </c>
      <c r="W237" s="51">
        <v>636.11800000000005</v>
      </c>
      <c r="X237" s="51">
        <v>-60.330800000000004</v>
      </c>
      <c r="Y237" s="51">
        <v>645.19000000000005</v>
      </c>
      <c r="Z237" s="51">
        <v>-51.285200000000003</v>
      </c>
      <c r="AA237" s="51">
        <v>645.19000000000005</v>
      </c>
      <c r="AB237" s="51">
        <v>-52.119599999999998</v>
      </c>
      <c r="AC237" s="51">
        <v>645.19000000000005</v>
      </c>
      <c r="AD237" s="51">
        <v>-50.317399999999999</v>
      </c>
      <c r="AG237" s="14" t="s">
        <v>226</v>
      </c>
      <c r="AH237" s="14" t="s">
        <v>226</v>
      </c>
      <c r="AI237" s="14" t="s">
        <v>223</v>
      </c>
      <c r="AJ237" s="55">
        <v>9.9595072273561496E-5</v>
      </c>
      <c r="AK237" s="55">
        <v>9.3850198423884898E-5</v>
      </c>
      <c r="AL237" s="55">
        <v>8.7568335314773193E-5</v>
      </c>
      <c r="AM237" s="55">
        <v>8.6904163662515703E-5</v>
      </c>
      <c r="AN237" s="51">
        <v>0.90192175982512701</v>
      </c>
    </row>
    <row r="238" spans="1:40" x14ac:dyDescent="0.35">
      <c r="A238" s="51" t="s">
        <v>156</v>
      </c>
      <c r="B238" s="14">
        <v>1</v>
      </c>
      <c r="C238" s="51">
        <v>80</v>
      </c>
      <c r="D238" s="14">
        <v>913</v>
      </c>
      <c r="E238" s="12">
        <f t="shared" si="366"/>
        <v>23.970234959215603</v>
      </c>
      <c r="F238" s="12">
        <f t="shared" si="367"/>
        <v>1.6322249682974448</v>
      </c>
      <c r="G238" s="12">
        <f t="shared" si="368"/>
        <v>2.7885323899858134</v>
      </c>
      <c r="H238" s="12">
        <f t="shared" si="369"/>
        <v>16.738662001784981</v>
      </c>
      <c r="I238" s="12">
        <f t="shared" si="370"/>
        <v>1.5449449709789054</v>
      </c>
      <c r="J238" s="12">
        <f t="shared" si="371"/>
        <v>16.919914259830037</v>
      </c>
      <c r="K238" s="13">
        <f t="shared" si="372"/>
        <v>2.6254364686983136E-2</v>
      </c>
      <c r="L238" s="13">
        <f t="shared" si="373"/>
        <v>93.519601899318175</v>
      </c>
      <c r="M238" s="13">
        <f t="shared" si="374"/>
        <v>3.0542523439056005E-3</v>
      </c>
      <c r="N238" s="13">
        <f t="shared" si="375"/>
        <v>1.8333693320684536E-2</v>
      </c>
      <c r="O238" s="13">
        <f t="shared" si="376"/>
        <v>88.518826417052736</v>
      </c>
      <c r="P238" s="13">
        <f t="shared" si="377"/>
        <v>1.8532217152059185E-2</v>
      </c>
      <c r="Q238" s="51">
        <v>747.90700000000004</v>
      </c>
      <c r="R238" s="51">
        <v>-48.543300000000002</v>
      </c>
      <c r="S238" s="51">
        <v>745.78099999999995</v>
      </c>
      <c r="T238" s="51">
        <v>-65.1464</v>
      </c>
      <c r="U238" s="51">
        <v>731.14099999999996</v>
      </c>
      <c r="V238" s="51">
        <v>-47.152900000000002</v>
      </c>
      <c r="W238" s="51">
        <v>729.58699999999999</v>
      </c>
      <c r="X238" s="51">
        <v>-64.001300000000001</v>
      </c>
      <c r="Y238" s="51">
        <v>738.97199999999998</v>
      </c>
      <c r="Z238" s="51">
        <v>-56.703400000000002</v>
      </c>
      <c r="AA238" s="51">
        <v>738.93600000000004</v>
      </c>
      <c r="AB238" s="51">
        <v>-58.0261</v>
      </c>
      <c r="AC238" s="51">
        <v>738.97199999999998</v>
      </c>
      <c r="AD238" s="51">
        <v>-55.2378</v>
      </c>
      <c r="AG238" s="14" t="s">
        <v>226</v>
      </c>
      <c r="AH238" s="14" t="s">
        <v>226</v>
      </c>
      <c r="AI238" s="14" t="s">
        <v>223</v>
      </c>
      <c r="AJ238" s="55">
        <v>8.80438796308404E-5</v>
      </c>
      <c r="AK238" s="55">
        <v>7.8577973689040898E-5</v>
      </c>
      <c r="AL238" s="55">
        <v>7.4776779726693602E-5</v>
      </c>
      <c r="AM238" s="55">
        <v>6.4462527217302795E-5</v>
      </c>
      <c r="AN238" s="51">
        <v>0.83566053413584496</v>
      </c>
    </row>
    <row r="239" spans="1:40" x14ac:dyDescent="0.35">
      <c r="A239" s="51" t="s">
        <v>156</v>
      </c>
      <c r="B239" s="14">
        <v>1</v>
      </c>
      <c r="C239" s="51">
        <v>90</v>
      </c>
      <c r="D239" s="14">
        <v>913</v>
      </c>
      <c r="E239" s="12">
        <f t="shared" si="366"/>
        <v>21.182616703561511</v>
      </c>
      <c r="F239" s="12">
        <f t="shared" si="367"/>
        <v>1.6000762405184159</v>
      </c>
      <c r="G239" s="12">
        <f t="shared" si="368"/>
        <v>1.4711030589322978</v>
      </c>
      <c r="H239" s="12">
        <f t="shared" si="369"/>
        <v>15.560824554309464</v>
      </c>
      <c r="I239" s="12">
        <f t="shared" si="370"/>
        <v>1.5858792831321724</v>
      </c>
      <c r="J239" s="12">
        <f t="shared" si="371"/>
        <v>15.909033911586217</v>
      </c>
      <c r="K239" s="13">
        <f t="shared" si="372"/>
        <v>2.3201113585500012E-2</v>
      </c>
      <c r="L239" s="13">
        <f t="shared" si="373"/>
        <v>91.67761548086483</v>
      </c>
      <c r="M239" s="13">
        <f t="shared" si="374"/>
        <v>1.6112848400134695E-3</v>
      </c>
      <c r="N239" s="13">
        <f t="shared" si="375"/>
        <v>1.7043619446122087E-2</v>
      </c>
      <c r="O239" s="13">
        <f t="shared" si="376"/>
        <v>90.86418974070601</v>
      </c>
      <c r="P239" s="13">
        <f t="shared" si="377"/>
        <v>1.7425009760773512E-2</v>
      </c>
      <c r="Q239" s="51">
        <v>840.54600000000005</v>
      </c>
      <c r="R239" s="51">
        <v>-64.417400000000001</v>
      </c>
      <c r="S239" s="51">
        <v>837.82399999999996</v>
      </c>
      <c r="T239" s="51">
        <v>-79.738299999999995</v>
      </c>
      <c r="U239" s="51">
        <v>825.77</v>
      </c>
      <c r="V239" s="51">
        <v>-60.3733</v>
      </c>
      <c r="W239" s="51">
        <v>822.81399999999996</v>
      </c>
      <c r="X239" s="51">
        <v>-76.005300000000005</v>
      </c>
      <c r="Y239" s="51">
        <v>831.87699999999995</v>
      </c>
      <c r="Z239" s="51">
        <v>-70.155500000000004</v>
      </c>
      <c r="AA239" s="51">
        <v>831.678</v>
      </c>
      <c r="AB239" s="51">
        <v>-70.833699999999993</v>
      </c>
      <c r="AC239" s="51">
        <v>831.99699999999996</v>
      </c>
      <c r="AD239" s="51">
        <v>-69.397599999999997</v>
      </c>
      <c r="AG239" s="14" t="s">
        <v>226</v>
      </c>
      <c r="AH239" s="14" t="s">
        <v>226</v>
      </c>
      <c r="AI239" s="14" t="s">
        <v>223</v>
      </c>
      <c r="AJ239" s="55">
        <v>7.4607385351422496E-5</v>
      </c>
      <c r="AK239" s="55">
        <v>7.0298783843929499E-5</v>
      </c>
      <c r="AL239" s="55">
        <v>6.4877920184172304E-5</v>
      </c>
      <c r="AM239" s="55">
        <v>6.6410235985263499E-5</v>
      </c>
      <c r="AN239" s="51">
        <v>0.90602185468337504</v>
      </c>
    </row>
    <row r="240" spans="1:40" x14ac:dyDescent="0.35">
      <c r="A240" s="51" t="s">
        <v>219</v>
      </c>
      <c r="B240" s="14">
        <v>1</v>
      </c>
      <c r="C240" s="51">
        <v>20</v>
      </c>
      <c r="D240" s="14">
        <v>1329</v>
      </c>
      <c r="E240" s="12">
        <f t="shared" ref="E240:E247" si="378">DIST2(Q240,R240,W240,X240)</f>
        <v>19.963176726162647</v>
      </c>
      <c r="F240" s="12">
        <f t="shared" ref="F240:F247" si="379">ACOS((DIST2(Y240,Z240,S240,T240)^2 + DIST2(Y240,Z240,Q240,R240)^2 - DIST2(Q240,R240,S240,T240)^2)/(2*DIST2(Y240,Z240,S240,T240) * DIST2(Y240,Z240,Q240,R240)))</f>
        <v>1.9829000059069912</v>
      </c>
      <c r="G240" s="12">
        <f t="shared" ref="G240:G247" si="380">DIST2(AA240,AB240,AC240,AD240)</f>
        <v>7.5042508620114701</v>
      </c>
      <c r="H240" s="12">
        <f t="shared" ref="H240:H247" si="381">DIST2(Q240,R240,S240,T240)</f>
        <v>16.988324490661228</v>
      </c>
      <c r="I240" s="12">
        <f t="shared" ref="I240:I247" si="382">ACOS((DIST2(Y240,Z240,W240,X240)^2 + DIST2(Y240,Z240,U240,V240)^2 - DIST2(U240,V240,W240,X240)^2)/(2*DIST2(Y240,Z240,W240,X240) * DIST2(Y240,Z240,U240,V240)))</f>
        <v>1.9706926290731293</v>
      </c>
      <c r="J240" s="12">
        <f t="shared" ref="J240:J247" si="383">DIST2(U240,V240,W240,X240)</f>
        <v>17.021490093408378</v>
      </c>
      <c r="K240" s="13">
        <f t="shared" ref="K240:K247" si="384">E240/D240</f>
        <v>1.5021201449332316E-2</v>
      </c>
      <c r="L240" s="13">
        <f t="shared" ref="L240:L247" si="385">F240*180/PI()</f>
        <v>113.61180153493662</v>
      </c>
      <c r="M240" s="13">
        <f t="shared" ref="M240:M247" si="386">G240/D240</f>
        <v>5.6465393995571633E-3</v>
      </c>
      <c r="N240" s="13">
        <f t="shared" ref="N240:N247" si="387">H240/D240</f>
        <v>1.2782787427134106E-2</v>
      </c>
      <c r="O240" s="13">
        <f t="shared" ref="O240:O247" si="388">I240*180/PI()</f>
        <v>112.91237036343055</v>
      </c>
      <c r="P240" s="13">
        <f t="shared" ref="P240:P247" si="389">J240/D240</f>
        <v>1.2807742733941594E-2</v>
      </c>
      <c r="Q240" s="51">
        <v>1326.77</v>
      </c>
      <c r="R240" s="51">
        <v>216.09399999999999</v>
      </c>
      <c r="S240" s="51">
        <v>1332.23</v>
      </c>
      <c r="T240" s="51">
        <v>200.00700000000001</v>
      </c>
      <c r="U240" s="51">
        <v>1337.18</v>
      </c>
      <c r="V240" s="51">
        <v>220.154</v>
      </c>
      <c r="W240" s="51">
        <v>1342.69</v>
      </c>
      <c r="X240" s="51">
        <v>204.04900000000001</v>
      </c>
      <c r="Y240" s="51">
        <v>1334.78</v>
      </c>
      <c r="Z240" s="51">
        <v>209.78399999999999</v>
      </c>
      <c r="AA240" s="51">
        <v>1335.98</v>
      </c>
      <c r="AB240" s="51">
        <v>206.286</v>
      </c>
      <c r="AC240" s="51">
        <v>1333.73</v>
      </c>
      <c r="AD240" s="51">
        <v>213.44499999999999</v>
      </c>
      <c r="AG240" s="14" t="s">
        <v>223</v>
      </c>
      <c r="AH240" s="14" t="s">
        <v>223</v>
      </c>
      <c r="AI240" s="14" t="s">
        <v>223</v>
      </c>
      <c r="AJ240" s="55">
        <v>2.71171091600754E-5</v>
      </c>
      <c r="AK240" s="55">
        <v>2.67246287454542E-5</v>
      </c>
      <c r="AL240" s="55">
        <v>1.5805796038026602E-5</v>
      </c>
      <c r="AM240" s="55">
        <v>1.4301796866905501E-5</v>
      </c>
      <c r="AN240" s="51">
        <v>0.559186870189049</v>
      </c>
    </row>
    <row r="241" spans="1:40" x14ac:dyDescent="0.35">
      <c r="A241" s="51" t="s">
        <v>219</v>
      </c>
      <c r="B241" s="14">
        <v>1</v>
      </c>
      <c r="C241" s="51">
        <v>30</v>
      </c>
      <c r="D241" s="14">
        <v>1329</v>
      </c>
      <c r="E241" s="12">
        <f t="shared" si="378"/>
        <v>20.446246501497569</v>
      </c>
      <c r="F241" s="12">
        <f t="shared" si="379"/>
        <v>1.8569035399617775</v>
      </c>
      <c r="G241" s="12">
        <f t="shared" si="380"/>
        <v>7.1680873320572447</v>
      </c>
      <c r="H241" s="12">
        <f t="shared" si="381"/>
        <v>17.131835745185072</v>
      </c>
      <c r="I241" s="12">
        <f t="shared" si="382"/>
        <v>1.8964740003544731</v>
      </c>
      <c r="J241" s="12">
        <f t="shared" si="383"/>
        <v>17.036567025078739</v>
      </c>
      <c r="K241" s="13">
        <f t="shared" si="384"/>
        <v>1.5384685102706975E-2</v>
      </c>
      <c r="L241" s="13">
        <f t="shared" si="385"/>
        <v>106.39273580271205</v>
      </c>
      <c r="M241" s="13">
        <f t="shared" si="386"/>
        <v>5.3935946817586494E-3</v>
      </c>
      <c r="N241" s="13">
        <f t="shared" si="387"/>
        <v>1.2890771817295012E-2</v>
      </c>
      <c r="O241" s="13">
        <f t="shared" si="388"/>
        <v>108.65995617660309</v>
      </c>
      <c r="P241" s="13">
        <f t="shared" si="389"/>
        <v>1.2819087302542317E-2</v>
      </c>
      <c r="Q241" s="51">
        <v>1190.83</v>
      </c>
      <c r="R241" s="51">
        <v>205.483</v>
      </c>
      <c r="S241" s="51">
        <v>1194</v>
      </c>
      <c r="T241" s="51">
        <v>188.64699999999999</v>
      </c>
      <c r="U241" s="51">
        <v>1202.95</v>
      </c>
      <c r="V241" s="51">
        <v>208.57300000000001</v>
      </c>
      <c r="W241" s="51">
        <v>1206.04</v>
      </c>
      <c r="X241" s="51">
        <v>191.81899999999999</v>
      </c>
      <c r="Y241" s="51">
        <v>1198.76</v>
      </c>
      <c r="Z241" s="51">
        <v>197.98</v>
      </c>
      <c r="AA241" s="51">
        <v>1199.3699999999999</v>
      </c>
      <c r="AB241" s="51">
        <v>194.846</v>
      </c>
      <c r="AC241" s="51">
        <v>1197.94</v>
      </c>
      <c r="AD241" s="51">
        <v>201.87</v>
      </c>
      <c r="AG241" s="14" t="s">
        <v>223</v>
      </c>
      <c r="AH241" s="14" t="s">
        <v>223</v>
      </c>
      <c r="AI241" s="14" t="s">
        <v>223</v>
      </c>
      <c r="AJ241" s="55">
        <v>2.9138614152881801E-5</v>
      </c>
      <c r="AK241" s="55">
        <v>3.1061720908981402E-5</v>
      </c>
      <c r="AL241" s="55">
        <v>1.8615653243243902E-5</v>
      </c>
      <c r="AM241" s="55">
        <v>1.6306472333050899E-5</v>
      </c>
      <c r="AN241" s="51">
        <v>0.580098525039903</v>
      </c>
    </row>
    <row r="242" spans="1:40" x14ac:dyDescent="0.35">
      <c r="A242" s="51" t="s">
        <v>219</v>
      </c>
      <c r="B242" s="14">
        <v>1</v>
      </c>
      <c r="C242" s="51">
        <v>40</v>
      </c>
      <c r="D242" s="14">
        <v>1329</v>
      </c>
      <c r="E242" s="12">
        <f t="shared" si="378"/>
        <v>23.4016368871923</v>
      </c>
      <c r="F242" s="12">
        <f t="shared" si="379"/>
        <v>1.9182934364202118</v>
      </c>
      <c r="G242" s="12">
        <f t="shared" si="380"/>
        <v>7.8054243318348542</v>
      </c>
      <c r="H242" s="12">
        <f t="shared" si="381"/>
        <v>19.450044344422427</v>
      </c>
      <c r="I242" s="12">
        <f t="shared" si="382"/>
        <v>2.0481778398160628</v>
      </c>
      <c r="J242" s="12">
        <f t="shared" si="383"/>
        <v>19.204909502520447</v>
      </c>
      <c r="K242" s="13">
        <f t="shared" si="384"/>
        <v>1.7608455144614222E-2</v>
      </c>
      <c r="L242" s="13">
        <f t="shared" si="385"/>
        <v>109.91011777452546</v>
      </c>
      <c r="M242" s="13">
        <f t="shared" si="386"/>
        <v>5.8731560058953008E-3</v>
      </c>
      <c r="N242" s="13">
        <f t="shared" si="387"/>
        <v>1.4635097324621841E-2</v>
      </c>
      <c r="O242" s="13">
        <f t="shared" si="388"/>
        <v>117.35194591368239</v>
      </c>
      <c r="P242" s="13">
        <f t="shared" si="389"/>
        <v>1.4450646728758801E-2</v>
      </c>
      <c r="Q242" s="51">
        <v>1060.6600000000001</v>
      </c>
      <c r="R242" s="51">
        <v>180.68600000000001</v>
      </c>
      <c r="S242" s="51">
        <v>1063.8599999999999</v>
      </c>
      <c r="T242" s="51">
        <v>161.501</v>
      </c>
      <c r="U242" s="51">
        <v>1073.45</v>
      </c>
      <c r="V242" s="51">
        <v>182.196</v>
      </c>
      <c r="W242" s="51">
        <v>1076.2</v>
      </c>
      <c r="X242" s="51">
        <v>163.18899999999999</v>
      </c>
      <c r="Y242" s="51">
        <v>1069.02</v>
      </c>
      <c r="Z242" s="51">
        <v>172.011</v>
      </c>
      <c r="AA242" s="51">
        <v>1069.71</v>
      </c>
      <c r="AB242" s="51">
        <v>168.197</v>
      </c>
      <c r="AC242" s="51">
        <v>1068.3900000000001</v>
      </c>
      <c r="AD242" s="51">
        <v>175.89</v>
      </c>
      <c r="AG242" s="14" t="s">
        <v>223</v>
      </c>
      <c r="AH242" s="14" t="s">
        <v>223</v>
      </c>
      <c r="AI242" s="14" t="s">
        <v>223</v>
      </c>
      <c r="AJ242" s="55">
        <v>3.17651328442725E-5</v>
      </c>
      <c r="AK242" s="55">
        <v>3.7544876378704698E-5</v>
      </c>
      <c r="AL242" s="55">
        <v>2.0669076303856599E-5</v>
      </c>
      <c r="AM242" s="55">
        <v>2.0595671825079599E-5</v>
      </c>
      <c r="AN242" s="51">
        <v>0.59536492047178102</v>
      </c>
    </row>
    <row r="243" spans="1:40" x14ac:dyDescent="0.35">
      <c r="A243" s="51" t="s">
        <v>219</v>
      </c>
      <c r="B243" s="14">
        <v>1</v>
      </c>
      <c r="C243" s="51">
        <v>50</v>
      </c>
      <c r="D243" s="14">
        <v>1329</v>
      </c>
      <c r="E243" s="12">
        <f t="shared" si="378"/>
        <v>26.658897389051958</v>
      </c>
      <c r="F243" s="12">
        <f t="shared" si="379"/>
        <v>1.9847341751485406</v>
      </c>
      <c r="G243" s="12">
        <f t="shared" si="380"/>
        <v>8.2222824689985128</v>
      </c>
      <c r="H243" s="12">
        <f t="shared" si="381"/>
        <v>21.252053547833899</v>
      </c>
      <c r="I243" s="12">
        <f t="shared" si="382"/>
        <v>1.8849965144637004</v>
      </c>
      <c r="J243" s="12">
        <f t="shared" si="383"/>
        <v>22.869109645983158</v>
      </c>
      <c r="K243" s="13">
        <f t="shared" si="384"/>
        <v>2.0059365981227959E-2</v>
      </c>
      <c r="L243" s="13">
        <f t="shared" si="385"/>
        <v>113.71689169139009</v>
      </c>
      <c r="M243" s="13">
        <f t="shared" si="386"/>
        <v>6.1868190135428991E-3</v>
      </c>
      <c r="N243" s="13">
        <f t="shared" si="387"/>
        <v>1.5991010946451393E-2</v>
      </c>
      <c r="O243" s="13">
        <f t="shared" si="388"/>
        <v>108.00234467564087</v>
      </c>
      <c r="P243" s="13">
        <f t="shared" si="389"/>
        <v>1.7207757446187476E-2</v>
      </c>
      <c r="Q243" s="51">
        <v>918.26</v>
      </c>
      <c r="R243" s="51">
        <v>174.43299999999999</v>
      </c>
      <c r="S243" s="51">
        <v>921.43200000000002</v>
      </c>
      <c r="T243" s="51">
        <v>153.41900000000001</v>
      </c>
      <c r="U243" s="51">
        <v>933.52499999999998</v>
      </c>
      <c r="V243" s="51">
        <v>177.506</v>
      </c>
      <c r="W243" s="51">
        <v>936.30100000000004</v>
      </c>
      <c r="X243" s="51">
        <v>154.80600000000001</v>
      </c>
      <c r="Y243" s="51">
        <v>926.77</v>
      </c>
      <c r="Z243" s="51">
        <v>164.46799999999999</v>
      </c>
      <c r="AA243" s="51">
        <v>927.43200000000002</v>
      </c>
      <c r="AB243" s="51">
        <v>160.75899999999999</v>
      </c>
      <c r="AC243" s="51">
        <v>925.90899999999999</v>
      </c>
      <c r="AD243" s="51">
        <v>168.839</v>
      </c>
      <c r="AG243" s="14" t="s">
        <v>223</v>
      </c>
      <c r="AH243" s="14" t="s">
        <v>223</v>
      </c>
      <c r="AI243" s="14" t="s">
        <v>223</v>
      </c>
      <c r="AJ243" s="55">
        <v>5.3654056269784498E-5</v>
      </c>
      <c r="AK243" s="55">
        <v>4.1676124605871898E-5</v>
      </c>
      <c r="AL243" s="55">
        <v>3.0827556092288599E-5</v>
      </c>
      <c r="AM243" s="55">
        <v>2.8539836862579901E-5</v>
      </c>
      <c r="AN243" s="51">
        <v>0.62275548425009497</v>
      </c>
    </row>
    <row r="244" spans="1:40" x14ac:dyDescent="0.35">
      <c r="A244" s="51" t="s">
        <v>219</v>
      </c>
      <c r="B244" s="14">
        <v>1</v>
      </c>
      <c r="C244" s="51">
        <v>60</v>
      </c>
      <c r="D244" s="14">
        <v>1329</v>
      </c>
      <c r="E244" s="12">
        <f t="shared" si="378"/>
        <v>29.040178270802659</v>
      </c>
      <c r="F244" s="12">
        <f t="shared" si="379"/>
        <v>2.0580770974444582</v>
      </c>
      <c r="G244" s="12">
        <f t="shared" si="380"/>
        <v>9.64493618434045</v>
      </c>
      <c r="H244" s="12">
        <f t="shared" si="381"/>
        <v>23.994175314021529</v>
      </c>
      <c r="I244" s="12">
        <f t="shared" si="382"/>
        <v>1.8115074361294858</v>
      </c>
      <c r="J244" s="12">
        <f t="shared" si="383"/>
        <v>23.759723588459526</v>
      </c>
      <c r="K244" s="13">
        <f t="shared" si="384"/>
        <v>2.1851149940408321E-2</v>
      </c>
      <c r="L244" s="13">
        <f t="shared" si="385"/>
        <v>117.91913159610212</v>
      </c>
      <c r="M244" s="13">
        <f t="shared" si="386"/>
        <v>7.2572883253126039E-3</v>
      </c>
      <c r="N244" s="13">
        <f t="shared" si="387"/>
        <v>1.805430798647218E-2</v>
      </c>
      <c r="O244" s="13">
        <f t="shared" si="388"/>
        <v>103.79173064678409</v>
      </c>
      <c r="P244" s="13">
        <f t="shared" si="389"/>
        <v>1.7877895852866459E-2</v>
      </c>
      <c r="Q244" s="51">
        <v>786.98199999999997</v>
      </c>
      <c r="R244" s="51">
        <v>162.13</v>
      </c>
      <c r="S244" s="51">
        <v>789.76700000000005</v>
      </c>
      <c r="T244" s="51">
        <v>138.298</v>
      </c>
      <c r="U244" s="51">
        <v>803.46500000000003</v>
      </c>
      <c r="V244" s="51">
        <v>163.91200000000001</v>
      </c>
      <c r="W244" s="51">
        <v>806.13699999999994</v>
      </c>
      <c r="X244" s="51">
        <v>140.303</v>
      </c>
      <c r="Y244" s="51">
        <v>795.53300000000002</v>
      </c>
      <c r="Z244" s="51">
        <v>151.15799999999999</v>
      </c>
      <c r="AA244" s="51">
        <v>796.35199999999998</v>
      </c>
      <c r="AB244" s="51">
        <v>146.5</v>
      </c>
      <c r="AC244" s="51">
        <v>794.71500000000003</v>
      </c>
      <c r="AD244" s="51">
        <v>156.005</v>
      </c>
      <c r="AG244" s="14" t="s">
        <v>223</v>
      </c>
      <c r="AH244" s="14" t="s">
        <v>223</v>
      </c>
      <c r="AI244" s="14" t="s">
        <v>223</v>
      </c>
      <c r="AJ244" s="55">
        <v>6.26599869440239E-5</v>
      </c>
      <c r="AK244" s="55">
        <v>4.9039290787610499E-5</v>
      </c>
      <c r="AL244" s="55">
        <v>3.2481009386601403E-5</v>
      </c>
      <c r="AM244" s="55">
        <v>3.4271601383955903E-5</v>
      </c>
      <c r="AN244" s="51">
        <v>0.59761004839203402</v>
      </c>
    </row>
    <row r="245" spans="1:40" x14ac:dyDescent="0.35">
      <c r="A245" s="51" t="s">
        <v>219</v>
      </c>
      <c r="B245" s="14">
        <v>1</v>
      </c>
      <c r="C245" s="51">
        <v>70</v>
      </c>
      <c r="D245" s="14">
        <v>1329</v>
      </c>
      <c r="E245" s="12">
        <f t="shared" si="378"/>
        <v>28.708611948333552</v>
      </c>
      <c r="F245" s="12">
        <f t="shared" si="379"/>
        <v>1.9289135798145416</v>
      </c>
      <c r="G245" s="12">
        <f t="shared" si="380"/>
        <v>8.6217982463057119</v>
      </c>
      <c r="H245" s="12">
        <f t="shared" si="381"/>
        <v>23.263686315801294</v>
      </c>
      <c r="I245" s="12">
        <f t="shared" si="382"/>
        <v>1.8185601807708509</v>
      </c>
      <c r="J245" s="12">
        <f t="shared" si="383"/>
        <v>24.105923794785376</v>
      </c>
      <c r="K245" s="13">
        <f t="shared" si="384"/>
        <v>2.1601664370454139E-2</v>
      </c>
      <c r="L245" s="13">
        <f t="shared" si="385"/>
        <v>110.5186071688443</v>
      </c>
      <c r="M245" s="13">
        <f t="shared" si="386"/>
        <v>6.4874328414640421E-3</v>
      </c>
      <c r="N245" s="13">
        <f t="shared" si="387"/>
        <v>1.7504654865162748E-2</v>
      </c>
      <c r="O245" s="13">
        <f t="shared" si="388"/>
        <v>104.19582314871781</v>
      </c>
      <c r="P245" s="13">
        <f t="shared" si="389"/>
        <v>1.8138392622110894E-2</v>
      </c>
      <c r="Q245" s="51">
        <v>650.38499999999999</v>
      </c>
      <c r="R245" s="51">
        <v>146.15</v>
      </c>
      <c r="S245" s="51">
        <v>653.01099999999997</v>
      </c>
      <c r="T245" s="51">
        <v>123.035</v>
      </c>
      <c r="U245" s="51">
        <v>668.24599999999998</v>
      </c>
      <c r="V245" s="51">
        <v>148.98699999999999</v>
      </c>
      <c r="W245" s="51">
        <v>669.71699999999998</v>
      </c>
      <c r="X245" s="51">
        <v>124.926</v>
      </c>
      <c r="Y245" s="51">
        <v>659.74199999999996</v>
      </c>
      <c r="Z245" s="51">
        <v>135.21799999999999</v>
      </c>
      <c r="AA245" s="51">
        <v>660.11800000000005</v>
      </c>
      <c r="AB245" s="51">
        <v>131.143</v>
      </c>
      <c r="AC245" s="51">
        <v>659.26</v>
      </c>
      <c r="AD245" s="51">
        <v>139.72200000000001</v>
      </c>
      <c r="AG245" s="14" t="s">
        <v>223</v>
      </c>
      <c r="AH245" s="14" t="s">
        <v>223</v>
      </c>
      <c r="AI245" s="14" t="s">
        <v>223</v>
      </c>
      <c r="AJ245" s="55">
        <v>6.3657491531450298E-5</v>
      </c>
      <c r="AK245" s="55">
        <v>5.3101366970871902E-5</v>
      </c>
      <c r="AL245" s="55">
        <v>3.9629043545020098E-5</v>
      </c>
      <c r="AM245" s="55">
        <v>3.4540278195331197E-5</v>
      </c>
      <c r="AN245" s="51">
        <v>0.63523507074091701</v>
      </c>
    </row>
    <row r="246" spans="1:40" x14ac:dyDescent="0.35">
      <c r="A246" s="51" t="s">
        <v>219</v>
      </c>
      <c r="B246" s="14">
        <v>1</v>
      </c>
      <c r="C246" s="51">
        <v>80</v>
      </c>
      <c r="D246" s="14">
        <v>1329</v>
      </c>
      <c r="E246" s="12">
        <f t="shared" si="378"/>
        <v>28.845436952835364</v>
      </c>
      <c r="F246" s="12">
        <f t="shared" si="379"/>
        <v>1.9543419624732283</v>
      </c>
      <c r="G246" s="12">
        <f t="shared" si="380"/>
        <v>8.1870367044492838</v>
      </c>
      <c r="H246" s="12">
        <f t="shared" si="381"/>
        <v>23.875240836481641</v>
      </c>
      <c r="I246" s="12">
        <f t="shared" si="382"/>
        <v>1.7511643886840245</v>
      </c>
      <c r="J246" s="12">
        <f t="shared" si="383"/>
        <v>23.27721299898252</v>
      </c>
      <c r="K246" s="13">
        <f t="shared" si="384"/>
        <v>2.1704617722223749E-2</v>
      </c>
      <c r="L246" s="13">
        <f t="shared" si="385"/>
        <v>111.9755461750307</v>
      </c>
      <c r="M246" s="13">
        <f t="shared" si="386"/>
        <v>6.1602984984569483E-3</v>
      </c>
      <c r="N246" s="13">
        <f t="shared" si="387"/>
        <v>1.7964816280272116E-2</v>
      </c>
      <c r="O246" s="13">
        <f t="shared" si="388"/>
        <v>100.33432870520146</v>
      </c>
      <c r="P246" s="13">
        <f t="shared" si="389"/>
        <v>1.7514832956345011E-2</v>
      </c>
      <c r="Q246" s="51">
        <v>529.02800000000002</v>
      </c>
      <c r="R246" s="51">
        <v>134.75800000000001</v>
      </c>
      <c r="S246" s="51">
        <v>530.84500000000003</v>
      </c>
      <c r="T246" s="51">
        <v>110.952</v>
      </c>
      <c r="U246" s="51">
        <v>546.81100000000004</v>
      </c>
      <c r="V246" s="51">
        <v>136.47900000000001</v>
      </c>
      <c r="W246" s="51">
        <v>548.245</v>
      </c>
      <c r="X246" s="51">
        <v>113.246</v>
      </c>
      <c r="Y246" s="51">
        <v>537.99900000000002</v>
      </c>
      <c r="Z246" s="51">
        <v>122.919</v>
      </c>
      <c r="AA246" s="51">
        <v>538.46600000000001</v>
      </c>
      <c r="AB246" s="51">
        <v>119.182</v>
      </c>
      <c r="AC246" s="51">
        <v>537.59900000000005</v>
      </c>
      <c r="AD246" s="51">
        <v>127.32299999999999</v>
      </c>
      <c r="AG246" s="14" t="s">
        <v>223</v>
      </c>
      <c r="AH246" s="14" t="s">
        <v>223</v>
      </c>
      <c r="AI246" s="14" t="s">
        <v>223</v>
      </c>
      <c r="AJ246" s="55">
        <v>6.34608289582226E-5</v>
      </c>
      <c r="AK246" s="55">
        <v>5.4367485241255302E-5</v>
      </c>
      <c r="AL246" s="55">
        <v>4.1604542075515297E-5</v>
      </c>
      <c r="AM246" s="55">
        <v>3.55895446884089E-5</v>
      </c>
      <c r="AN246" s="51">
        <v>0.65514038190547397</v>
      </c>
    </row>
    <row r="247" spans="1:40" x14ac:dyDescent="0.35">
      <c r="A247" s="51" t="s">
        <v>219</v>
      </c>
      <c r="B247" s="14">
        <v>1</v>
      </c>
      <c r="C247" s="51">
        <v>90</v>
      </c>
      <c r="D247" s="14">
        <v>1329</v>
      </c>
      <c r="E247" s="12">
        <f t="shared" si="378"/>
        <v>26.999974907395757</v>
      </c>
      <c r="F247" s="12">
        <f t="shared" si="379"/>
        <v>1.9120279708212582</v>
      </c>
      <c r="G247" s="12">
        <f t="shared" si="380"/>
        <v>7.0210000000000008</v>
      </c>
      <c r="H247" s="12">
        <f t="shared" si="381"/>
        <v>20.338503042259543</v>
      </c>
      <c r="I247" s="12">
        <f t="shared" si="382"/>
        <v>1.685081887574311</v>
      </c>
      <c r="J247" s="12">
        <f t="shared" si="383"/>
        <v>21.410156935436031</v>
      </c>
      <c r="K247" s="13">
        <f t="shared" si="384"/>
        <v>2.0316008207220283E-2</v>
      </c>
      <c r="L247" s="13">
        <f t="shared" si="385"/>
        <v>109.55113303902102</v>
      </c>
      <c r="M247" s="13">
        <f t="shared" si="386"/>
        <v>5.2829194883370961E-3</v>
      </c>
      <c r="N247" s="13">
        <f t="shared" si="387"/>
        <v>1.5303614027283328E-2</v>
      </c>
      <c r="O247" s="13">
        <f t="shared" si="388"/>
        <v>96.548080291946306</v>
      </c>
      <c r="P247" s="13">
        <f t="shared" si="389"/>
        <v>1.610997512071936E-2</v>
      </c>
      <c r="Q247" s="51">
        <v>408.75099999999998</v>
      </c>
      <c r="R247" s="51">
        <v>130.30000000000001</v>
      </c>
      <c r="S247" s="51">
        <v>408.01</v>
      </c>
      <c r="T247" s="51">
        <v>109.97499999999999</v>
      </c>
      <c r="U247" s="51">
        <v>425.58300000000003</v>
      </c>
      <c r="V247" s="51">
        <v>129.77099999999999</v>
      </c>
      <c r="W247" s="51">
        <v>424.52499999999998</v>
      </c>
      <c r="X247" s="51">
        <v>108.387</v>
      </c>
      <c r="Y247" s="51">
        <v>415.50700000000001</v>
      </c>
      <c r="Z247" s="51">
        <v>119.17100000000001</v>
      </c>
      <c r="AA247" s="51">
        <v>415.56299999999999</v>
      </c>
      <c r="AB247" s="51">
        <v>116.05</v>
      </c>
      <c r="AC247" s="51">
        <v>415.56299999999999</v>
      </c>
      <c r="AD247" s="51">
        <v>123.071</v>
      </c>
      <c r="AG247" s="14" t="s">
        <v>223</v>
      </c>
      <c r="AH247" s="14" t="s">
        <v>223</v>
      </c>
      <c r="AI247" s="14" t="s">
        <v>223</v>
      </c>
      <c r="AJ247" s="55">
        <v>5.7820643955156701E-5</v>
      </c>
      <c r="AK247" s="55">
        <v>4.12068027522859E-5</v>
      </c>
      <c r="AL247" s="55">
        <v>3.34255008235004E-5</v>
      </c>
      <c r="AM247" s="55">
        <v>3.1797129893372399E-5</v>
      </c>
      <c r="AN247" s="51">
        <v>0.658631852940331</v>
      </c>
    </row>
    <row r="248" spans="1:40" x14ac:dyDescent="0.35">
      <c r="A248" s="51" t="s">
        <v>159</v>
      </c>
      <c r="B248" s="14">
        <v>1</v>
      </c>
      <c r="C248" s="51">
        <v>30</v>
      </c>
      <c r="D248" s="14">
        <v>985</v>
      </c>
      <c r="E248" s="12">
        <f t="shared" ref="E248:E254" si="390">DIST2(Q248,R248,W248,X248)</f>
        <v>23.607542396446064</v>
      </c>
      <c r="F248" s="12">
        <f t="shared" ref="F248:F254" si="391">ACOS((DIST2(Y248,Z248,S248,T248)^2 + DIST2(Y248,Z248,Q248,R248)^2 - DIST2(Q248,R248,S248,T248)^2)/(2*DIST2(Y248,Z248,S248,T248) * DIST2(Y248,Z248,Q248,R248)))</f>
        <v>1.717634603881508</v>
      </c>
      <c r="G248" s="12">
        <f t="shared" ref="G248:G254" si="392">DIST2(AA248,AB248,AC248,AD248)</f>
        <v>1.8660935131981118</v>
      </c>
      <c r="H248" s="12">
        <f t="shared" ref="H248:H254" si="393">DIST2(Q248,R248,S248,T248)</f>
        <v>16.476851155484763</v>
      </c>
      <c r="I248" s="12">
        <f t="shared" ref="I248:I254" si="394">ACOS((DIST2(Y248,Z248,W248,X248)^2 + DIST2(Y248,Z248,U248,V248)^2 - DIST2(U248,V248,W248,X248)^2)/(2*DIST2(Y248,Z248,W248,X248) * DIST2(Y248,Z248,U248,V248)))</f>
        <v>1.3849642656427066</v>
      </c>
      <c r="J248" s="12">
        <f t="shared" ref="J248:J254" si="395">DIST2(U248,V248,W248,X248)</f>
        <v>14.308636867291021</v>
      </c>
      <c r="K248" s="13">
        <f t="shared" ref="K248:K254" si="396">E248/D248</f>
        <v>2.3967048118219356E-2</v>
      </c>
      <c r="L248" s="13">
        <f t="shared" ref="L248:L254" si="397">F248*180/PI()</f>
        <v>98.413213548035387</v>
      </c>
      <c r="M248" s="13">
        <f t="shared" ref="M248:M254" si="398">G248/D248</f>
        <v>1.8945111809117886E-3</v>
      </c>
      <c r="N248" s="13">
        <f t="shared" ref="N248:N254" si="399">H248/D248</f>
        <v>1.6727767670542907E-2</v>
      </c>
      <c r="O248" s="13">
        <f t="shared" ref="O248:O254" si="400">I248*180/PI()</f>
        <v>79.352607197762495</v>
      </c>
      <c r="P248" s="13">
        <f t="shared" ref="P248:P254" si="401">J248/D248</f>
        <v>1.4526534890650783E-2</v>
      </c>
      <c r="Q248" s="51">
        <v>300.36399999999998</v>
      </c>
      <c r="R248" s="51">
        <v>255.70099999999999</v>
      </c>
      <c r="S248" s="51">
        <v>299.82400000000001</v>
      </c>
      <c r="T248" s="51">
        <v>239.233</v>
      </c>
      <c r="U248" s="51">
        <v>284.43599999999998</v>
      </c>
      <c r="V248" s="51">
        <v>252.46199999999999</v>
      </c>
      <c r="W248" s="51">
        <v>284.57100000000003</v>
      </c>
      <c r="X248" s="51">
        <v>238.154</v>
      </c>
      <c r="Y248" s="51">
        <v>293.04599999999999</v>
      </c>
      <c r="Z248" s="51">
        <v>246.411</v>
      </c>
      <c r="AA248" s="51">
        <v>293.08800000000002</v>
      </c>
      <c r="AB248" s="51">
        <v>245.57</v>
      </c>
      <c r="AC248" s="51">
        <v>292.83600000000001</v>
      </c>
      <c r="AD248" s="51">
        <v>247.41900000000001</v>
      </c>
      <c r="AG248" s="14" t="s">
        <v>227</v>
      </c>
      <c r="AH248" s="14" t="s">
        <v>227</v>
      </c>
      <c r="AI248" s="14" t="s">
        <v>224</v>
      </c>
      <c r="AJ248" s="55">
        <v>6.3065265788863297E-5</v>
      </c>
      <c r="AK248" s="55">
        <v>5.9520329820402502E-5</v>
      </c>
      <c r="AL248" s="55">
        <v>5.5416271483418699E-5</v>
      </c>
      <c r="AM248" s="55">
        <v>5.3557888634079599E-5</v>
      </c>
      <c r="AN248" s="51">
        <v>0.88896382626264603</v>
      </c>
    </row>
    <row r="249" spans="1:40" x14ac:dyDescent="0.35">
      <c r="A249" s="51" t="s">
        <v>159</v>
      </c>
      <c r="B249" s="14">
        <v>1</v>
      </c>
      <c r="C249" s="51">
        <v>40</v>
      </c>
      <c r="D249" s="14">
        <v>985</v>
      </c>
      <c r="E249" s="12">
        <f t="shared" si="390"/>
        <v>28.29076322759779</v>
      </c>
      <c r="F249" s="12">
        <f t="shared" si="391"/>
        <v>1.169970019706063</v>
      </c>
      <c r="G249" s="12">
        <f t="shared" si="392"/>
        <v>1.6949548666557515</v>
      </c>
      <c r="H249" s="12">
        <f t="shared" si="393"/>
        <v>16.26079321558451</v>
      </c>
      <c r="I249" s="12">
        <f t="shared" si="394"/>
        <v>1.4823000534863602</v>
      </c>
      <c r="J249" s="12">
        <f t="shared" si="395"/>
        <v>17.62923622849269</v>
      </c>
      <c r="K249" s="13">
        <f t="shared" si="396"/>
        <v>2.8721587033094204E-2</v>
      </c>
      <c r="L249" s="13">
        <f t="shared" si="397"/>
        <v>67.034344285995161</v>
      </c>
      <c r="M249" s="13">
        <f t="shared" si="398"/>
        <v>1.7207663620870573E-3</v>
      </c>
      <c r="N249" s="13">
        <f t="shared" si="399"/>
        <v>1.6508419508207625E-2</v>
      </c>
      <c r="O249" s="13">
        <f t="shared" si="400"/>
        <v>84.929537036784623</v>
      </c>
      <c r="P249" s="13">
        <f t="shared" si="401"/>
        <v>1.7897701754814914E-2</v>
      </c>
      <c r="Q249" s="51">
        <v>418.03899999999999</v>
      </c>
      <c r="R249" s="51">
        <v>258.37099999999998</v>
      </c>
      <c r="S249" s="51">
        <v>420.21899999999999</v>
      </c>
      <c r="T249" s="51">
        <v>242.25700000000001</v>
      </c>
      <c r="U249" s="51">
        <v>396.61599999999999</v>
      </c>
      <c r="V249" s="51">
        <v>255.52799999999999</v>
      </c>
      <c r="W249" s="51">
        <v>398.41699999999997</v>
      </c>
      <c r="X249" s="51">
        <v>237.99100000000001</v>
      </c>
      <c r="Y249" s="51">
        <v>407</v>
      </c>
      <c r="Z249" s="51">
        <v>248.428</v>
      </c>
      <c r="AA249" s="51">
        <v>407.11599999999999</v>
      </c>
      <c r="AB249" s="51">
        <v>247.702</v>
      </c>
      <c r="AC249" s="51">
        <v>406.94200000000001</v>
      </c>
      <c r="AD249" s="51">
        <v>249.38800000000001</v>
      </c>
      <c r="AG249" s="14" t="s">
        <v>227</v>
      </c>
      <c r="AH249" s="14" t="s">
        <v>227</v>
      </c>
      <c r="AI249" s="14" t="s">
        <v>224</v>
      </c>
      <c r="AJ249" s="55">
        <v>8.7256619856218999E-5</v>
      </c>
      <c r="AK249" s="51">
        <v>1.02841189414826E-4</v>
      </c>
      <c r="AL249" s="55">
        <v>8.2915838078796006E-5</v>
      </c>
      <c r="AM249" s="55">
        <v>8.9983915071246298E-5</v>
      </c>
      <c r="AN249" s="51">
        <v>0.90953048755821497</v>
      </c>
    </row>
    <row r="250" spans="1:40" x14ac:dyDescent="0.35">
      <c r="A250" s="51" t="s">
        <v>159</v>
      </c>
      <c r="B250" s="14">
        <v>1</v>
      </c>
      <c r="C250" s="51">
        <v>50</v>
      </c>
      <c r="D250" s="14">
        <v>985</v>
      </c>
      <c r="E250" s="12">
        <f t="shared" si="390"/>
        <v>28.325830261441599</v>
      </c>
      <c r="F250" s="12">
        <f t="shared" si="391"/>
        <v>1.1499564920225871</v>
      </c>
      <c r="G250" s="12">
        <f t="shared" si="392"/>
        <v>1.2063585702435264</v>
      </c>
      <c r="H250" s="12">
        <f t="shared" si="393"/>
        <v>15.737701547557693</v>
      </c>
      <c r="I250" s="12">
        <f t="shared" si="394"/>
        <v>1.2062364442122528</v>
      </c>
      <c r="J250" s="12">
        <f t="shared" si="395"/>
        <v>15.52005647541271</v>
      </c>
      <c r="K250" s="13">
        <f t="shared" si="396"/>
        <v>2.8757188082681826E-2</v>
      </c>
      <c r="L250" s="13">
        <f t="shared" si="397"/>
        <v>65.887653616563767</v>
      </c>
      <c r="M250" s="13">
        <f t="shared" si="398"/>
        <v>1.2247295129375903E-3</v>
      </c>
      <c r="N250" s="13">
        <f t="shared" si="399"/>
        <v>1.5977361977215932E-2</v>
      </c>
      <c r="O250" s="13">
        <f t="shared" si="400"/>
        <v>69.112257348229662</v>
      </c>
      <c r="P250" s="13">
        <f t="shared" si="401"/>
        <v>1.5756402513109349E-2</v>
      </c>
      <c r="Q250" s="51">
        <v>505.87200000000001</v>
      </c>
      <c r="R250" s="51">
        <v>271.88</v>
      </c>
      <c r="S250" s="51">
        <v>506.63900000000001</v>
      </c>
      <c r="T250" s="51">
        <v>256.161</v>
      </c>
      <c r="U250" s="51">
        <v>482.40899999999999</v>
      </c>
      <c r="V250" s="51">
        <v>270.11599999999999</v>
      </c>
      <c r="W250" s="51">
        <v>483.40600000000001</v>
      </c>
      <c r="X250" s="51">
        <v>254.62799999999999</v>
      </c>
      <c r="Y250" s="51">
        <v>494.13099999999997</v>
      </c>
      <c r="Z250" s="51">
        <v>263.35199999999998</v>
      </c>
      <c r="AA250" s="51">
        <v>494.048</v>
      </c>
      <c r="AB250" s="51">
        <v>262.82499999999999</v>
      </c>
      <c r="AC250" s="51">
        <v>494.274</v>
      </c>
      <c r="AD250" s="51">
        <v>264.01</v>
      </c>
      <c r="AG250" s="14" t="s">
        <v>227</v>
      </c>
      <c r="AH250" s="14" t="s">
        <v>227</v>
      </c>
      <c r="AI250" s="14" t="s">
        <v>224</v>
      </c>
      <c r="AJ250" s="55">
        <v>9.0085613130974596E-5</v>
      </c>
      <c r="AK250" s="55">
        <v>9.8481153856064602E-5</v>
      </c>
      <c r="AL250" s="55">
        <v>8.46169383390451E-5</v>
      </c>
      <c r="AM250" s="55">
        <v>8.9735223788296495E-5</v>
      </c>
      <c r="AN250" s="51">
        <v>0.92461765619243697</v>
      </c>
    </row>
    <row r="251" spans="1:40" x14ac:dyDescent="0.35">
      <c r="A251" s="51" t="s">
        <v>159</v>
      </c>
      <c r="B251" s="14">
        <v>1</v>
      </c>
      <c r="C251" s="51">
        <v>60</v>
      </c>
      <c r="D251" s="14">
        <v>985</v>
      </c>
      <c r="E251" s="12">
        <f t="shared" si="390"/>
        <v>29.604719421065294</v>
      </c>
      <c r="F251" s="12">
        <f t="shared" si="391"/>
        <v>1.2668856377510498</v>
      </c>
      <c r="G251" s="12">
        <f t="shared" si="392"/>
        <v>2.2246891917748806</v>
      </c>
      <c r="H251" s="12">
        <f t="shared" si="393"/>
        <v>16.477573516752994</v>
      </c>
      <c r="I251" s="12">
        <f t="shared" si="394"/>
        <v>1.2404818295509494</v>
      </c>
      <c r="J251" s="12">
        <f t="shared" si="395"/>
        <v>17.932847431459415</v>
      </c>
      <c r="K251" s="13">
        <f t="shared" si="396"/>
        <v>3.0055552711741415E-2</v>
      </c>
      <c r="L251" s="13">
        <f t="shared" si="397"/>
        <v>72.58720016887483</v>
      </c>
      <c r="M251" s="13">
        <f t="shared" si="398"/>
        <v>2.2585677073856656E-3</v>
      </c>
      <c r="N251" s="13">
        <f t="shared" si="399"/>
        <v>1.6728501032236543E-2</v>
      </c>
      <c r="O251" s="13">
        <f t="shared" si="400"/>
        <v>71.074373395936163</v>
      </c>
      <c r="P251" s="13">
        <f t="shared" si="401"/>
        <v>1.8205936478638999E-2</v>
      </c>
      <c r="Q251" s="51">
        <v>599.42399999999998</v>
      </c>
      <c r="R251" s="51">
        <v>267.96699999999998</v>
      </c>
      <c r="S251" s="51">
        <v>598.13400000000001</v>
      </c>
      <c r="T251" s="51">
        <v>251.54</v>
      </c>
      <c r="U251" s="51">
        <v>575.61699999999996</v>
      </c>
      <c r="V251" s="51">
        <v>269.93700000000001</v>
      </c>
      <c r="W251" s="51">
        <v>574.46799999999996</v>
      </c>
      <c r="X251" s="51">
        <v>252.041</v>
      </c>
      <c r="Y251" s="51">
        <v>587.58399999999995</v>
      </c>
      <c r="Z251" s="51">
        <v>260.47199999999998</v>
      </c>
      <c r="AA251" s="51">
        <v>587.505</v>
      </c>
      <c r="AB251" s="51">
        <v>259.44200000000001</v>
      </c>
      <c r="AC251" s="51">
        <v>587.66399999999999</v>
      </c>
      <c r="AD251" s="51">
        <v>261.661</v>
      </c>
      <c r="AG251" s="14" t="s">
        <v>227</v>
      </c>
      <c r="AH251" s="14" t="s">
        <v>227</v>
      </c>
      <c r="AI251" s="14" t="s">
        <v>224</v>
      </c>
      <c r="AJ251" s="51">
        <v>1.15971407147827E-4</v>
      </c>
      <c r="AK251" s="55">
        <v>9.5249622510242799E-5</v>
      </c>
      <c r="AL251" s="55">
        <v>8.9306161972738297E-5</v>
      </c>
      <c r="AM251" s="55">
        <v>9.3629623540931596E-5</v>
      </c>
      <c r="AN251" s="51">
        <v>0.86608698863844902</v>
      </c>
    </row>
    <row r="252" spans="1:40" x14ac:dyDescent="0.35">
      <c r="A252" s="51" t="s">
        <v>159</v>
      </c>
      <c r="B252" s="14">
        <v>1</v>
      </c>
      <c r="C252" s="51">
        <v>70</v>
      </c>
      <c r="D252" s="14">
        <v>985</v>
      </c>
      <c r="E252" s="12">
        <f t="shared" si="390"/>
        <v>31.041980252554769</v>
      </c>
      <c r="F252" s="12">
        <f t="shared" si="391"/>
        <v>1.2309757420708947</v>
      </c>
      <c r="G252" s="12">
        <f t="shared" si="392"/>
        <v>2.2642990085233774</v>
      </c>
      <c r="H252" s="12">
        <f t="shared" si="393"/>
        <v>18.03037886457188</v>
      </c>
      <c r="I252" s="12">
        <f t="shared" si="394"/>
        <v>1.2366522404850449</v>
      </c>
      <c r="J252" s="12">
        <f t="shared" si="395"/>
        <v>18.307561634472236</v>
      </c>
      <c r="K252" s="13">
        <f t="shared" si="396"/>
        <v>3.1514700764014997E-2</v>
      </c>
      <c r="L252" s="13">
        <f t="shared" si="397"/>
        <v>70.529714703646874</v>
      </c>
      <c r="M252" s="13">
        <f t="shared" si="398"/>
        <v>2.2987807193130733E-3</v>
      </c>
      <c r="N252" s="13">
        <f t="shared" si="399"/>
        <v>1.8304953162001907E-2</v>
      </c>
      <c r="O252" s="13">
        <f t="shared" si="400"/>
        <v>70.854954105190387</v>
      </c>
      <c r="P252" s="13">
        <f t="shared" si="401"/>
        <v>1.8586356989311915E-2</v>
      </c>
      <c r="Q252" s="51">
        <v>702.56200000000001</v>
      </c>
      <c r="R252" s="51">
        <v>259.33100000000002</v>
      </c>
      <c r="S252" s="51">
        <v>700.56100000000004</v>
      </c>
      <c r="T252" s="51">
        <v>241.41200000000001</v>
      </c>
      <c r="U252" s="51">
        <v>676.72699999999998</v>
      </c>
      <c r="V252" s="51">
        <v>262.375</v>
      </c>
      <c r="W252" s="51">
        <v>675.50900000000001</v>
      </c>
      <c r="X252" s="51">
        <v>244.108</v>
      </c>
      <c r="Y252" s="51">
        <v>688.93799999999999</v>
      </c>
      <c r="Z252" s="51">
        <v>252.14500000000001</v>
      </c>
      <c r="AA252" s="51">
        <v>688.97900000000004</v>
      </c>
      <c r="AB252" s="51">
        <v>251.07900000000001</v>
      </c>
      <c r="AC252" s="51">
        <v>689.18399999999997</v>
      </c>
      <c r="AD252" s="51">
        <v>253.334</v>
      </c>
      <c r="AG252" s="14" t="s">
        <v>227</v>
      </c>
      <c r="AH252" s="14" t="s">
        <v>227</v>
      </c>
      <c r="AI252" s="14" t="s">
        <v>224</v>
      </c>
      <c r="AJ252" s="51">
        <v>1.2137312324460801E-4</v>
      </c>
      <c r="AK252" s="51">
        <v>1.18399994846557E-4</v>
      </c>
      <c r="AL252" s="51">
        <v>1.0082976989873499E-4</v>
      </c>
      <c r="AM252" s="51">
        <v>1.08713242804504E-4</v>
      </c>
      <c r="AN252" s="51">
        <v>0.873922040850169</v>
      </c>
    </row>
    <row r="253" spans="1:40" x14ac:dyDescent="0.35">
      <c r="A253" s="51" t="s">
        <v>159</v>
      </c>
      <c r="B253" s="14">
        <v>1</v>
      </c>
      <c r="C253" s="51">
        <v>80</v>
      </c>
      <c r="D253" s="14">
        <v>985</v>
      </c>
      <c r="E253" s="12">
        <f t="shared" si="390"/>
        <v>32.65371801188958</v>
      </c>
      <c r="F253" s="12">
        <f t="shared" si="391"/>
        <v>0.94577230970367276</v>
      </c>
      <c r="G253" s="12">
        <f t="shared" si="392"/>
        <v>1.7911607968019205</v>
      </c>
      <c r="H253" s="12">
        <f t="shared" si="393"/>
        <v>14.29284215962662</v>
      </c>
      <c r="I253" s="12">
        <f t="shared" si="394"/>
        <v>0.87092473421455685</v>
      </c>
      <c r="J253" s="12">
        <f t="shared" si="395"/>
        <v>14.52994827932983</v>
      </c>
      <c r="K253" s="13">
        <f t="shared" si="396"/>
        <v>3.315098275318739E-2</v>
      </c>
      <c r="L253" s="13">
        <f t="shared" si="397"/>
        <v>54.188761726360241</v>
      </c>
      <c r="M253" s="13">
        <f t="shared" si="398"/>
        <v>1.8184373571593102E-3</v>
      </c>
      <c r="N253" s="13">
        <f t="shared" si="399"/>
        <v>1.4510499654443268E-2</v>
      </c>
      <c r="O253" s="13">
        <f t="shared" si="400"/>
        <v>49.900311544047078</v>
      </c>
      <c r="P253" s="13">
        <f t="shared" si="401"/>
        <v>1.4751216527238405E-2</v>
      </c>
      <c r="Q253" s="51">
        <v>809.22500000000002</v>
      </c>
      <c r="R253" s="51">
        <v>246.94200000000001</v>
      </c>
      <c r="S253" s="51">
        <v>807.56399999999996</v>
      </c>
      <c r="T253" s="51">
        <v>232.74600000000001</v>
      </c>
      <c r="U253" s="51">
        <v>778.83900000000006</v>
      </c>
      <c r="V253" s="51">
        <v>249.101</v>
      </c>
      <c r="W253" s="51">
        <v>779.005</v>
      </c>
      <c r="X253" s="51">
        <v>234.572</v>
      </c>
      <c r="Y253" s="51">
        <v>794.53</v>
      </c>
      <c r="Z253" s="51">
        <v>241.54599999999999</v>
      </c>
      <c r="AA253" s="51">
        <v>794.50199999999995</v>
      </c>
      <c r="AB253" s="51">
        <v>240.66399999999999</v>
      </c>
      <c r="AC253" s="51">
        <v>794.52599999999995</v>
      </c>
      <c r="AD253" s="51">
        <v>242.45500000000001</v>
      </c>
      <c r="AG253" s="14" t="s">
        <v>227</v>
      </c>
      <c r="AH253" s="14" t="s">
        <v>227</v>
      </c>
      <c r="AI253" s="14" t="s">
        <v>224</v>
      </c>
      <c r="AJ253" s="51">
        <v>1.16839088355793E-4</v>
      </c>
      <c r="AK253" s="51">
        <v>1.0288719833028401E-4</v>
      </c>
      <c r="AL253" s="55">
        <v>8.6617600556571799E-5</v>
      </c>
      <c r="AM253" s="51">
        <v>1.04243319848488E-4</v>
      </c>
      <c r="AN253" s="51">
        <v>0.86863034588912202</v>
      </c>
    </row>
    <row r="254" spans="1:40" x14ac:dyDescent="0.35">
      <c r="A254" s="51" t="s">
        <v>159</v>
      </c>
      <c r="B254" s="14">
        <v>1</v>
      </c>
      <c r="C254" s="51">
        <v>90</v>
      </c>
      <c r="D254" s="14">
        <v>985</v>
      </c>
      <c r="E254" s="12">
        <f t="shared" si="390"/>
        <v>30.632851026308277</v>
      </c>
      <c r="F254" s="12">
        <f t="shared" si="391"/>
        <v>1.0890468505804156</v>
      </c>
      <c r="G254" s="12">
        <f t="shared" si="392"/>
        <v>1.8770039957336342</v>
      </c>
      <c r="H254" s="12">
        <f t="shared" si="393"/>
        <v>14.770654995632375</v>
      </c>
      <c r="I254" s="12">
        <f t="shared" si="394"/>
        <v>0.53633579548118071</v>
      </c>
      <c r="J254" s="12">
        <f t="shared" si="395"/>
        <v>8.9362543047968401</v>
      </c>
      <c r="K254" s="13">
        <f t="shared" si="396"/>
        <v>3.109934114346018E-2</v>
      </c>
      <c r="L254" s="13">
        <f t="shared" si="397"/>
        <v>62.397788230272198</v>
      </c>
      <c r="M254" s="13">
        <f t="shared" si="398"/>
        <v>1.9055878129275474E-3</v>
      </c>
      <c r="N254" s="13">
        <f t="shared" si="399"/>
        <v>1.4995588828053174E-2</v>
      </c>
      <c r="O254" s="13">
        <f t="shared" si="400"/>
        <v>30.729777482863341</v>
      </c>
      <c r="P254" s="13">
        <f t="shared" si="401"/>
        <v>9.0723393957328324E-3</v>
      </c>
      <c r="Q254" s="51">
        <v>903.47799999999995</v>
      </c>
      <c r="R254" s="51">
        <v>240.96799999999999</v>
      </c>
      <c r="S254" s="51">
        <v>902.03499999999997</v>
      </c>
      <c r="T254" s="51">
        <v>226.268</v>
      </c>
      <c r="U254" s="51">
        <v>874.61900000000003</v>
      </c>
      <c r="V254" s="51">
        <v>240.69800000000001</v>
      </c>
      <c r="W254" s="51">
        <v>874.25900000000001</v>
      </c>
      <c r="X254" s="51">
        <v>231.76900000000001</v>
      </c>
      <c r="Y254" s="51">
        <v>890.61599999999999</v>
      </c>
      <c r="Z254" s="51">
        <v>234.77099999999999</v>
      </c>
      <c r="AA254" s="51">
        <v>890.57600000000002</v>
      </c>
      <c r="AB254" s="51">
        <v>233.958</v>
      </c>
      <c r="AC254" s="51">
        <v>890.73800000000006</v>
      </c>
      <c r="AD254" s="51">
        <v>235.828</v>
      </c>
      <c r="AG254" s="14" t="s">
        <v>227</v>
      </c>
      <c r="AH254" s="14" t="s">
        <v>227</v>
      </c>
      <c r="AI254" s="14" t="s">
        <v>224</v>
      </c>
      <c r="AJ254" s="55">
        <v>7.4709955422711099E-5</v>
      </c>
      <c r="AK254" s="55">
        <v>9.2828534102913995E-5</v>
      </c>
      <c r="AL254" s="55">
        <v>7.4671060836403695E-5</v>
      </c>
      <c r="AM254" s="55">
        <v>7.7591012909376594E-5</v>
      </c>
      <c r="AN254" s="51">
        <v>0.90881847017303896</v>
      </c>
    </row>
    <row r="255" spans="1:40" x14ac:dyDescent="0.35">
      <c r="A255" s="51" t="s">
        <v>161</v>
      </c>
      <c r="B255" s="14">
        <v>1</v>
      </c>
      <c r="C255" s="51">
        <v>30</v>
      </c>
      <c r="D255" s="14">
        <v>1379</v>
      </c>
      <c r="E255" s="12">
        <f t="shared" ref="E255:E261" si="402">DIST2(Q255,R255,W255,X255)</f>
        <v>29.367616518880034</v>
      </c>
      <c r="F255" s="12">
        <f t="shared" ref="F255:F261" si="403">ACOS((DIST2(Y255,Z255,S255,T255)^2 + DIST2(Y255,Z255,Q255,R255)^2 - DIST2(Q255,R255,S255,T255)^2)/(2*DIST2(Y255,Z255,S255,T255) * DIST2(Y255,Z255,Q255,R255)))</f>
        <v>1.6638745721188117</v>
      </c>
      <c r="G255" s="12">
        <f t="shared" ref="G255:G261" si="404">DIST2(AA255,AB255,AC255,AD255)</f>
        <v>0</v>
      </c>
      <c r="H255" s="12">
        <f t="shared" ref="H255:H261" si="405">DIST2(Q255,R255,S255,T255)</f>
        <v>21.545600478984081</v>
      </c>
      <c r="I255" s="12">
        <f t="shared" ref="I255:I261" si="406">ACOS((DIST2(Y255,Z255,W255,X255)^2 + DIST2(Y255,Z255,U255,V255)^2 - DIST2(U255,V255,W255,X255)^2)/(2*DIST2(Y255,Z255,W255,X255) * DIST2(Y255,Z255,U255,V255)))</f>
        <v>1.6025345468683605</v>
      </c>
      <c r="J255" s="12">
        <f t="shared" ref="J255:J261" si="407">DIST2(U255,V255,W255,X255)</f>
        <v>21.698822917384252</v>
      </c>
      <c r="K255" s="13">
        <f t="shared" ref="K255:K261" si="408">E255/D255</f>
        <v>2.1296313646758547E-2</v>
      </c>
      <c r="L255" s="13">
        <f t="shared" ref="L255:L261" si="409">F255*180/PI()</f>
        <v>95.332990621543644</v>
      </c>
      <c r="M255" s="13">
        <f t="shared" ref="M255:M261" si="410">G255/D255</f>
        <v>0</v>
      </c>
      <c r="N255" s="13">
        <f t="shared" ref="N255:N261" si="411">H255/D255</f>
        <v>1.5624075764310429E-2</v>
      </c>
      <c r="O255" s="13">
        <f t="shared" ref="O255:O261" si="412">I255*180/PI()</f>
        <v>91.818466059466871</v>
      </c>
      <c r="P255" s="13">
        <f t="shared" ref="P255:P261" si="413">J255/D255</f>
        <v>1.5735187032185825E-2</v>
      </c>
      <c r="Q255" s="51">
        <v>1345.48</v>
      </c>
      <c r="R255" s="51">
        <v>254.93799999999999</v>
      </c>
      <c r="S255" s="51">
        <v>1344.43</v>
      </c>
      <c r="T255" s="51">
        <v>233.41800000000001</v>
      </c>
      <c r="U255" s="51">
        <v>1365.43</v>
      </c>
      <c r="V255" s="51">
        <v>254.76400000000001</v>
      </c>
      <c r="W255" s="51">
        <v>1365.08</v>
      </c>
      <c r="X255" s="51">
        <v>233.06800000000001</v>
      </c>
      <c r="Y255" s="51">
        <v>1354.75</v>
      </c>
      <c r="Z255" s="51">
        <v>243.566</v>
      </c>
      <c r="AA255" s="51">
        <v>1354.75</v>
      </c>
      <c r="AB255" s="51">
        <v>243.566</v>
      </c>
      <c r="AC255" s="51">
        <v>1354.75</v>
      </c>
      <c r="AD255" s="51">
        <v>243.566</v>
      </c>
      <c r="AG255" s="14" t="s">
        <v>223</v>
      </c>
      <c r="AH255" s="14" t="s">
        <v>223</v>
      </c>
      <c r="AI255" s="14" t="s">
        <v>223</v>
      </c>
      <c r="AJ255" s="55">
        <v>5.9894054661211002E-5</v>
      </c>
      <c r="AK255" s="55">
        <v>5.5591723148585599E-5</v>
      </c>
      <c r="AL255" s="55">
        <v>5.9227377827886701E-5</v>
      </c>
      <c r="AM255" s="55">
        <v>5.6048486543989799E-5</v>
      </c>
      <c r="AN255" s="51">
        <v>0.99818234381842397</v>
      </c>
    </row>
    <row r="256" spans="1:40" x14ac:dyDescent="0.35">
      <c r="A256" s="51" t="s">
        <v>161</v>
      </c>
      <c r="B256" s="14">
        <v>1</v>
      </c>
      <c r="C256" s="51">
        <v>40</v>
      </c>
      <c r="D256" s="14">
        <v>1379</v>
      </c>
      <c r="E256" s="12">
        <f t="shared" si="402"/>
        <v>34.722419572950344</v>
      </c>
      <c r="F256" s="12">
        <f t="shared" si="403"/>
        <v>1.2569282977795746</v>
      </c>
      <c r="G256" s="12">
        <f t="shared" si="404"/>
        <v>0</v>
      </c>
      <c r="H256" s="12">
        <f t="shared" si="405"/>
        <v>20.831840629190662</v>
      </c>
      <c r="I256" s="12">
        <f t="shared" si="406"/>
        <v>1.2680581443625576</v>
      </c>
      <c r="J256" s="12">
        <f t="shared" si="407"/>
        <v>19.811395937692037</v>
      </c>
      <c r="K256" s="13">
        <f t="shared" si="408"/>
        <v>2.5179419559789952E-2</v>
      </c>
      <c r="L256" s="13">
        <f t="shared" si="409"/>
        <v>72.016686613332396</v>
      </c>
      <c r="M256" s="13">
        <f t="shared" si="410"/>
        <v>0</v>
      </c>
      <c r="N256" s="13">
        <f t="shared" si="411"/>
        <v>1.5106483414931589E-2</v>
      </c>
      <c r="O256" s="13">
        <f t="shared" si="412"/>
        <v>72.654379849165423</v>
      </c>
      <c r="P256" s="13">
        <f t="shared" si="413"/>
        <v>1.4366494516092848E-2</v>
      </c>
      <c r="Q256" s="51">
        <v>1226.8499999999999</v>
      </c>
      <c r="R256" s="51">
        <v>268.94099999999997</v>
      </c>
      <c r="S256" s="51">
        <v>1223.57</v>
      </c>
      <c r="T256" s="51">
        <v>248.369</v>
      </c>
      <c r="U256" s="51">
        <v>1253.5</v>
      </c>
      <c r="V256" s="51">
        <v>264.733</v>
      </c>
      <c r="W256" s="51">
        <v>1251.98</v>
      </c>
      <c r="X256" s="51">
        <v>244.98</v>
      </c>
      <c r="Y256" s="51">
        <v>1239.3499999999999</v>
      </c>
      <c r="Z256" s="51">
        <v>256.31799999999998</v>
      </c>
      <c r="AA256" s="51">
        <v>1239.3499999999999</v>
      </c>
      <c r="AB256" s="51">
        <v>256.31799999999998</v>
      </c>
      <c r="AC256" s="51">
        <v>1239.3499999999999</v>
      </c>
      <c r="AD256" s="51">
        <v>256.31799999999998</v>
      </c>
      <c r="AG256" s="14" t="s">
        <v>223</v>
      </c>
      <c r="AH256" s="14" t="s">
        <v>223</v>
      </c>
      <c r="AI256" s="14" t="s">
        <v>223</v>
      </c>
      <c r="AJ256" s="55">
        <v>7.0127366311517795E-5</v>
      </c>
      <c r="AK256" s="55">
        <v>7.8498896479408902E-5</v>
      </c>
      <c r="AL256" s="55">
        <v>7.46205382614282E-5</v>
      </c>
      <c r="AM256" s="55">
        <v>7.3439074462530095E-5</v>
      </c>
      <c r="AN256" s="51">
        <v>0.99618741629959695</v>
      </c>
    </row>
    <row r="257" spans="1:40" x14ac:dyDescent="0.35">
      <c r="A257" s="51" t="s">
        <v>161</v>
      </c>
      <c r="B257" s="14">
        <v>1</v>
      </c>
      <c r="C257" s="51">
        <v>50</v>
      </c>
      <c r="D257" s="14">
        <v>1379</v>
      </c>
      <c r="E257" s="12">
        <f t="shared" si="402"/>
        <v>37.225981518289139</v>
      </c>
      <c r="F257" s="12">
        <f t="shared" si="403"/>
        <v>1.2503985864457654</v>
      </c>
      <c r="G257" s="12">
        <f t="shared" si="404"/>
        <v>1.5227356960418517</v>
      </c>
      <c r="H257" s="12">
        <f t="shared" si="405"/>
        <v>20.431515264414426</v>
      </c>
      <c r="I257" s="12">
        <f t="shared" si="406"/>
        <v>1.2283513247945694</v>
      </c>
      <c r="J257" s="12">
        <f t="shared" si="407"/>
        <v>21.873329170476129</v>
      </c>
      <c r="K257" s="13">
        <f t="shared" si="408"/>
        <v>2.6994910455612139E-2</v>
      </c>
      <c r="L257" s="13">
        <f t="shared" si="409"/>
        <v>71.642561712466389</v>
      </c>
      <c r="M257" s="13">
        <f t="shared" si="410"/>
        <v>1.1042318317924958E-3</v>
      </c>
      <c r="N257" s="13">
        <f t="shared" si="411"/>
        <v>1.481618220769719E-2</v>
      </c>
      <c r="O257" s="13">
        <f t="shared" si="412"/>
        <v>70.37934667003222</v>
      </c>
      <c r="P257" s="13">
        <f t="shared" si="413"/>
        <v>1.5861732538416336E-2</v>
      </c>
      <c r="Q257" s="51">
        <v>1081.54</v>
      </c>
      <c r="R257" s="51">
        <v>285.92700000000002</v>
      </c>
      <c r="S257" s="51">
        <v>1080.48</v>
      </c>
      <c r="T257" s="51">
        <v>265.52300000000002</v>
      </c>
      <c r="U257" s="51">
        <v>1110.6199999999999</v>
      </c>
      <c r="V257" s="51">
        <v>284.41000000000003</v>
      </c>
      <c r="W257" s="51">
        <v>1110.5</v>
      </c>
      <c r="X257" s="51">
        <v>262.53699999999998</v>
      </c>
      <c r="Y257" s="51">
        <v>1095.07</v>
      </c>
      <c r="Z257" s="51">
        <v>274.16899999999998</v>
      </c>
      <c r="AA257" s="51">
        <v>1095.07</v>
      </c>
      <c r="AB257" s="51">
        <v>273.78899999999999</v>
      </c>
      <c r="AC257" s="51">
        <v>1094.95</v>
      </c>
      <c r="AD257" s="51">
        <v>275.30700000000002</v>
      </c>
      <c r="AG257" s="14" t="s">
        <v>223</v>
      </c>
      <c r="AH257" s="14" t="s">
        <v>223</v>
      </c>
      <c r="AI257" s="14" t="s">
        <v>223</v>
      </c>
      <c r="AJ257" s="55">
        <v>8.9106258752309398E-5</v>
      </c>
      <c r="AK257" s="55">
        <v>7.5863320153488195E-5</v>
      </c>
      <c r="AL257" s="55">
        <v>7.5852022016773799E-5</v>
      </c>
      <c r="AM257" s="55">
        <v>7.6699823994118494E-5</v>
      </c>
      <c r="AN257" s="51">
        <v>0.92472713467980605</v>
      </c>
    </row>
    <row r="258" spans="1:40" x14ac:dyDescent="0.35">
      <c r="A258" s="51" t="s">
        <v>161</v>
      </c>
      <c r="B258" s="14">
        <v>1</v>
      </c>
      <c r="C258" s="51">
        <v>60</v>
      </c>
      <c r="D258" s="14">
        <v>1379</v>
      </c>
      <c r="E258" s="12">
        <f t="shared" si="402"/>
        <v>36.204028201292807</v>
      </c>
      <c r="F258" s="12">
        <f t="shared" si="403"/>
        <v>1.2925905618628877</v>
      </c>
      <c r="G258" s="12">
        <f t="shared" si="404"/>
        <v>2.1055585957175214</v>
      </c>
      <c r="H258" s="12">
        <f t="shared" si="405"/>
        <v>22.735925272572455</v>
      </c>
      <c r="I258" s="12">
        <f t="shared" si="406"/>
        <v>1.3159997205151273</v>
      </c>
      <c r="J258" s="12">
        <f t="shared" si="407"/>
        <v>21.687081223622506</v>
      </c>
      <c r="K258" s="13">
        <f t="shared" si="408"/>
        <v>2.6253827557137642E-2</v>
      </c>
      <c r="L258" s="13">
        <f t="shared" si="409"/>
        <v>74.059983833187204</v>
      </c>
      <c r="M258" s="13">
        <f t="shared" si="410"/>
        <v>1.5268735284391017E-3</v>
      </c>
      <c r="N258" s="13">
        <f t="shared" si="411"/>
        <v>1.6487255455092425E-2</v>
      </c>
      <c r="O258" s="13">
        <f t="shared" si="412"/>
        <v>75.401229825912694</v>
      </c>
      <c r="P258" s="13">
        <f t="shared" si="413"/>
        <v>1.5726672388413711E-2</v>
      </c>
      <c r="Q258" s="51">
        <v>959.50699999999995</v>
      </c>
      <c r="R258" s="51">
        <v>286.11099999999999</v>
      </c>
      <c r="S258" s="51">
        <v>960.14400000000001</v>
      </c>
      <c r="T258" s="51">
        <v>263.38400000000001</v>
      </c>
      <c r="U258" s="51">
        <v>988.39400000000001</v>
      </c>
      <c r="V258" s="51">
        <v>287.27999999999997</v>
      </c>
      <c r="W258" s="51">
        <v>989.35</v>
      </c>
      <c r="X258" s="51">
        <v>265.61399999999998</v>
      </c>
      <c r="Y258" s="51">
        <v>974.87400000000002</v>
      </c>
      <c r="Z258" s="51">
        <v>275.51900000000001</v>
      </c>
      <c r="AA258" s="51">
        <v>974.87400000000002</v>
      </c>
      <c r="AB258" s="51">
        <v>274.30500000000001</v>
      </c>
      <c r="AC258" s="51">
        <v>974.79300000000001</v>
      </c>
      <c r="AD258" s="51">
        <v>276.40899999999999</v>
      </c>
      <c r="AG258" s="14" t="s">
        <v>223</v>
      </c>
      <c r="AH258" s="14" t="s">
        <v>223</v>
      </c>
      <c r="AI258" s="14" t="s">
        <v>223</v>
      </c>
      <c r="AJ258" s="55">
        <v>7.9975094142374905E-5</v>
      </c>
      <c r="AK258" s="55">
        <v>9.0053460406039004E-5</v>
      </c>
      <c r="AL258" s="55">
        <v>7.8387826093358399E-5</v>
      </c>
      <c r="AM258" s="55">
        <v>7.52273499572213E-5</v>
      </c>
      <c r="AN258" s="51">
        <v>0.90346692917888305</v>
      </c>
    </row>
    <row r="259" spans="1:40" x14ac:dyDescent="0.35">
      <c r="A259" s="51" t="s">
        <v>161</v>
      </c>
      <c r="B259" s="14">
        <v>1</v>
      </c>
      <c r="C259" s="51">
        <v>70</v>
      </c>
      <c r="D259" s="14">
        <v>1379</v>
      </c>
      <c r="E259" s="12">
        <f t="shared" si="402"/>
        <v>34.858966737412068</v>
      </c>
      <c r="F259" s="12">
        <f t="shared" si="403"/>
        <v>1.2955255876355614</v>
      </c>
      <c r="G259" s="12">
        <f t="shared" si="404"/>
        <v>0.95714210021295876</v>
      </c>
      <c r="H259" s="12">
        <f t="shared" si="405"/>
        <v>20.446056734734956</v>
      </c>
      <c r="I259" s="12">
        <f t="shared" si="406"/>
        <v>1.3064162284490981</v>
      </c>
      <c r="J259" s="12">
        <f t="shared" si="407"/>
        <v>21.616161569529392</v>
      </c>
      <c r="K259" s="13">
        <f t="shared" si="408"/>
        <v>2.5278438533293739E-2</v>
      </c>
      <c r="L259" s="13">
        <f t="shared" si="409"/>
        <v>74.228148422723535</v>
      </c>
      <c r="M259" s="13">
        <f t="shared" si="410"/>
        <v>6.9408419159750455E-4</v>
      </c>
      <c r="N259" s="13">
        <f t="shared" si="411"/>
        <v>1.4826727146290759E-2</v>
      </c>
      <c r="O259" s="13">
        <f t="shared" si="412"/>
        <v>74.852136177532117</v>
      </c>
      <c r="P259" s="13">
        <f t="shared" si="413"/>
        <v>1.5675244067824071E-2</v>
      </c>
      <c r="Q259" s="51">
        <v>810.23900000000003</v>
      </c>
      <c r="R259" s="51">
        <v>280.428</v>
      </c>
      <c r="S259" s="51">
        <v>810.529</v>
      </c>
      <c r="T259" s="51">
        <v>259.98399999999998</v>
      </c>
      <c r="U259" s="51">
        <v>837.64300000000003</v>
      </c>
      <c r="V259" s="51">
        <v>281.44299999999998</v>
      </c>
      <c r="W259" s="51">
        <v>838.36800000000005</v>
      </c>
      <c r="X259" s="51">
        <v>259.839</v>
      </c>
      <c r="Y259" s="51">
        <v>823.88499999999999</v>
      </c>
      <c r="Z259" s="51">
        <v>270.68599999999998</v>
      </c>
      <c r="AA259" s="51">
        <v>823.82100000000003</v>
      </c>
      <c r="AB259" s="51">
        <v>270.30399999999997</v>
      </c>
      <c r="AC259" s="51">
        <v>823.88499999999999</v>
      </c>
      <c r="AD259" s="51">
        <v>271.25900000000001</v>
      </c>
      <c r="AG259" s="14" t="s">
        <v>223</v>
      </c>
      <c r="AH259" s="14" t="s">
        <v>223</v>
      </c>
      <c r="AI259" s="14" t="s">
        <v>223</v>
      </c>
      <c r="AJ259" s="55">
        <v>8.0200904639729796E-5</v>
      </c>
      <c r="AK259" s="55">
        <v>7.2609300072936899E-5</v>
      </c>
      <c r="AL259" s="55">
        <v>6.9707680366588496E-5</v>
      </c>
      <c r="AM259" s="55">
        <v>7.6046377838929696E-5</v>
      </c>
      <c r="AN259" s="51">
        <v>0.95382411455821003</v>
      </c>
    </row>
    <row r="260" spans="1:40" x14ac:dyDescent="0.35">
      <c r="A260" s="51" t="s">
        <v>161</v>
      </c>
      <c r="B260" s="14">
        <v>1</v>
      </c>
      <c r="C260" s="51">
        <v>80</v>
      </c>
      <c r="D260" s="14">
        <v>1379</v>
      </c>
      <c r="E260" s="12">
        <f t="shared" si="402"/>
        <v>33.548176135223756</v>
      </c>
      <c r="F260" s="12">
        <f t="shared" si="403"/>
        <v>1.2573519767382646</v>
      </c>
      <c r="G260" s="12">
        <f t="shared" si="404"/>
        <v>0.58600000000001273</v>
      </c>
      <c r="H260" s="12">
        <f t="shared" si="405"/>
        <v>19.837659060483933</v>
      </c>
      <c r="I260" s="12">
        <f t="shared" si="406"/>
        <v>1.2784063723687882</v>
      </c>
      <c r="J260" s="12">
        <f t="shared" si="407"/>
        <v>19.835227500585958</v>
      </c>
      <c r="K260" s="13">
        <f t="shared" si="408"/>
        <v>2.4327901475869294E-2</v>
      </c>
      <c r="L260" s="13">
        <f t="shared" si="409"/>
        <v>72.040961629533825</v>
      </c>
      <c r="M260" s="13">
        <f t="shared" si="410"/>
        <v>4.2494561276288089E-4</v>
      </c>
      <c r="N260" s="13">
        <f t="shared" si="411"/>
        <v>1.4385539565253033E-2</v>
      </c>
      <c r="O260" s="13">
        <f t="shared" si="412"/>
        <v>73.247289639361512</v>
      </c>
      <c r="P260" s="13">
        <f t="shared" si="413"/>
        <v>1.4383776287589528E-2</v>
      </c>
      <c r="Q260" s="51">
        <v>664.83900000000006</v>
      </c>
      <c r="R260" s="51">
        <v>283.76100000000002</v>
      </c>
      <c r="S260" s="51">
        <v>664.45799999999997</v>
      </c>
      <c r="T260" s="51">
        <v>263.92700000000002</v>
      </c>
      <c r="U260" s="51">
        <v>691.63499999999999</v>
      </c>
      <c r="V260" s="51">
        <v>283.28500000000003</v>
      </c>
      <c r="W260" s="51">
        <v>691.54</v>
      </c>
      <c r="X260" s="51">
        <v>263.45</v>
      </c>
      <c r="Y260" s="51">
        <v>678.28</v>
      </c>
      <c r="Z260" s="51">
        <v>274.233</v>
      </c>
      <c r="AA260" s="51">
        <v>678.28</v>
      </c>
      <c r="AB260" s="51">
        <v>273.976</v>
      </c>
      <c r="AC260" s="51">
        <v>678.28</v>
      </c>
      <c r="AD260" s="51">
        <v>274.56200000000001</v>
      </c>
      <c r="AG260" s="14" t="s">
        <v>223</v>
      </c>
      <c r="AH260" s="14" t="s">
        <v>223</v>
      </c>
      <c r="AI260" s="14" t="s">
        <v>223</v>
      </c>
      <c r="AJ260" s="55">
        <v>6.9423325696069997E-5</v>
      </c>
      <c r="AK260" s="55">
        <v>7.1048889353984095E-5</v>
      </c>
      <c r="AL260" s="55">
        <v>6.3129288861567395E-5</v>
      </c>
      <c r="AM260" s="55">
        <v>7.3289362187710496E-5</v>
      </c>
      <c r="AN260" s="51">
        <v>0.97114330403822702</v>
      </c>
    </row>
    <row r="261" spans="1:40" x14ac:dyDescent="0.35">
      <c r="A261" s="51" t="s">
        <v>161</v>
      </c>
      <c r="B261" s="14">
        <v>1</v>
      </c>
      <c r="C261" s="51">
        <v>90</v>
      </c>
      <c r="D261" s="14">
        <v>1379</v>
      </c>
      <c r="E261" s="12">
        <f t="shared" si="402"/>
        <v>32.776897717752355</v>
      </c>
      <c r="F261" s="12">
        <f t="shared" si="403"/>
        <v>1.269033128240254</v>
      </c>
      <c r="G261" s="12">
        <f t="shared" si="404"/>
        <v>0.54693783924684847</v>
      </c>
      <c r="H261" s="12">
        <f t="shared" si="405"/>
        <v>16.813255365930797</v>
      </c>
      <c r="I261" s="12">
        <f t="shared" si="406"/>
        <v>1.1013105949652626</v>
      </c>
      <c r="J261" s="12">
        <f t="shared" si="407"/>
        <v>18.856075095310828</v>
      </c>
      <c r="K261" s="13">
        <f t="shared" si="408"/>
        <v>2.3768598780095979E-2</v>
      </c>
      <c r="L261" s="13">
        <f t="shared" si="409"/>
        <v>72.710242310450724</v>
      </c>
      <c r="M261" s="13">
        <f t="shared" si="410"/>
        <v>3.9661917276783792E-4</v>
      </c>
      <c r="N261" s="13">
        <f t="shared" si="411"/>
        <v>1.2192353419819286E-2</v>
      </c>
      <c r="O261" s="13">
        <f t="shared" si="412"/>
        <v>63.100449024551196</v>
      </c>
      <c r="P261" s="13">
        <f t="shared" si="413"/>
        <v>1.3673731033582907E-2</v>
      </c>
      <c r="Q261" s="51">
        <v>524.18299999999999</v>
      </c>
      <c r="R261" s="51">
        <v>287.94200000000001</v>
      </c>
      <c r="S261" s="51">
        <v>523.29899999999998</v>
      </c>
      <c r="T261" s="51">
        <v>271.15199999999999</v>
      </c>
      <c r="U261" s="51">
        <v>550.59500000000003</v>
      </c>
      <c r="V261" s="51">
        <v>286.86200000000002</v>
      </c>
      <c r="W261" s="51">
        <v>550.20299999999997</v>
      </c>
      <c r="X261" s="51">
        <v>268.01</v>
      </c>
      <c r="Y261" s="51">
        <v>535.15</v>
      </c>
      <c r="Z261" s="51">
        <v>279.02100000000002</v>
      </c>
      <c r="AA261" s="51">
        <v>535.15</v>
      </c>
      <c r="AB261" s="51">
        <v>278.79399999999998</v>
      </c>
      <c r="AC261" s="51">
        <v>535.10400000000004</v>
      </c>
      <c r="AD261" s="51">
        <v>279.339</v>
      </c>
      <c r="AG261" s="14" t="s">
        <v>223</v>
      </c>
      <c r="AH261" s="14" t="s">
        <v>223</v>
      </c>
      <c r="AI261" s="14" t="s">
        <v>223</v>
      </c>
      <c r="AJ261" s="55">
        <v>7.5749173477012997E-5</v>
      </c>
      <c r="AK261" s="55">
        <v>5.0488523859130101E-5</v>
      </c>
      <c r="AL261" s="55">
        <v>5.66425934232593E-5</v>
      </c>
      <c r="AM261" s="55">
        <v>6.3849120312403803E-5</v>
      </c>
      <c r="AN261" s="51">
        <v>0.95448282310489496</v>
      </c>
    </row>
    <row r="262" spans="1:40" x14ac:dyDescent="0.35">
      <c r="A262" s="51" t="s">
        <v>163</v>
      </c>
      <c r="B262" s="14">
        <v>1</v>
      </c>
      <c r="C262" s="51">
        <v>20</v>
      </c>
      <c r="D262" s="14">
        <v>1129</v>
      </c>
      <c r="E262" s="12">
        <f t="shared" ref="E262:E269" si="414">DIST2(Q262,R262,W262,X262)</f>
        <v>29.272236539253356</v>
      </c>
      <c r="F262" s="12">
        <f t="shared" ref="F262:F269" si="415">ACOS((DIST2(Y262,Z262,S262,T262)^2 + DIST2(Y262,Z262,Q262,R262)^2 - DIST2(Q262,R262,S262,T262)^2)/(2*DIST2(Y262,Z262,S262,T262) * DIST2(Y262,Z262,Q262,R262)))</f>
        <v>1.5031487631083711</v>
      </c>
      <c r="G262" s="12">
        <f t="shared" ref="G262:G269" si="416">DIST2(AA262,AB262,AC262,AD262)</f>
        <v>0</v>
      </c>
      <c r="H262" s="12">
        <f t="shared" ref="H262:H269" si="417">DIST2(Q262,R262,S262,T262)</f>
        <v>19.086218388145937</v>
      </c>
      <c r="I262" s="12">
        <f t="shared" ref="I262:I269" si="418">ACOS((DIST2(Y262,Z262,W262,X262)^2 + DIST2(Y262,Z262,U262,V262)^2 - DIST2(U262,V262,W262,X262)^2)/(2*DIST2(Y262,Z262,W262,X262) * DIST2(Y262,Z262,U262,V262)))</f>
        <v>1.5922874184611666</v>
      </c>
      <c r="J262" s="12">
        <f t="shared" ref="J262:J269" si="419">DIST2(U262,V262,W262,X262)</f>
        <v>21.272598683752769</v>
      </c>
      <c r="K262" s="13">
        <f t="shared" ref="K262:K269" si="420">E262/D262</f>
        <v>2.592757886559199E-2</v>
      </c>
      <c r="L262" s="13">
        <f t="shared" ref="L262:L269" si="421">F262*180/PI()</f>
        <v>86.12408010641964</v>
      </c>
      <c r="M262" s="13">
        <f t="shared" ref="M262:M269" si="422">G262/D262</f>
        <v>0</v>
      </c>
      <c r="N262" s="13">
        <f t="shared" ref="N262:N269" si="423">H262/D262</f>
        <v>1.6905419298623506E-2</v>
      </c>
      <c r="O262" s="13">
        <f t="shared" ref="O262:O269" si="424">I262*180/PI()</f>
        <v>91.23134884960605</v>
      </c>
      <c r="P262" s="13">
        <f t="shared" ref="P262:P269" si="425">J262/D262</f>
        <v>1.8841982890835048E-2</v>
      </c>
      <c r="Q262" s="51">
        <v>241.73699999999999</v>
      </c>
      <c r="R262" s="51">
        <v>-52.436</v>
      </c>
      <c r="S262" s="51">
        <v>245.48</v>
      </c>
      <c r="T262" s="51">
        <v>-71.151600000000002</v>
      </c>
      <c r="U262" s="51">
        <v>222</v>
      </c>
      <c r="V262" s="51">
        <v>-55.158299999999997</v>
      </c>
      <c r="W262" s="51">
        <v>224.72300000000001</v>
      </c>
      <c r="X262" s="51">
        <v>-76.255899999999997</v>
      </c>
      <c r="Y262" s="51">
        <v>233.57</v>
      </c>
      <c r="Z262" s="51">
        <v>-63.665399999999998</v>
      </c>
      <c r="AA262" s="51">
        <v>233.57</v>
      </c>
      <c r="AB262" s="51">
        <v>-63.665399999999998</v>
      </c>
      <c r="AC262" s="51">
        <v>233.57</v>
      </c>
      <c r="AD262" s="51">
        <v>-63.665399999999998</v>
      </c>
      <c r="AG262" s="14" t="s">
        <v>223</v>
      </c>
      <c r="AH262" s="14" t="s">
        <v>223</v>
      </c>
      <c r="AI262" s="14" t="s">
        <v>223</v>
      </c>
      <c r="AJ262" s="55">
        <v>8.6665342908316797E-5</v>
      </c>
      <c r="AK262" s="55">
        <v>7.6445818626578001E-5</v>
      </c>
      <c r="AL262" s="55">
        <v>7.8218746964831598E-5</v>
      </c>
      <c r="AM262" s="55">
        <v>8.4801629007697006E-5</v>
      </c>
      <c r="AN262" s="51">
        <v>0.99944341293684702</v>
      </c>
    </row>
    <row r="263" spans="1:40" x14ac:dyDescent="0.35">
      <c r="A263" s="51" t="s">
        <v>163</v>
      </c>
      <c r="B263" s="14">
        <v>1</v>
      </c>
      <c r="C263" s="51">
        <v>30</v>
      </c>
      <c r="D263" s="14">
        <v>1129</v>
      </c>
      <c r="E263" s="12">
        <f t="shared" si="414"/>
        <v>28.327283036676846</v>
      </c>
      <c r="F263" s="12">
        <f t="shared" si="415"/>
        <v>1.5031538962641537</v>
      </c>
      <c r="G263" s="12">
        <f t="shared" si="416"/>
        <v>0</v>
      </c>
      <c r="H263" s="12">
        <f t="shared" si="417"/>
        <v>21.095233733002349</v>
      </c>
      <c r="I263" s="12">
        <f t="shared" si="418"/>
        <v>1.6280219090752754</v>
      </c>
      <c r="J263" s="12">
        <f t="shared" si="419"/>
        <v>18.447272020545473</v>
      </c>
      <c r="K263" s="13">
        <f t="shared" si="420"/>
        <v>2.5090596135231926E-2</v>
      </c>
      <c r="L263" s="13">
        <f t="shared" si="421"/>
        <v>86.124374214581579</v>
      </c>
      <c r="M263" s="13">
        <f t="shared" si="422"/>
        <v>0</v>
      </c>
      <c r="N263" s="13">
        <f t="shared" si="423"/>
        <v>1.8684883731622984E-2</v>
      </c>
      <c r="O263" s="13">
        <f t="shared" si="424"/>
        <v>93.27878434484434</v>
      </c>
      <c r="P263" s="13">
        <f t="shared" si="425"/>
        <v>1.6339479203317513E-2</v>
      </c>
      <c r="Q263" s="51">
        <v>354.67099999999999</v>
      </c>
      <c r="R263" s="51">
        <v>-22.627300000000002</v>
      </c>
      <c r="S263" s="51">
        <v>360.28500000000003</v>
      </c>
      <c r="T263" s="51">
        <v>-42.961799999999997</v>
      </c>
      <c r="U263" s="51">
        <v>336.33199999999999</v>
      </c>
      <c r="V263" s="51">
        <v>-28.740100000000002</v>
      </c>
      <c r="W263" s="51">
        <v>339.95</v>
      </c>
      <c r="X263" s="51">
        <v>-46.829099999999997</v>
      </c>
      <c r="Y263" s="51">
        <v>346.68700000000001</v>
      </c>
      <c r="Z263" s="51">
        <v>-36.100499999999997</v>
      </c>
      <c r="AA263" s="51">
        <v>346.68700000000001</v>
      </c>
      <c r="AB263" s="51">
        <v>-36.100499999999997</v>
      </c>
      <c r="AC263" s="51">
        <v>346.68700000000001</v>
      </c>
      <c r="AD263" s="51">
        <v>-36.100499999999997</v>
      </c>
      <c r="AG263" s="14" t="s">
        <v>223</v>
      </c>
      <c r="AH263" s="14" t="s">
        <v>223</v>
      </c>
      <c r="AI263" s="14" t="s">
        <v>223</v>
      </c>
      <c r="AJ263" s="55">
        <v>6.3030166062444406E-5</v>
      </c>
      <c r="AK263" s="55">
        <v>9.3355381162225294E-5</v>
      </c>
      <c r="AL263" s="55">
        <v>7.7778927399950305E-5</v>
      </c>
      <c r="AM263" s="55">
        <v>7.5359289752958004E-5</v>
      </c>
      <c r="AN263" s="51">
        <v>0.97923510113696</v>
      </c>
    </row>
    <row r="264" spans="1:40" x14ac:dyDescent="0.35">
      <c r="A264" s="51" t="s">
        <v>163</v>
      </c>
      <c r="B264" s="14">
        <v>1</v>
      </c>
      <c r="C264" s="51">
        <v>40</v>
      </c>
      <c r="D264" s="14">
        <v>1129</v>
      </c>
      <c r="E264" s="12">
        <f t="shared" si="414"/>
        <v>29.441813215928132</v>
      </c>
      <c r="F264" s="12">
        <f t="shared" si="415"/>
        <v>1.4156319207003614</v>
      </c>
      <c r="G264" s="12">
        <f t="shared" si="416"/>
        <v>0.65240000000000009</v>
      </c>
      <c r="H264" s="12">
        <f t="shared" si="417"/>
        <v>21.19664784897838</v>
      </c>
      <c r="I264" s="12">
        <f t="shared" si="418"/>
        <v>1.7166126956273819</v>
      </c>
      <c r="J264" s="12">
        <f t="shared" si="419"/>
        <v>20.209528167893978</v>
      </c>
      <c r="K264" s="13">
        <f t="shared" si="420"/>
        <v>2.6077779642097548E-2</v>
      </c>
      <c r="L264" s="13">
        <f t="shared" si="421"/>
        <v>81.109734400129142</v>
      </c>
      <c r="M264" s="13">
        <f t="shared" si="422"/>
        <v>5.7785651018600539E-4</v>
      </c>
      <c r="N264" s="13">
        <f t="shared" si="423"/>
        <v>1.8774710229387405E-2</v>
      </c>
      <c r="O264" s="13">
        <f t="shared" si="424"/>
        <v>98.354662518024384</v>
      </c>
      <c r="P264" s="13">
        <f t="shared" si="425"/>
        <v>1.7900379245255959E-2</v>
      </c>
      <c r="Q264" s="51">
        <v>458.74400000000003</v>
      </c>
      <c r="R264" s="51">
        <v>-1.13256</v>
      </c>
      <c r="S264" s="51">
        <v>461.846</v>
      </c>
      <c r="T264" s="51">
        <v>-22.100999999999999</v>
      </c>
      <c r="U264" s="51">
        <v>437.66800000000001</v>
      </c>
      <c r="V264" s="51">
        <v>-4.8769299999999998</v>
      </c>
      <c r="W264" s="51">
        <v>441.19900000000001</v>
      </c>
      <c r="X264" s="51">
        <v>-24.775600000000001</v>
      </c>
      <c r="Y264" s="51">
        <v>448.10300000000001</v>
      </c>
      <c r="Z264" s="51">
        <v>-13.79</v>
      </c>
      <c r="AA264" s="51">
        <v>448.15300000000002</v>
      </c>
      <c r="AB264" s="51">
        <v>-14.040900000000001</v>
      </c>
      <c r="AC264" s="51">
        <v>448.15300000000002</v>
      </c>
      <c r="AD264" s="51">
        <v>-13.388500000000001</v>
      </c>
      <c r="AG264" s="14" t="s">
        <v>223</v>
      </c>
      <c r="AH264" s="14" t="s">
        <v>223</v>
      </c>
      <c r="AI264" s="14" t="s">
        <v>223</v>
      </c>
      <c r="AJ264" s="55">
        <v>6.9105956610527997E-5</v>
      </c>
      <c r="AK264" s="51">
        <v>1.0292645102424901E-4</v>
      </c>
      <c r="AL264" s="55">
        <v>8.5769078811210499E-5</v>
      </c>
      <c r="AM264" s="55">
        <v>7.9646026802840901E-5</v>
      </c>
      <c r="AN264" s="51">
        <v>0.96153456135558901</v>
      </c>
    </row>
    <row r="265" spans="1:40" x14ac:dyDescent="0.35">
      <c r="A265" s="51" t="s">
        <v>163</v>
      </c>
      <c r="B265" s="14">
        <v>1</v>
      </c>
      <c r="C265" s="51">
        <v>50</v>
      </c>
      <c r="D265" s="14">
        <v>1129</v>
      </c>
      <c r="E265" s="12">
        <f t="shared" si="414"/>
        <v>29.39256423724208</v>
      </c>
      <c r="F265" s="12">
        <f t="shared" si="415"/>
        <v>1.4560253245343648</v>
      </c>
      <c r="G265" s="12">
        <f t="shared" si="416"/>
        <v>1.2877699999999996</v>
      </c>
      <c r="H265" s="12">
        <f t="shared" si="417"/>
        <v>20.109620731590141</v>
      </c>
      <c r="I265" s="12">
        <f t="shared" si="418"/>
        <v>1.6067800046965965</v>
      </c>
      <c r="J265" s="12">
        <f t="shared" si="419"/>
        <v>20.198233101189818</v>
      </c>
      <c r="K265" s="13">
        <f t="shared" si="420"/>
        <v>2.603415787178218E-2</v>
      </c>
      <c r="L265" s="13">
        <f t="shared" si="421"/>
        <v>83.424105959985098</v>
      </c>
      <c r="M265" s="13">
        <f t="shared" si="422"/>
        <v>1.140628875110717E-3</v>
      </c>
      <c r="N265" s="13">
        <f t="shared" si="423"/>
        <v>1.7811887273330506E-2</v>
      </c>
      <c r="O265" s="13">
        <f t="shared" si="424"/>
        <v>92.061712875125565</v>
      </c>
      <c r="P265" s="13">
        <f t="shared" si="425"/>
        <v>1.7890374757475482E-2</v>
      </c>
      <c r="Q265" s="51">
        <v>569.34100000000001</v>
      </c>
      <c r="R265" s="51">
        <v>6.2079800000000001</v>
      </c>
      <c r="S265" s="51">
        <v>569.00300000000004</v>
      </c>
      <c r="T265" s="51">
        <v>-13.8988</v>
      </c>
      <c r="U265" s="51">
        <v>548.21400000000006</v>
      </c>
      <c r="V265" s="51">
        <v>6.0918999999999999</v>
      </c>
      <c r="W265" s="51">
        <v>548.09799999999996</v>
      </c>
      <c r="X265" s="51">
        <v>-14.106</v>
      </c>
      <c r="Y265" s="51">
        <v>557.89700000000005</v>
      </c>
      <c r="Z265" s="51">
        <v>-4.1543400000000004</v>
      </c>
      <c r="AA265" s="51">
        <v>557.95100000000002</v>
      </c>
      <c r="AB265" s="51">
        <v>-4.6909099999999997</v>
      </c>
      <c r="AC265" s="51">
        <v>557.95100000000002</v>
      </c>
      <c r="AD265" s="51">
        <v>-3.4031400000000001</v>
      </c>
      <c r="AG265" s="14" t="s">
        <v>223</v>
      </c>
      <c r="AH265" s="14" t="s">
        <v>223</v>
      </c>
      <c r="AI265" s="14" t="s">
        <v>223</v>
      </c>
      <c r="AJ265" s="55">
        <v>7.7184410959635298E-5</v>
      </c>
      <c r="AK265" s="55">
        <v>8.88875872343662E-5</v>
      </c>
      <c r="AL265" s="55">
        <v>7.9132862131376394E-5</v>
      </c>
      <c r="AM265" s="55">
        <v>7.6406186075138303E-5</v>
      </c>
      <c r="AN265" s="51">
        <v>0.93657600256496998</v>
      </c>
    </row>
    <row r="266" spans="1:40" x14ac:dyDescent="0.35">
      <c r="A266" s="51" t="s">
        <v>163</v>
      </c>
      <c r="B266" s="14">
        <v>1</v>
      </c>
      <c r="C266" s="51">
        <v>60</v>
      </c>
      <c r="D266" s="14">
        <v>1129</v>
      </c>
      <c r="E266" s="12">
        <f t="shared" si="414"/>
        <v>29.381079352835251</v>
      </c>
      <c r="F266" s="12">
        <f t="shared" si="415"/>
        <v>1.4853194850035509</v>
      </c>
      <c r="G266" s="12">
        <f t="shared" si="416"/>
        <v>0.95583498371841324</v>
      </c>
      <c r="H266" s="12">
        <f t="shared" si="417"/>
        <v>19.98245283851811</v>
      </c>
      <c r="I266" s="12">
        <f t="shared" si="418"/>
        <v>1.425918642680795</v>
      </c>
      <c r="J266" s="12">
        <f t="shared" si="419"/>
        <v>18.956594791910305</v>
      </c>
      <c r="K266" s="13">
        <f t="shared" si="420"/>
        <v>2.6023985254947077E-2</v>
      </c>
      <c r="L266" s="13">
        <f t="shared" si="421"/>
        <v>85.102537719248431</v>
      </c>
      <c r="M266" s="13">
        <f t="shared" si="422"/>
        <v>8.4662088903313842E-4</v>
      </c>
      <c r="N266" s="13">
        <f t="shared" si="423"/>
        <v>1.7699249635534198E-2</v>
      </c>
      <c r="O266" s="13">
        <f t="shared" si="424"/>
        <v>81.699120154632453</v>
      </c>
      <c r="P266" s="13">
        <f t="shared" si="425"/>
        <v>1.6790606547307622E-2</v>
      </c>
      <c r="Q266" s="51">
        <v>681.13400000000001</v>
      </c>
      <c r="R266" s="51">
        <v>-2.29834</v>
      </c>
      <c r="S266" s="51">
        <v>678.01199999999994</v>
      </c>
      <c r="T266" s="51">
        <v>-22.035399999999999</v>
      </c>
      <c r="U266" s="51">
        <v>659.50199999999995</v>
      </c>
      <c r="V266" s="51">
        <v>0.26635900000000001</v>
      </c>
      <c r="W266" s="51">
        <v>656.60199999999998</v>
      </c>
      <c r="X266" s="51">
        <v>-18.467099999999999</v>
      </c>
      <c r="Y266" s="51">
        <v>668.99199999999996</v>
      </c>
      <c r="Z266" s="51">
        <v>-9.6290899999999997</v>
      </c>
      <c r="AA266" s="51">
        <v>668.93600000000004</v>
      </c>
      <c r="AB266" s="51">
        <v>-10.1828</v>
      </c>
      <c r="AC266" s="51">
        <v>669.10199999999998</v>
      </c>
      <c r="AD266" s="51">
        <v>-9.2414900000000006</v>
      </c>
      <c r="AG266" s="14" t="s">
        <v>223</v>
      </c>
      <c r="AH266" s="14" t="s">
        <v>223</v>
      </c>
      <c r="AI266" s="14" t="s">
        <v>223</v>
      </c>
      <c r="AJ266" s="55">
        <v>8.0994306636142995E-5</v>
      </c>
      <c r="AK266" s="55">
        <v>8.5028169115853198E-5</v>
      </c>
      <c r="AL266" s="55">
        <v>7.1021047953110202E-5</v>
      </c>
      <c r="AM266" s="55">
        <v>8.6839461150237598E-5</v>
      </c>
      <c r="AN266" s="51">
        <v>0.95083818253113594</v>
      </c>
    </row>
    <row r="267" spans="1:40" x14ac:dyDescent="0.35">
      <c r="A267" s="51" t="s">
        <v>163</v>
      </c>
      <c r="B267" s="14">
        <v>1</v>
      </c>
      <c r="C267" s="51">
        <v>70</v>
      </c>
      <c r="D267" s="14">
        <v>1129</v>
      </c>
      <c r="E267" s="12">
        <f t="shared" si="414"/>
        <v>29.668534947988316</v>
      </c>
      <c r="F267" s="12">
        <f t="shared" si="415"/>
        <v>1.3815003759311655</v>
      </c>
      <c r="G267" s="12">
        <f t="shared" si="416"/>
        <v>0</v>
      </c>
      <c r="H267" s="12">
        <f t="shared" si="417"/>
        <v>19.543352158982376</v>
      </c>
      <c r="I267" s="12">
        <f t="shared" si="418"/>
        <v>1.5101047647311849</v>
      </c>
      <c r="J267" s="12">
        <f t="shared" si="419"/>
        <v>18.382296362533172</v>
      </c>
      <c r="K267" s="13">
        <f t="shared" si="420"/>
        <v>2.6278596056676984E-2</v>
      </c>
      <c r="L267" s="13">
        <f t="shared" si="421"/>
        <v>79.154140936592398</v>
      </c>
      <c r="M267" s="13">
        <f t="shared" si="422"/>
        <v>0</v>
      </c>
      <c r="N267" s="13">
        <f t="shared" si="423"/>
        <v>1.7310320778549493E-2</v>
      </c>
      <c r="O267" s="13">
        <f t="shared" si="424"/>
        <v>86.52262964169303</v>
      </c>
      <c r="P267" s="13">
        <f t="shared" si="425"/>
        <v>1.6281927690463393E-2</v>
      </c>
      <c r="Q267" s="51">
        <v>814.51700000000005</v>
      </c>
      <c r="R267" s="51">
        <v>-30.3751</v>
      </c>
      <c r="S267" s="51">
        <v>807.57299999999998</v>
      </c>
      <c r="T267" s="51">
        <v>-48.6432</v>
      </c>
      <c r="U267" s="51">
        <v>793.471</v>
      </c>
      <c r="V267" s="51">
        <v>-24.819900000000001</v>
      </c>
      <c r="W267" s="51">
        <v>787.27499999999998</v>
      </c>
      <c r="X267" s="51">
        <v>-42.1265</v>
      </c>
      <c r="Y267" s="51">
        <v>799.56100000000004</v>
      </c>
      <c r="Z267" s="51">
        <v>-36.7849</v>
      </c>
      <c r="AA267" s="51">
        <v>799.56100000000004</v>
      </c>
      <c r="AB267" s="51">
        <v>-36.7849</v>
      </c>
      <c r="AC267" s="51">
        <v>799.56100000000004</v>
      </c>
      <c r="AD267" s="51">
        <v>-36.7849</v>
      </c>
      <c r="AG267" s="14" t="s">
        <v>223</v>
      </c>
      <c r="AH267" s="14" t="s">
        <v>223</v>
      </c>
      <c r="AI267" s="14" t="s">
        <v>223</v>
      </c>
      <c r="AJ267" s="55">
        <v>7.0424666239357102E-5</v>
      </c>
      <c r="AK267" s="55">
        <v>8.9714693156739799E-5</v>
      </c>
      <c r="AL267" s="55">
        <v>8.5508085021586595E-5</v>
      </c>
      <c r="AM267" s="55">
        <v>7.3937670685314706E-5</v>
      </c>
      <c r="AN267" s="51">
        <v>0.99566874944541295</v>
      </c>
    </row>
    <row r="268" spans="1:40" x14ac:dyDescent="0.35">
      <c r="A268" s="51" t="s">
        <v>163</v>
      </c>
      <c r="B268" s="14">
        <v>1</v>
      </c>
      <c r="C268" s="51">
        <v>80</v>
      </c>
      <c r="D268" s="14">
        <v>1129</v>
      </c>
      <c r="E268" s="12">
        <f t="shared" si="414"/>
        <v>28.023917209412467</v>
      </c>
      <c r="F268" s="12">
        <f t="shared" si="415"/>
        <v>1.4022371991698512</v>
      </c>
      <c r="G268" s="12">
        <f t="shared" si="416"/>
        <v>0.92350658362568749</v>
      </c>
      <c r="H268" s="12">
        <f t="shared" si="417"/>
        <v>17.723007068779278</v>
      </c>
      <c r="I268" s="12">
        <f t="shared" si="418"/>
        <v>1.3914110306758245</v>
      </c>
      <c r="J268" s="12">
        <f t="shared" si="419"/>
        <v>18.469808934853667</v>
      </c>
      <c r="K268" s="13">
        <f t="shared" si="420"/>
        <v>2.4821893010994214E-2</v>
      </c>
      <c r="L268" s="13">
        <f t="shared" si="421"/>
        <v>80.342273388677896</v>
      </c>
      <c r="M268" s="13">
        <f t="shared" si="422"/>
        <v>8.1798634510689774E-4</v>
      </c>
      <c r="N268" s="13">
        <f t="shared" si="423"/>
        <v>1.5697969060034789E-2</v>
      </c>
      <c r="O268" s="13">
        <f t="shared" si="424"/>
        <v>79.72197962567266</v>
      </c>
      <c r="P268" s="13">
        <f t="shared" si="425"/>
        <v>1.6359441040614407E-2</v>
      </c>
      <c r="Q268" s="51">
        <v>921.34900000000005</v>
      </c>
      <c r="R268" s="51">
        <v>-71.037800000000004</v>
      </c>
      <c r="S268" s="51">
        <v>913.98</v>
      </c>
      <c r="T268" s="51">
        <v>-87.156199999999998</v>
      </c>
      <c r="U268" s="51">
        <v>901.91399999999999</v>
      </c>
      <c r="V268" s="51">
        <v>-61.735100000000003</v>
      </c>
      <c r="W268" s="51">
        <v>894.36199999999997</v>
      </c>
      <c r="X268" s="51">
        <v>-78.590400000000002</v>
      </c>
      <c r="Y268" s="51">
        <v>907.79600000000005</v>
      </c>
      <c r="Z268" s="51">
        <v>-75.537300000000002</v>
      </c>
      <c r="AA268" s="51">
        <v>907.66700000000003</v>
      </c>
      <c r="AB268" s="51">
        <v>-75.924300000000002</v>
      </c>
      <c r="AC268" s="51">
        <v>907.86099999999999</v>
      </c>
      <c r="AD268" s="51">
        <v>-75.0214</v>
      </c>
      <c r="AG268" s="14" t="s">
        <v>223</v>
      </c>
      <c r="AH268" s="14" t="s">
        <v>223</v>
      </c>
      <c r="AI268" s="14" t="s">
        <v>223</v>
      </c>
      <c r="AJ268" s="55">
        <v>7.9778184210299705E-5</v>
      </c>
      <c r="AK268" s="55">
        <v>7.2685508978606399E-5</v>
      </c>
      <c r="AL268" s="55">
        <v>7.9589501514544398E-5</v>
      </c>
      <c r="AM268" s="55">
        <v>6.5222881893804097E-5</v>
      </c>
      <c r="AN268" s="51">
        <v>0.94981552905794098</v>
      </c>
    </row>
    <row r="269" spans="1:40" x14ac:dyDescent="0.35">
      <c r="A269" s="51" t="s">
        <v>163</v>
      </c>
      <c r="B269" s="14">
        <v>1</v>
      </c>
      <c r="C269" s="51">
        <v>90</v>
      </c>
      <c r="D269" s="14">
        <v>1129</v>
      </c>
      <c r="E269" s="12">
        <f t="shared" si="414"/>
        <v>25.562738585683711</v>
      </c>
      <c r="F269" s="12">
        <f t="shared" si="415"/>
        <v>1.3268619511395678</v>
      </c>
      <c r="G269" s="12">
        <f t="shared" si="416"/>
        <v>0</v>
      </c>
      <c r="H269" s="12">
        <f t="shared" si="417"/>
        <v>15.916052776992251</v>
      </c>
      <c r="I269" s="12">
        <f t="shared" si="418"/>
        <v>1.4045184225717369</v>
      </c>
      <c r="J269" s="12">
        <f t="shared" si="419"/>
        <v>16.489697541192196</v>
      </c>
      <c r="K269" s="13">
        <f t="shared" si="420"/>
        <v>2.2641929659595848E-2</v>
      </c>
      <c r="L269" s="13">
        <f t="shared" si="421"/>
        <v>76.023589796790887</v>
      </c>
      <c r="M269" s="13">
        <f t="shared" si="422"/>
        <v>0</v>
      </c>
      <c r="N269" s="13">
        <f t="shared" si="423"/>
        <v>1.4097478101853189E-2</v>
      </c>
      <c r="O269" s="13">
        <f t="shared" si="424"/>
        <v>80.472977861732417</v>
      </c>
      <c r="P269" s="13">
        <f t="shared" si="425"/>
        <v>1.4605577981569704E-2</v>
      </c>
      <c r="Q269" s="51">
        <v>1036.3800000000001</v>
      </c>
      <c r="R269" s="51">
        <v>-138.67099999999999</v>
      </c>
      <c r="S269" s="51">
        <v>1028.04</v>
      </c>
      <c r="T269" s="51">
        <v>-152.227</v>
      </c>
      <c r="U269" s="51">
        <v>1020.33</v>
      </c>
      <c r="V269" s="51">
        <v>-127.61799999999999</v>
      </c>
      <c r="W269" s="51">
        <v>1010.94</v>
      </c>
      <c r="X269" s="51">
        <v>-141.173</v>
      </c>
      <c r="Y269" s="51">
        <v>1023.66</v>
      </c>
      <c r="Z269" s="51">
        <v>-139.922</v>
      </c>
      <c r="AA269" s="51">
        <v>1023.66</v>
      </c>
      <c r="AB269" s="51">
        <v>-139.922</v>
      </c>
      <c r="AC269" s="51">
        <v>1023.66</v>
      </c>
      <c r="AD269" s="51">
        <v>-139.922</v>
      </c>
      <c r="AG269" s="14" t="s">
        <v>223</v>
      </c>
      <c r="AH269" s="14" t="s">
        <v>223</v>
      </c>
      <c r="AI269" s="14" t="s">
        <v>223</v>
      </c>
      <c r="AJ269" s="55">
        <v>6.3026652210308197E-5</v>
      </c>
      <c r="AK269" s="55">
        <v>6.3546904579407803E-5</v>
      </c>
      <c r="AL269" s="55">
        <v>6.3026652210309295E-5</v>
      </c>
      <c r="AM269" s="55">
        <v>6.3546904579406705E-5</v>
      </c>
      <c r="AN269" s="51">
        <v>1</v>
      </c>
    </row>
    <row r="270" spans="1:40" x14ac:dyDescent="0.35">
      <c r="A270" s="51" t="s">
        <v>165</v>
      </c>
      <c r="B270" s="14">
        <v>1</v>
      </c>
      <c r="C270" s="51">
        <v>20</v>
      </c>
      <c r="D270" s="14">
        <v>742</v>
      </c>
      <c r="E270" s="12">
        <f t="shared" ref="E270:E277" si="426">DIST2(Q270,R270,W270,X270)</f>
        <v>20.355903701137912</v>
      </c>
      <c r="F270" s="12">
        <f t="shared" ref="F270:F277" si="427">ACOS((DIST2(Y270,Z270,S270,T270)^2 + DIST2(Y270,Z270,Q270,R270)^2 - DIST2(Q270,R270,S270,T270)^2)/(2*DIST2(Y270,Z270,S270,T270) * DIST2(Y270,Z270,Q270,R270)))</f>
        <v>1.4129320269986458</v>
      </c>
      <c r="G270" s="12">
        <f t="shared" ref="G270:G277" si="428">DIST2(AA270,AB270,AC270,AD270)</f>
        <v>0.68890475393918171</v>
      </c>
      <c r="H270" s="12">
        <f t="shared" ref="H270:H277" si="429">DIST2(Q270,R270,S270,T270)</f>
        <v>13.971015362170357</v>
      </c>
      <c r="I270" s="12">
        <f t="shared" ref="I270:I277" si="430">ACOS((DIST2(Y270,Z270,W270,X270)^2 + DIST2(Y270,Z270,U270,V270)^2 - DIST2(U270,V270,W270,X270)^2)/(2*DIST2(Y270,Z270,W270,X270) * DIST2(Y270,Z270,U270,V270)))</f>
        <v>1.5689823525680828</v>
      </c>
      <c r="J270" s="12">
        <f t="shared" ref="J270:J277" si="431">DIST2(U270,V270,W270,X270)</f>
        <v>13.68612879560909</v>
      </c>
      <c r="K270" s="13">
        <f t="shared" ref="K270:K277" si="432">E270/D270</f>
        <v>2.7433832481317942E-2</v>
      </c>
      <c r="L270" s="13">
        <f t="shared" ref="L270:L277" si="433">F270*180/PI()</f>
        <v>80.955041885886899</v>
      </c>
      <c r="M270" s="13">
        <f t="shared" ref="M270:M277" si="434">G270/D270</f>
        <v>9.2844306460806156E-4</v>
      </c>
      <c r="N270" s="13">
        <f t="shared" ref="N270:N277" si="435">H270/D270</f>
        <v>1.8828861674084041E-2</v>
      </c>
      <c r="O270" s="13">
        <f t="shared" ref="O270:O277" si="436">I270*180/PI()</f>
        <v>89.896066932658073</v>
      </c>
      <c r="P270" s="13">
        <f t="shared" ref="P270:P277" si="437">J270/D270</f>
        <v>1.8444917514297964E-2</v>
      </c>
      <c r="Q270" s="51">
        <v>154.947</v>
      </c>
      <c r="R270" s="51">
        <v>-17.654699999999998</v>
      </c>
      <c r="S270" s="51">
        <v>162.53700000000001</v>
      </c>
      <c r="T270" s="51">
        <v>-29.3842</v>
      </c>
      <c r="U270" s="51">
        <v>142.35499999999999</v>
      </c>
      <c r="V270" s="51">
        <v>-25.761900000000001</v>
      </c>
      <c r="W270" s="51">
        <v>149.68600000000001</v>
      </c>
      <c r="X270" s="51">
        <v>-37.319000000000003</v>
      </c>
      <c r="Y270" s="51">
        <v>151.762</v>
      </c>
      <c r="Z270" s="51">
        <v>-27.7944</v>
      </c>
      <c r="AA270" s="51">
        <v>151.95500000000001</v>
      </c>
      <c r="AB270" s="51">
        <v>-28.052099999999999</v>
      </c>
      <c r="AC270" s="51">
        <v>151.53700000000001</v>
      </c>
      <c r="AD270" s="51">
        <v>-27.5045</v>
      </c>
      <c r="AG270" s="14" t="s">
        <v>222</v>
      </c>
      <c r="AH270" s="14" t="s">
        <v>222</v>
      </c>
      <c r="AI270" s="14" t="s">
        <v>222</v>
      </c>
      <c r="AJ270" s="55">
        <v>8.5201159356587198E-5</v>
      </c>
      <c r="AK270" s="51">
        <v>1.03819701705887E-4</v>
      </c>
      <c r="AL270" s="55">
        <v>8.7531267572889097E-5</v>
      </c>
      <c r="AM270" s="55">
        <v>9.1801199043162998E-5</v>
      </c>
      <c r="AN270" s="51">
        <v>0.94874431112013602</v>
      </c>
    </row>
    <row r="271" spans="1:40" x14ac:dyDescent="0.35">
      <c r="A271" s="51" t="s">
        <v>165</v>
      </c>
      <c r="B271" s="14">
        <v>1</v>
      </c>
      <c r="C271" s="51">
        <v>30</v>
      </c>
      <c r="D271" s="14">
        <v>742</v>
      </c>
      <c r="E271" s="12">
        <f t="shared" si="426"/>
        <v>21.136772497626019</v>
      </c>
      <c r="F271" s="12">
        <f t="shared" si="427"/>
        <v>1.5066989466641589</v>
      </c>
      <c r="G271" s="12">
        <f t="shared" si="428"/>
        <v>0.74266560873652976</v>
      </c>
      <c r="H271" s="12">
        <f t="shared" si="429"/>
        <v>15.069953747772422</v>
      </c>
      <c r="I271" s="12">
        <f t="shared" si="430"/>
        <v>1.6254545706481434</v>
      </c>
      <c r="J271" s="12">
        <f t="shared" si="431"/>
        <v>14.584445793135233</v>
      </c>
      <c r="K271" s="13">
        <f t="shared" si="432"/>
        <v>2.8486216304078191E-2</v>
      </c>
      <c r="L271" s="13">
        <f t="shared" si="433"/>
        <v>86.327490640663044</v>
      </c>
      <c r="M271" s="13">
        <f t="shared" si="434"/>
        <v>1.0008970468147302E-3</v>
      </c>
      <c r="N271" s="13">
        <f t="shared" si="435"/>
        <v>2.0309910711283588E-2</v>
      </c>
      <c r="O271" s="13">
        <f t="shared" si="436"/>
        <v>93.131686688387916</v>
      </c>
      <c r="P271" s="13">
        <f t="shared" si="437"/>
        <v>1.965558732228468E-2</v>
      </c>
      <c r="Q271" s="51">
        <v>229.374</v>
      </c>
      <c r="R271" s="51">
        <v>11.415900000000001</v>
      </c>
      <c r="S271" s="51">
        <v>232.774</v>
      </c>
      <c r="T271" s="51">
        <v>-3.2654999999999998</v>
      </c>
      <c r="U271" s="51">
        <v>214.69200000000001</v>
      </c>
      <c r="V271" s="51">
        <v>7.3205900000000002</v>
      </c>
      <c r="W271" s="51">
        <v>218.55600000000001</v>
      </c>
      <c r="X271" s="51">
        <v>-6.74268</v>
      </c>
      <c r="Y271" s="51">
        <v>223.31299999999999</v>
      </c>
      <c r="Z271" s="51">
        <v>1.9993399999999999</v>
      </c>
      <c r="AA271" s="51">
        <v>223.404</v>
      </c>
      <c r="AB271" s="51">
        <v>1.6343799999999999</v>
      </c>
      <c r="AC271" s="51">
        <v>223.267</v>
      </c>
      <c r="AD271" s="51">
        <v>2.3643000000000001</v>
      </c>
      <c r="AG271" s="14" t="s">
        <v>222</v>
      </c>
      <c r="AH271" s="14" t="s">
        <v>222</v>
      </c>
      <c r="AI271" s="14" t="s">
        <v>222</v>
      </c>
      <c r="AJ271" s="55">
        <v>9.1431823248523103E-5</v>
      </c>
      <c r="AK271" s="51">
        <v>1.0988756021098401E-4</v>
      </c>
      <c r="AL271" s="55">
        <v>9.7977286046672E-5</v>
      </c>
      <c r="AM271" s="55">
        <v>9.2857206827907295E-5</v>
      </c>
      <c r="AN271" s="51">
        <v>0.94791912033131998</v>
      </c>
    </row>
    <row r="272" spans="1:40" x14ac:dyDescent="0.35">
      <c r="A272" s="51" t="s">
        <v>165</v>
      </c>
      <c r="B272" s="14">
        <v>1</v>
      </c>
      <c r="C272" s="51">
        <v>40</v>
      </c>
      <c r="D272" s="14">
        <v>742</v>
      </c>
      <c r="E272" s="12">
        <f t="shared" si="426"/>
        <v>22.754493326727811</v>
      </c>
      <c r="F272" s="12">
        <f t="shared" si="427"/>
        <v>1.5510591951198451</v>
      </c>
      <c r="G272" s="12">
        <f t="shared" si="428"/>
        <v>0.42802191532677414</v>
      </c>
      <c r="H272" s="12">
        <f t="shared" si="429"/>
        <v>16.365351492470303</v>
      </c>
      <c r="I272" s="12">
        <f t="shared" si="430"/>
        <v>1.5988539569013873</v>
      </c>
      <c r="J272" s="12">
        <f t="shared" si="431"/>
        <v>15.833337237364079</v>
      </c>
      <c r="K272" s="13">
        <f t="shared" si="432"/>
        <v>3.0666433054889232E-2</v>
      </c>
      <c r="L272" s="13">
        <f t="shared" si="433"/>
        <v>88.869145655325582</v>
      </c>
      <c r="M272" s="13">
        <f t="shared" si="434"/>
        <v>5.7684894248891398E-4</v>
      </c>
      <c r="N272" s="13">
        <f t="shared" si="435"/>
        <v>2.2055729774218737E-2</v>
      </c>
      <c r="O272" s="13">
        <f t="shared" si="436"/>
        <v>91.607583788241129</v>
      </c>
      <c r="P272" s="13">
        <f t="shared" si="437"/>
        <v>2.1338729430409809E-2</v>
      </c>
      <c r="Q272" s="51">
        <v>296.83800000000002</v>
      </c>
      <c r="R272" s="51">
        <v>21.264299999999999</v>
      </c>
      <c r="S272" s="51">
        <v>298.37400000000002</v>
      </c>
      <c r="T272" s="51">
        <v>4.97119</v>
      </c>
      <c r="U272" s="51">
        <v>280.899</v>
      </c>
      <c r="V272" s="51">
        <v>19.462</v>
      </c>
      <c r="W272" s="51">
        <v>282.375</v>
      </c>
      <c r="X272" s="51">
        <v>3.6976100000000001</v>
      </c>
      <c r="Y272" s="51">
        <v>289.30500000000001</v>
      </c>
      <c r="Z272" s="51">
        <v>12.254300000000001</v>
      </c>
      <c r="AA272" s="51">
        <v>289.286</v>
      </c>
      <c r="AB272" s="51">
        <v>12.0312</v>
      </c>
      <c r="AC272" s="51">
        <v>289.30500000000001</v>
      </c>
      <c r="AD272" s="51">
        <v>12.4588</v>
      </c>
      <c r="AG272" s="14" t="s">
        <v>222</v>
      </c>
      <c r="AH272" s="14" t="s">
        <v>222</v>
      </c>
      <c r="AI272" s="14" t="s">
        <v>222</v>
      </c>
      <c r="AJ272" s="51">
        <v>1.10683678137328E-4</v>
      </c>
      <c r="AK272" s="51">
        <v>1.24032226616706E-4</v>
      </c>
      <c r="AL272" s="51">
        <v>1.15131155142726E-4</v>
      </c>
      <c r="AM272" s="51">
        <v>1.13090753327497E-4</v>
      </c>
      <c r="AN272" s="51">
        <v>0.97233252560956196</v>
      </c>
    </row>
    <row r="273" spans="1:40" x14ac:dyDescent="0.35">
      <c r="A273" s="51" t="s">
        <v>165</v>
      </c>
      <c r="B273" s="14">
        <v>1</v>
      </c>
      <c r="C273" s="51">
        <v>50</v>
      </c>
      <c r="D273" s="14">
        <v>742</v>
      </c>
      <c r="E273" s="12">
        <f t="shared" si="426"/>
        <v>22.971116627182063</v>
      </c>
      <c r="F273" s="12">
        <f t="shared" si="427"/>
        <v>1.4694491706600659</v>
      </c>
      <c r="G273" s="12">
        <f t="shared" si="428"/>
        <v>1.0422998608845704</v>
      </c>
      <c r="H273" s="12">
        <f t="shared" si="429"/>
        <v>15.272438644826831</v>
      </c>
      <c r="I273" s="12">
        <f t="shared" si="430"/>
        <v>1.498599141121127</v>
      </c>
      <c r="J273" s="12">
        <f t="shared" si="431"/>
        <v>15.348190086704037</v>
      </c>
      <c r="K273" s="13">
        <f t="shared" si="432"/>
        <v>3.0958378203749411E-2</v>
      </c>
      <c r="L273" s="13">
        <f t="shared" si="433"/>
        <v>84.193235687820817</v>
      </c>
      <c r="M273" s="13">
        <f t="shared" si="434"/>
        <v>1.4047167936449736E-3</v>
      </c>
      <c r="N273" s="13">
        <f t="shared" si="435"/>
        <v>2.0582801408122416E-2</v>
      </c>
      <c r="O273" s="13">
        <f t="shared" si="436"/>
        <v>85.863405968170639</v>
      </c>
      <c r="P273" s="13">
        <f t="shared" si="437"/>
        <v>2.0684892300140211E-2</v>
      </c>
      <c r="Q273" s="51">
        <v>384.77300000000002</v>
      </c>
      <c r="R273" s="51">
        <v>26.5274</v>
      </c>
      <c r="S273" s="51">
        <v>385.83600000000001</v>
      </c>
      <c r="T273" s="51">
        <v>11.292</v>
      </c>
      <c r="U273" s="51">
        <v>368.12</v>
      </c>
      <c r="V273" s="51">
        <v>24.897500000000001</v>
      </c>
      <c r="W273" s="51">
        <v>369.25400000000002</v>
      </c>
      <c r="X273" s="51">
        <v>9.5912600000000001</v>
      </c>
      <c r="Y273" s="51">
        <v>376.89400000000001</v>
      </c>
      <c r="Z273" s="51">
        <v>18.075099999999999</v>
      </c>
      <c r="AA273" s="51">
        <v>376.91899999999998</v>
      </c>
      <c r="AB273" s="51">
        <v>17.479700000000001</v>
      </c>
      <c r="AC273" s="51">
        <v>376.89400000000001</v>
      </c>
      <c r="AD273" s="51">
        <v>18.521699999999999</v>
      </c>
      <c r="AG273" s="14" t="s">
        <v>222</v>
      </c>
      <c r="AH273" s="14" t="s">
        <v>222</v>
      </c>
      <c r="AI273" s="14" t="s">
        <v>222</v>
      </c>
      <c r="AJ273" s="51">
        <v>1.1493699929526801E-4</v>
      </c>
      <c r="AK273" s="51">
        <v>1.1717485296895601E-4</v>
      </c>
      <c r="AL273" s="51">
        <v>1.09412293575316E-4</v>
      </c>
      <c r="AM273" s="51">
        <v>1.06953905431521E-4</v>
      </c>
      <c r="AN273" s="51">
        <v>0.93216351037747602</v>
      </c>
    </row>
    <row r="274" spans="1:40" x14ac:dyDescent="0.35">
      <c r="A274" s="51" t="s">
        <v>165</v>
      </c>
      <c r="B274" s="14">
        <v>1</v>
      </c>
      <c r="C274" s="51">
        <v>60</v>
      </c>
      <c r="D274" s="14">
        <v>742</v>
      </c>
      <c r="E274" s="12">
        <f t="shared" si="426"/>
        <v>24.4054615084411</v>
      </c>
      <c r="F274" s="12">
        <f t="shared" si="427"/>
        <v>1.533631202683994</v>
      </c>
      <c r="G274" s="12">
        <f t="shared" si="428"/>
        <v>1.1502428613123417</v>
      </c>
      <c r="H274" s="12">
        <f t="shared" si="429"/>
        <v>16.690061460641783</v>
      </c>
      <c r="I274" s="12">
        <f t="shared" si="430"/>
        <v>1.5349446230094974</v>
      </c>
      <c r="J274" s="12">
        <f t="shared" si="431"/>
        <v>16.774594316704054</v>
      </c>
      <c r="K274" s="13">
        <f t="shared" si="432"/>
        <v>3.2891457558545958E-2</v>
      </c>
      <c r="L274" s="13">
        <f t="shared" si="433"/>
        <v>87.870595243365386</v>
      </c>
      <c r="M274" s="13">
        <f t="shared" si="434"/>
        <v>1.550192535461377E-3</v>
      </c>
      <c r="N274" s="13">
        <f t="shared" si="435"/>
        <v>2.2493344286579221E-2</v>
      </c>
      <c r="O274" s="13">
        <f t="shared" si="436"/>
        <v>87.945848684743439</v>
      </c>
      <c r="P274" s="13">
        <f t="shared" si="437"/>
        <v>2.2607269968603846E-2</v>
      </c>
      <c r="Q274" s="51">
        <v>457.44499999999999</v>
      </c>
      <c r="R274" s="51">
        <v>34.672600000000003</v>
      </c>
      <c r="S274" s="51">
        <v>459.43</v>
      </c>
      <c r="T274" s="51">
        <v>18.100999999999999</v>
      </c>
      <c r="U274" s="51">
        <v>440.56799999999998</v>
      </c>
      <c r="V274" s="51">
        <v>32.610700000000001</v>
      </c>
      <c r="W274" s="51">
        <v>441.86599999999999</v>
      </c>
      <c r="X274" s="51">
        <v>15.8864</v>
      </c>
      <c r="Y274" s="51">
        <v>449.858</v>
      </c>
      <c r="Z274" s="51">
        <v>25.2012</v>
      </c>
      <c r="AA274" s="51">
        <v>449.93</v>
      </c>
      <c r="AB274" s="51">
        <v>24.591999999999999</v>
      </c>
      <c r="AC274" s="51">
        <v>449.82900000000001</v>
      </c>
      <c r="AD274" s="51">
        <v>25.7378</v>
      </c>
      <c r="AG274" s="14" t="s">
        <v>222</v>
      </c>
      <c r="AH274" s="14" t="s">
        <v>222</v>
      </c>
      <c r="AI274" s="14" t="s">
        <v>222</v>
      </c>
      <c r="AJ274" s="51">
        <v>1.32365370783415E-4</v>
      </c>
      <c r="AK274" s="51">
        <v>1.3125581966855801E-4</v>
      </c>
      <c r="AL274" s="51">
        <v>1.2268254844123499E-4</v>
      </c>
      <c r="AM274" s="51">
        <v>1.22643892444838E-4</v>
      </c>
      <c r="AN274" s="51">
        <v>0.930602128248743</v>
      </c>
    </row>
    <row r="275" spans="1:40" x14ac:dyDescent="0.35">
      <c r="A275" s="51" t="s">
        <v>165</v>
      </c>
      <c r="B275" s="14">
        <v>1</v>
      </c>
      <c r="C275" s="51">
        <v>70</v>
      </c>
      <c r="D275" s="14">
        <v>742</v>
      </c>
      <c r="E275" s="12">
        <f t="shared" si="426"/>
        <v>24.280410828690737</v>
      </c>
      <c r="F275" s="12">
        <f t="shared" si="427"/>
        <v>1.4857234072921925</v>
      </c>
      <c r="G275" s="12">
        <f t="shared" si="428"/>
        <v>0.7619774537346935</v>
      </c>
      <c r="H275" s="12">
        <f t="shared" si="429"/>
        <v>16.717791804242559</v>
      </c>
      <c r="I275" s="12">
        <f t="shared" si="430"/>
        <v>1.4537470921588498</v>
      </c>
      <c r="J275" s="12">
        <f t="shared" si="431"/>
        <v>15.902940540667302</v>
      </c>
      <c r="K275" s="13">
        <f t="shared" si="432"/>
        <v>3.2722925645135764E-2</v>
      </c>
      <c r="L275" s="13">
        <f t="shared" si="433"/>
        <v>85.125680761638876</v>
      </c>
      <c r="M275" s="13">
        <f t="shared" si="434"/>
        <v>1.0269237920952743E-3</v>
      </c>
      <c r="N275" s="13">
        <f t="shared" si="435"/>
        <v>2.2530716717308032E-2</v>
      </c>
      <c r="O275" s="13">
        <f t="shared" si="436"/>
        <v>83.293572860118019</v>
      </c>
      <c r="P275" s="13">
        <f t="shared" si="437"/>
        <v>2.1432534421384503E-2</v>
      </c>
      <c r="Q275" s="51">
        <v>530.84400000000005</v>
      </c>
      <c r="R275" s="51">
        <v>46.206000000000003</v>
      </c>
      <c r="S275" s="51">
        <v>534.428</v>
      </c>
      <c r="T275" s="51">
        <v>29.876899999999999</v>
      </c>
      <c r="U275" s="51">
        <v>513.47900000000004</v>
      </c>
      <c r="V275" s="51">
        <v>42.223300000000002</v>
      </c>
      <c r="W275" s="51">
        <v>516.50599999999997</v>
      </c>
      <c r="X275" s="51">
        <v>26.6111</v>
      </c>
      <c r="Y275" s="51">
        <v>523.83900000000006</v>
      </c>
      <c r="Z275" s="51">
        <v>35.707500000000003</v>
      </c>
      <c r="AA275" s="51">
        <v>523.88300000000004</v>
      </c>
      <c r="AB275" s="51">
        <v>35.360500000000002</v>
      </c>
      <c r="AC275" s="51">
        <v>523.81799999999998</v>
      </c>
      <c r="AD275" s="51">
        <v>36.119700000000002</v>
      </c>
      <c r="AG275" s="14" t="s">
        <v>222</v>
      </c>
      <c r="AH275" s="14" t="s">
        <v>222</v>
      </c>
      <c r="AI275" s="14" t="s">
        <v>222</v>
      </c>
      <c r="AJ275" s="51">
        <v>1.28975982265459E-4</v>
      </c>
      <c r="AK275" s="51">
        <v>1.38051134382197E-4</v>
      </c>
      <c r="AL275" s="51">
        <v>1.3365035608939199E-4</v>
      </c>
      <c r="AM275" s="51">
        <v>1.2052635134153301E-4</v>
      </c>
      <c r="AN275" s="51">
        <v>0.95187601402412303</v>
      </c>
    </row>
    <row r="276" spans="1:40" x14ac:dyDescent="0.35">
      <c r="A276" s="51" t="s">
        <v>165</v>
      </c>
      <c r="B276" s="14">
        <v>1</v>
      </c>
      <c r="C276" s="51">
        <v>80</v>
      </c>
      <c r="D276" s="14">
        <v>742</v>
      </c>
      <c r="E276" s="12">
        <f t="shared" si="426"/>
        <v>23.790839073265133</v>
      </c>
      <c r="F276" s="12">
        <f t="shared" si="427"/>
        <v>1.48808979013016</v>
      </c>
      <c r="G276" s="12">
        <f t="shared" si="428"/>
        <v>0.42717439061817797</v>
      </c>
      <c r="H276" s="12">
        <f t="shared" si="429"/>
        <v>16.768858171026437</v>
      </c>
      <c r="I276" s="12">
        <f t="shared" si="430"/>
        <v>1.3913688616290993</v>
      </c>
      <c r="J276" s="12">
        <f t="shared" si="431"/>
        <v>14.768530923554987</v>
      </c>
      <c r="K276" s="13">
        <f t="shared" si="432"/>
        <v>3.2063125435667292E-2</v>
      </c>
      <c r="L276" s="13">
        <f t="shared" si="433"/>
        <v>85.261264510966583</v>
      </c>
      <c r="M276" s="13">
        <f t="shared" si="434"/>
        <v>5.7570672590050935E-4</v>
      </c>
      <c r="N276" s="13">
        <f t="shared" si="435"/>
        <v>2.2599539314051804E-2</v>
      </c>
      <c r="O276" s="13">
        <f t="shared" si="436"/>
        <v>79.719563517269222</v>
      </c>
      <c r="P276" s="13">
        <f t="shared" si="437"/>
        <v>1.990368048996629E-2</v>
      </c>
      <c r="Q276" s="51">
        <v>602.47199999999998</v>
      </c>
      <c r="R276" s="51">
        <v>65.224999999999994</v>
      </c>
      <c r="S276" s="51">
        <v>607.298</v>
      </c>
      <c r="T276" s="51">
        <v>49.165599999999998</v>
      </c>
      <c r="U276" s="51">
        <v>585.54200000000003</v>
      </c>
      <c r="V276" s="51">
        <v>59.291699999999999</v>
      </c>
      <c r="W276" s="51">
        <v>589.73500000000001</v>
      </c>
      <c r="X276" s="51">
        <v>45.130899999999997</v>
      </c>
      <c r="Y276" s="51">
        <v>596.13800000000003</v>
      </c>
      <c r="Z276" s="51">
        <v>54.655799999999999</v>
      </c>
      <c r="AA276" s="51">
        <v>596.173</v>
      </c>
      <c r="AB276" s="51">
        <v>54.445099999999996</v>
      </c>
      <c r="AC276" s="51">
        <v>596.10299999999995</v>
      </c>
      <c r="AD276" s="51">
        <v>54.866500000000002</v>
      </c>
      <c r="AG276" s="14" t="s">
        <v>222</v>
      </c>
      <c r="AH276" s="14" t="s">
        <v>222</v>
      </c>
      <c r="AI276" s="14" t="s">
        <v>222</v>
      </c>
      <c r="AJ276" s="51">
        <v>1.18614282898991E-4</v>
      </c>
      <c r="AK276" s="51">
        <v>1.38700676760558E-4</v>
      </c>
      <c r="AL276" s="51">
        <v>1.24944799605495E-4</v>
      </c>
      <c r="AM276" s="51">
        <v>1.24971752602785E-4</v>
      </c>
      <c r="AN276" s="51">
        <v>0.97124765905154797</v>
      </c>
    </row>
    <row r="277" spans="1:40" x14ac:dyDescent="0.35">
      <c r="A277" s="51" t="s">
        <v>165</v>
      </c>
      <c r="B277" s="14">
        <v>1</v>
      </c>
      <c r="C277" s="51">
        <v>90</v>
      </c>
      <c r="D277" s="14">
        <v>742</v>
      </c>
      <c r="E277" s="12">
        <f t="shared" si="426"/>
        <v>22.919790972868853</v>
      </c>
      <c r="F277" s="12">
        <f t="shared" si="427"/>
        <v>1.4306871241120069</v>
      </c>
      <c r="G277" s="12">
        <f t="shared" si="428"/>
        <v>0.48098336769580824</v>
      </c>
      <c r="H277" s="12">
        <f t="shared" si="429"/>
        <v>14.715406242778366</v>
      </c>
      <c r="I277" s="12">
        <f t="shared" si="430"/>
        <v>1.4046179298124883</v>
      </c>
      <c r="J277" s="12">
        <f t="shared" si="431"/>
        <v>15.059728350803656</v>
      </c>
      <c r="K277" s="13">
        <f t="shared" si="432"/>
        <v>3.0889206162896029E-2</v>
      </c>
      <c r="L277" s="13">
        <f t="shared" si="433"/>
        <v>81.972334015327391</v>
      </c>
      <c r="M277" s="13">
        <f t="shared" si="434"/>
        <v>6.4822556293235611E-4</v>
      </c>
      <c r="N277" s="13">
        <f t="shared" si="435"/>
        <v>1.9832083885146047E-2</v>
      </c>
      <c r="O277" s="13">
        <f t="shared" si="436"/>
        <v>80.47867920665847</v>
      </c>
      <c r="P277" s="13">
        <f t="shared" si="437"/>
        <v>2.0296129852835115E-2</v>
      </c>
      <c r="Q277" s="51">
        <v>672.53</v>
      </c>
      <c r="R277" s="51">
        <v>87.008700000000005</v>
      </c>
      <c r="S277" s="51">
        <v>677.322</v>
      </c>
      <c r="T277" s="51">
        <v>73.095399999999998</v>
      </c>
      <c r="U277" s="51">
        <v>656.221</v>
      </c>
      <c r="V277" s="51">
        <v>81.752499999999998</v>
      </c>
      <c r="W277" s="51">
        <v>660.70399999999995</v>
      </c>
      <c r="X277" s="51">
        <v>67.375500000000002</v>
      </c>
      <c r="Y277" s="51">
        <v>666.99800000000005</v>
      </c>
      <c r="Z277" s="51">
        <v>77.077200000000005</v>
      </c>
      <c r="AA277" s="51">
        <v>667.09199999999998</v>
      </c>
      <c r="AB277" s="51">
        <v>76.825999999999993</v>
      </c>
      <c r="AC277" s="51">
        <v>666.98099999999999</v>
      </c>
      <c r="AD277" s="51">
        <v>77.293999999999997</v>
      </c>
      <c r="AG277" s="14" t="s">
        <v>222</v>
      </c>
      <c r="AH277" s="14" t="s">
        <v>222</v>
      </c>
      <c r="AI277" s="14" t="s">
        <v>222</v>
      </c>
      <c r="AJ277" s="51">
        <v>1.2167664349648799E-4</v>
      </c>
      <c r="AK277" s="51">
        <v>1.13120476093605E-4</v>
      </c>
      <c r="AL277" s="51">
        <v>1.17398148534957E-4</v>
      </c>
      <c r="AM277" s="51">
        <v>1.0944203380533399E-4</v>
      </c>
      <c r="AN277" s="51">
        <v>0.96611143584856096</v>
      </c>
    </row>
    <row r="278" spans="1:40" x14ac:dyDescent="0.35">
      <c r="A278" s="51" t="s">
        <v>167</v>
      </c>
      <c r="B278" s="14">
        <v>1</v>
      </c>
      <c r="C278" s="51">
        <v>20</v>
      </c>
      <c r="D278" s="14">
        <v>1486</v>
      </c>
      <c r="E278" s="12">
        <f t="shared" ref="E278:E285" si="438">DIST2(Q278,R278,W278,X278)</f>
        <v>27.98825548332729</v>
      </c>
      <c r="F278" s="12">
        <f t="shared" ref="F278:F285" si="439">ACOS((DIST2(Y278,Z278,S278,T278)^2 + DIST2(Y278,Z278,Q278,R278)^2 - DIST2(Q278,R278,S278,T278)^2)/(2*DIST2(Y278,Z278,S278,T278) * DIST2(Y278,Z278,Q278,R278)))</f>
        <v>0.76237201935723964</v>
      </c>
      <c r="G278" s="12">
        <f t="shared" ref="G278:G285" si="440">DIST2(AA278,AB278,AC278,AD278)</f>
        <v>1.8294946870652675</v>
      </c>
      <c r="H278" s="12">
        <f t="shared" ref="H278:H285" si="441">DIST2(Q278,R278,S278,T278)</f>
        <v>12.620069586179005</v>
      </c>
      <c r="I278" s="12">
        <f t="shared" ref="I278:I285" si="442">ACOS((DIST2(Y278,Z278,W278,X278)^2 + DIST2(Y278,Z278,U278,V278)^2 - DIST2(U278,V278,W278,X278)^2)/(2*DIST2(Y278,Z278,W278,X278) * DIST2(Y278,Z278,U278,V278)))</f>
        <v>1.1390790086077103</v>
      </c>
      <c r="J278" s="12">
        <f t="shared" ref="J278:J285" si="443">DIST2(U278,V278,W278,X278)</f>
        <v>12.500162218547406</v>
      </c>
      <c r="K278" s="13">
        <f t="shared" ref="K278:K285" si="444">E278/D278</f>
        <v>1.8834626839385794E-2</v>
      </c>
      <c r="L278" s="13">
        <f t="shared" ref="L278:L285" si="445">F278*180/PI()</f>
        <v>43.680699128035727</v>
      </c>
      <c r="M278" s="13">
        <f t="shared" ref="M278:M285" si="446">G278/D278</f>
        <v>1.2311538943911625E-3</v>
      </c>
      <c r="N278" s="13">
        <f t="shared" ref="N278:N285" si="447">H278/D278</f>
        <v>8.4926444052348619E-3</v>
      </c>
      <c r="O278" s="13">
        <f t="shared" ref="O278:O285" si="448">I278*180/PI()</f>
        <v>65.26441972516777</v>
      </c>
      <c r="P278" s="13">
        <f t="shared" ref="P278:P285" si="449">J278/D278</f>
        <v>8.4119530407452264E-3</v>
      </c>
      <c r="Q278" s="51">
        <v>354.68799999999999</v>
      </c>
      <c r="R278" s="51">
        <v>94.093100000000007</v>
      </c>
      <c r="S278" s="51">
        <v>354.55799999999999</v>
      </c>
      <c r="T278" s="51">
        <v>81.473699999999994</v>
      </c>
      <c r="U278" s="51">
        <v>328.92899999999997</v>
      </c>
      <c r="V278" s="51">
        <v>94.483400000000003</v>
      </c>
      <c r="W278" s="51">
        <v>329.45</v>
      </c>
      <c r="X278" s="51">
        <v>81.994100000000003</v>
      </c>
      <c r="Y278" s="51">
        <v>338.88799999999998</v>
      </c>
      <c r="Z278" s="51">
        <v>87.4529</v>
      </c>
      <c r="AA278" s="51">
        <v>338.92599999999999</v>
      </c>
      <c r="AB278" s="51">
        <v>86.500299999999996</v>
      </c>
      <c r="AC278" s="51">
        <v>338.88799999999998</v>
      </c>
      <c r="AD278" s="51">
        <v>88.329400000000007</v>
      </c>
      <c r="AG278" s="14" t="s">
        <v>226</v>
      </c>
      <c r="AH278" s="14" t="s">
        <v>226</v>
      </c>
      <c r="AI278" s="14" t="s">
        <v>223</v>
      </c>
      <c r="AJ278" s="55">
        <v>2.7334088142538102E-5</v>
      </c>
      <c r="AK278" s="55">
        <v>4.4951465811911698E-5</v>
      </c>
      <c r="AL278" s="55">
        <v>3.5013623858570501E-5</v>
      </c>
      <c r="AM278" s="55">
        <v>2.67351675304185E-5</v>
      </c>
      <c r="AN278" s="51">
        <v>0.85423418665228201</v>
      </c>
    </row>
    <row r="279" spans="1:40" x14ac:dyDescent="0.35">
      <c r="A279" s="51" t="s">
        <v>167</v>
      </c>
      <c r="B279" s="14">
        <v>1</v>
      </c>
      <c r="C279" s="51">
        <v>30</v>
      </c>
      <c r="D279" s="14">
        <v>1486</v>
      </c>
      <c r="E279" s="12">
        <f t="shared" si="438"/>
        <v>34.368366188109675</v>
      </c>
      <c r="F279" s="12">
        <f t="shared" si="439"/>
        <v>1.0423035661501889</v>
      </c>
      <c r="G279" s="12">
        <f t="shared" si="440"/>
        <v>2.9292065068888533</v>
      </c>
      <c r="H279" s="12">
        <f t="shared" si="441"/>
        <v>18.217700000000008</v>
      </c>
      <c r="I279" s="12">
        <f t="shared" si="442"/>
        <v>1.211183058816715</v>
      </c>
      <c r="J279" s="12">
        <f t="shared" si="443"/>
        <v>17.951066403977226</v>
      </c>
      <c r="K279" s="13">
        <f t="shared" si="444"/>
        <v>2.3128106452294534E-2</v>
      </c>
      <c r="L279" s="13">
        <f t="shared" si="445"/>
        <v>59.719595311840642</v>
      </c>
      <c r="M279" s="13">
        <f t="shared" si="446"/>
        <v>1.9712022253626201E-3</v>
      </c>
      <c r="N279" s="13">
        <f t="shared" si="447"/>
        <v>1.2259555854643342E-2</v>
      </c>
      <c r="O279" s="13">
        <f t="shared" si="448"/>
        <v>69.395677487943118</v>
      </c>
      <c r="P279" s="13">
        <f t="shared" si="449"/>
        <v>1.2080125440092345E-2</v>
      </c>
      <c r="Q279" s="51">
        <v>490.70499999999998</v>
      </c>
      <c r="R279" s="51">
        <v>101.566</v>
      </c>
      <c r="S279" s="51">
        <v>490.70499999999998</v>
      </c>
      <c r="T279" s="51">
        <v>83.348299999999995</v>
      </c>
      <c r="U279" s="51">
        <v>462.63900000000001</v>
      </c>
      <c r="V279" s="51">
        <v>101.895</v>
      </c>
      <c r="W279" s="51">
        <v>461.16199999999998</v>
      </c>
      <c r="X279" s="51">
        <v>84.004800000000003</v>
      </c>
      <c r="Y279" s="51">
        <v>474.84899999999999</v>
      </c>
      <c r="Z279" s="51">
        <v>92.928299999999993</v>
      </c>
      <c r="AA279" s="51">
        <v>474.84199999999998</v>
      </c>
      <c r="AB279" s="51">
        <v>91.563100000000006</v>
      </c>
      <c r="AC279" s="51">
        <v>474.93900000000002</v>
      </c>
      <c r="AD279" s="51">
        <v>94.490700000000004</v>
      </c>
      <c r="AG279" s="14" t="s">
        <v>226</v>
      </c>
      <c r="AH279" s="14" t="s">
        <v>226</v>
      </c>
      <c r="AI279" s="14" t="s">
        <v>223</v>
      </c>
      <c r="AJ279" s="55">
        <v>5.2459826460151102E-5</v>
      </c>
      <c r="AK279" s="55">
        <v>6.5406297991663805E-5</v>
      </c>
      <c r="AL279" s="55">
        <v>4.6137748596591903E-5</v>
      </c>
      <c r="AM279" s="55">
        <v>5.2594012691808201E-5</v>
      </c>
      <c r="AN279" s="51">
        <v>0.83766019920984902</v>
      </c>
    </row>
    <row r="280" spans="1:40" x14ac:dyDescent="0.35">
      <c r="A280" s="51" t="s">
        <v>167</v>
      </c>
      <c r="B280" s="14">
        <v>1</v>
      </c>
      <c r="C280" s="51">
        <v>40</v>
      </c>
      <c r="D280" s="14">
        <v>1486</v>
      </c>
      <c r="E280" s="12">
        <f t="shared" si="438"/>
        <v>34.408223370147986</v>
      </c>
      <c r="F280" s="12">
        <f t="shared" si="439"/>
        <v>1.022019894425036</v>
      </c>
      <c r="G280" s="12">
        <f t="shared" si="440"/>
        <v>3.1459424660982065</v>
      </c>
      <c r="H280" s="12">
        <f t="shared" si="441"/>
        <v>18.445811016054584</v>
      </c>
      <c r="I280" s="12">
        <f t="shared" si="442"/>
        <v>1.1520598205012811</v>
      </c>
      <c r="J280" s="12">
        <f t="shared" si="443"/>
        <v>18.153573617610387</v>
      </c>
      <c r="K280" s="13">
        <f t="shared" si="444"/>
        <v>2.3154928243706584E-2</v>
      </c>
      <c r="L280" s="13">
        <f t="shared" si="445"/>
        <v>58.557426528960541</v>
      </c>
      <c r="M280" s="13">
        <f t="shared" si="446"/>
        <v>2.1170541494604351E-3</v>
      </c>
      <c r="N280" s="13">
        <f t="shared" si="447"/>
        <v>1.2413062594922331E-2</v>
      </c>
      <c r="O280" s="13">
        <f t="shared" si="448"/>
        <v>66.008165461322605</v>
      </c>
      <c r="P280" s="13">
        <f t="shared" si="449"/>
        <v>1.2216402165282898E-2</v>
      </c>
      <c r="Q280" s="51">
        <v>638.95299999999997</v>
      </c>
      <c r="R280" s="51">
        <v>107.27200000000001</v>
      </c>
      <c r="S280" s="51">
        <v>641.45600000000002</v>
      </c>
      <c r="T280" s="51">
        <v>88.996799999999993</v>
      </c>
      <c r="U280" s="51">
        <v>609.66300000000001</v>
      </c>
      <c r="V280" s="51">
        <v>106.771</v>
      </c>
      <c r="W280" s="51">
        <v>610.03800000000001</v>
      </c>
      <c r="X280" s="51">
        <v>88.621300000000005</v>
      </c>
      <c r="Y280" s="51">
        <v>623.82299999999998</v>
      </c>
      <c r="Z280" s="51">
        <v>97.951300000000003</v>
      </c>
      <c r="AA280" s="51">
        <v>623.875</v>
      </c>
      <c r="AB280" s="51">
        <v>96.713899999999995</v>
      </c>
      <c r="AC280" s="51">
        <v>623.798</v>
      </c>
      <c r="AD280" s="51">
        <v>99.858900000000006</v>
      </c>
      <c r="AG280" s="14" t="s">
        <v>226</v>
      </c>
      <c r="AH280" s="14" t="s">
        <v>226</v>
      </c>
      <c r="AI280" s="14" t="s">
        <v>223</v>
      </c>
      <c r="AJ280" s="55">
        <v>5.7443352967761802E-5</v>
      </c>
      <c r="AK280" s="55">
        <v>6.78910495490438E-5</v>
      </c>
      <c r="AL280" s="55">
        <v>4.7445300145457998E-5</v>
      </c>
      <c r="AM280" s="55">
        <v>5.63938874311882E-5</v>
      </c>
      <c r="AN280" s="51">
        <v>0.82849708852063098</v>
      </c>
    </row>
    <row r="281" spans="1:40" x14ac:dyDescent="0.35">
      <c r="A281" s="51" t="s">
        <v>167</v>
      </c>
      <c r="B281" s="14">
        <v>1</v>
      </c>
      <c r="C281" s="51">
        <v>50</v>
      </c>
      <c r="D281" s="14">
        <v>1486</v>
      </c>
      <c r="E281" s="12">
        <f t="shared" si="438"/>
        <v>38.143647427717205</v>
      </c>
      <c r="F281" s="12">
        <f t="shared" si="439"/>
        <v>1.0354998960296613</v>
      </c>
      <c r="G281" s="12">
        <f t="shared" si="440"/>
        <v>2.2563521445022796</v>
      </c>
      <c r="H281" s="12">
        <f t="shared" si="441"/>
        <v>19.318803793195887</v>
      </c>
      <c r="I281" s="12">
        <f t="shared" si="442"/>
        <v>1.144408846531541</v>
      </c>
      <c r="J281" s="12">
        <f t="shared" si="443"/>
        <v>19.354348991634936</v>
      </c>
      <c r="K281" s="13">
        <f t="shared" si="444"/>
        <v>2.5668672562393812E-2</v>
      </c>
      <c r="L281" s="13">
        <f t="shared" si="445"/>
        <v>59.329773728735148</v>
      </c>
      <c r="M281" s="13">
        <f t="shared" si="446"/>
        <v>1.5184065575385461E-3</v>
      </c>
      <c r="N281" s="13">
        <f t="shared" si="447"/>
        <v>1.3000540910629802E-2</v>
      </c>
      <c r="O281" s="13">
        <f t="shared" si="448"/>
        <v>65.56979694369204</v>
      </c>
      <c r="P281" s="13">
        <f t="shared" si="449"/>
        <v>1.3024460963415165E-2</v>
      </c>
      <c r="Q281" s="51">
        <v>801.32899999999995</v>
      </c>
      <c r="R281" s="51">
        <v>119.43899999999999</v>
      </c>
      <c r="S281" s="51">
        <v>801.97500000000002</v>
      </c>
      <c r="T281" s="51">
        <v>100.131</v>
      </c>
      <c r="U281" s="51">
        <v>769.10799999999995</v>
      </c>
      <c r="V281" s="51">
        <v>116.04600000000001</v>
      </c>
      <c r="W281" s="51">
        <v>770.66399999999999</v>
      </c>
      <c r="X281" s="51">
        <v>96.754300000000001</v>
      </c>
      <c r="Y281" s="51">
        <v>784.851</v>
      </c>
      <c r="Z281" s="51">
        <v>107.736</v>
      </c>
      <c r="AA281" s="51">
        <v>784.88499999999999</v>
      </c>
      <c r="AB281" s="51">
        <v>106.78</v>
      </c>
      <c r="AC281" s="51">
        <v>784.98800000000006</v>
      </c>
      <c r="AD281" s="51">
        <v>109.03400000000001</v>
      </c>
      <c r="AG281" s="14" t="s">
        <v>226</v>
      </c>
      <c r="AH281" s="14" t="s">
        <v>226</v>
      </c>
      <c r="AI281" s="14" t="s">
        <v>223</v>
      </c>
      <c r="AJ281" s="55">
        <v>6.5840820538575501E-5</v>
      </c>
      <c r="AK281" s="55">
        <v>7.3751913779392694E-5</v>
      </c>
      <c r="AL281" s="55">
        <v>6.3358164764359707E-5</v>
      </c>
      <c r="AM281" s="55">
        <v>6.0206304603395803E-5</v>
      </c>
      <c r="AN281" s="51">
        <v>0.88517837243804398</v>
      </c>
    </row>
    <row r="282" spans="1:40" x14ac:dyDescent="0.35">
      <c r="A282" s="51" t="s">
        <v>167</v>
      </c>
      <c r="B282" s="14">
        <v>1</v>
      </c>
      <c r="C282" s="51">
        <v>60</v>
      </c>
      <c r="D282" s="14">
        <v>1486</v>
      </c>
      <c r="E282" s="12">
        <f t="shared" si="438"/>
        <v>37.791233758637702</v>
      </c>
      <c r="F282" s="12">
        <f t="shared" si="439"/>
        <v>1.0177329193205953</v>
      </c>
      <c r="G282" s="12">
        <f t="shared" si="440"/>
        <v>2.8306790704705453</v>
      </c>
      <c r="H282" s="12">
        <f t="shared" si="441"/>
        <v>18.671814400320077</v>
      </c>
      <c r="I282" s="12">
        <f t="shared" si="442"/>
        <v>1.0522623927973196</v>
      </c>
      <c r="J282" s="12">
        <f t="shared" si="443"/>
        <v>18.676821410507735</v>
      </c>
      <c r="K282" s="13">
        <f t="shared" si="444"/>
        <v>2.5431516661263594E-2</v>
      </c>
      <c r="L282" s="13">
        <f t="shared" si="445"/>
        <v>58.311800948598425</v>
      </c>
      <c r="M282" s="13">
        <f t="shared" si="446"/>
        <v>1.9048984323489539E-3</v>
      </c>
      <c r="N282" s="13">
        <f t="shared" si="447"/>
        <v>1.256515100963666E-2</v>
      </c>
      <c r="O282" s="13">
        <f t="shared" si="448"/>
        <v>60.290194047623643</v>
      </c>
      <c r="P282" s="13">
        <f t="shared" si="449"/>
        <v>1.2568520464675461E-2</v>
      </c>
      <c r="Q282" s="51">
        <v>937.35599999999999</v>
      </c>
      <c r="R282" s="51">
        <v>126.97</v>
      </c>
      <c r="S282" s="51">
        <v>938.19399999999996</v>
      </c>
      <c r="T282" s="51">
        <v>108.31699999999999</v>
      </c>
      <c r="U282" s="51">
        <v>904.55600000000004</v>
      </c>
      <c r="V282" s="51">
        <v>125.29300000000001</v>
      </c>
      <c r="W282" s="51">
        <v>905.49900000000002</v>
      </c>
      <c r="X282" s="51">
        <v>106.64</v>
      </c>
      <c r="Y282" s="51">
        <v>921.101</v>
      </c>
      <c r="Z282" s="51">
        <v>116.28700000000001</v>
      </c>
      <c r="AA282" s="51">
        <v>921.12800000000004</v>
      </c>
      <c r="AB282" s="51">
        <v>114.962</v>
      </c>
      <c r="AC282" s="51">
        <v>921.06600000000003</v>
      </c>
      <c r="AD282" s="51">
        <v>117.792</v>
      </c>
      <c r="AG282" s="14" t="s">
        <v>226</v>
      </c>
      <c r="AH282" s="14" t="s">
        <v>226</v>
      </c>
      <c r="AI282" s="14" t="s">
        <v>223</v>
      </c>
      <c r="AJ282" s="55">
        <v>6.7956202030978994E-5</v>
      </c>
      <c r="AK282" s="55">
        <v>7.0681422527710299E-5</v>
      </c>
      <c r="AL282" s="55">
        <v>6.1978209814708395E-5</v>
      </c>
      <c r="AM282" s="55">
        <v>5.5673943119179602E-5</v>
      </c>
      <c r="AN282" s="51">
        <v>0.84863076173151197</v>
      </c>
    </row>
    <row r="283" spans="1:40" x14ac:dyDescent="0.35">
      <c r="A283" s="51" t="s">
        <v>167</v>
      </c>
      <c r="B283" s="14">
        <v>1</v>
      </c>
      <c r="C283" s="51">
        <v>70</v>
      </c>
      <c r="D283" s="14">
        <v>1486</v>
      </c>
      <c r="E283" s="12">
        <f t="shared" si="438"/>
        <v>37.431289798776746</v>
      </c>
      <c r="F283" s="12">
        <f t="shared" si="439"/>
        <v>0.95988212506568193</v>
      </c>
      <c r="G283" s="12">
        <f t="shared" si="440"/>
        <v>2.1096957126562161</v>
      </c>
      <c r="H283" s="12">
        <f t="shared" si="441"/>
        <v>17.981593477776087</v>
      </c>
      <c r="I283" s="12">
        <f t="shared" si="442"/>
        <v>1.0318444825433168</v>
      </c>
      <c r="J283" s="12">
        <f t="shared" si="443"/>
        <v>17.715126558960858</v>
      </c>
      <c r="K283" s="13">
        <f t="shared" si="444"/>
        <v>2.5189293269701714E-2</v>
      </c>
      <c r="L283" s="13">
        <f t="shared" si="445"/>
        <v>54.997194596312227</v>
      </c>
      <c r="M283" s="13">
        <f t="shared" si="446"/>
        <v>1.4197144768884362E-3</v>
      </c>
      <c r="N283" s="13">
        <f t="shared" si="447"/>
        <v>1.2100668558395752E-2</v>
      </c>
      <c r="O283" s="13">
        <f t="shared" si="448"/>
        <v>59.120333963592408</v>
      </c>
      <c r="P283" s="13">
        <f t="shared" si="449"/>
        <v>1.1921350308856566E-2</v>
      </c>
      <c r="Q283" s="51">
        <v>1111.42</v>
      </c>
      <c r="R283" s="51">
        <v>140.708</v>
      </c>
      <c r="S283" s="51">
        <v>1113.1099999999999</v>
      </c>
      <c r="T283" s="51">
        <v>122.806</v>
      </c>
      <c r="U283" s="51">
        <v>1078.57</v>
      </c>
      <c r="V283" s="51">
        <v>137.12700000000001</v>
      </c>
      <c r="W283" s="51">
        <v>1080.56</v>
      </c>
      <c r="X283" s="51">
        <v>119.524</v>
      </c>
      <c r="Y283" s="51">
        <v>1095.1199999999999</v>
      </c>
      <c r="Z283" s="51">
        <v>129.69200000000001</v>
      </c>
      <c r="AA283" s="51">
        <v>1095.25</v>
      </c>
      <c r="AB283" s="51">
        <v>128.739</v>
      </c>
      <c r="AC283" s="51">
        <v>1095.01</v>
      </c>
      <c r="AD283" s="51">
        <v>130.83500000000001</v>
      </c>
      <c r="AG283" s="14" t="s">
        <v>226</v>
      </c>
      <c r="AH283" s="14" t="s">
        <v>226</v>
      </c>
      <c r="AI283" s="14" t="s">
        <v>223</v>
      </c>
      <c r="AJ283" s="55">
        <v>6.2615365665004199E-5</v>
      </c>
      <c r="AK283" s="55">
        <v>7.0288063197288997E-5</v>
      </c>
      <c r="AL283" s="55">
        <v>6.0131401379225603E-5</v>
      </c>
      <c r="AM283" s="55">
        <v>5.7000300245086798E-5</v>
      </c>
      <c r="AN283" s="51">
        <v>0.88132941811213605</v>
      </c>
    </row>
    <row r="284" spans="1:40" x14ac:dyDescent="0.35">
      <c r="A284" s="51" t="s">
        <v>167</v>
      </c>
      <c r="B284" s="14">
        <v>1</v>
      </c>
      <c r="C284" s="51">
        <v>80</v>
      </c>
      <c r="D284" s="14">
        <v>1486</v>
      </c>
      <c r="E284" s="12">
        <f t="shared" si="438"/>
        <v>37.651369165011786</v>
      </c>
      <c r="F284" s="12">
        <f t="shared" si="439"/>
        <v>0.92036468758125323</v>
      </c>
      <c r="G284" s="12">
        <f t="shared" si="440"/>
        <v>1.3734121741123373</v>
      </c>
      <c r="H284" s="12">
        <f t="shared" si="441"/>
        <v>15.982725174387502</v>
      </c>
      <c r="I284" s="12">
        <f t="shared" si="442"/>
        <v>0.87282952186490892</v>
      </c>
      <c r="J284" s="12">
        <f t="shared" si="443"/>
        <v>16.712649730069746</v>
      </c>
      <c r="K284" s="13">
        <f t="shared" si="444"/>
        <v>2.5337395131232697E-2</v>
      </c>
      <c r="L284" s="13">
        <f t="shared" si="445"/>
        <v>52.733012211282379</v>
      </c>
      <c r="M284" s="13">
        <f t="shared" si="446"/>
        <v>9.2423430290197663E-4</v>
      </c>
      <c r="N284" s="13">
        <f t="shared" si="447"/>
        <v>1.0755535110624161E-2</v>
      </c>
      <c r="O284" s="13">
        <f t="shared" si="448"/>
        <v>50.009447837280888</v>
      </c>
      <c r="P284" s="13">
        <f t="shared" si="449"/>
        <v>1.124673602292715E-2</v>
      </c>
      <c r="Q284" s="51">
        <v>1252.46</v>
      </c>
      <c r="R284" s="51">
        <v>155.453</v>
      </c>
      <c r="S284" s="51">
        <v>1254.5</v>
      </c>
      <c r="T284" s="51">
        <v>139.601</v>
      </c>
      <c r="U284" s="51">
        <v>1218.81</v>
      </c>
      <c r="V284" s="51">
        <v>152.244</v>
      </c>
      <c r="W284" s="51">
        <v>1220.46</v>
      </c>
      <c r="X284" s="51">
        <v>135.613</v>
      </c>
      <c r="Y284" s="51">
        <v>1237.47</v>
      </c>
      <c r="Z284" s="51">
        <v>145.63300000000001</v>
      </c>
      <c r="AA284" s="51">
        <v>1237.49</v>
      </c>
      <c r="AB284" s="51">
        <v>144.92099999999999</v>
      </c>
      <c r="AC284" s="51">
        <v>1237.3800000000001</v>
      </c>
      <c r="AD284" s="51">
        <v>146.29</v>
      </c>
      <c r="AG284" s="14" t="s">
        <v>226</v>
      </c>
      <c r="AH284" s="14" t="s">
        <v>226</v>
      </c>
      <c r="AI284" s="14" t="s">
        <v>223</v>
      </c>
      <c r="AJ284" s="55">
        <v>6.7798852547509494E-5</v>
      </c>
      <c r="AK284" s="55">
        <v>5.8340446228505E-5</v>
      </c>
      <c r="AL284" s="55">
        <v>5.8858731290157503E-5</v>
      </c>
      <c r="AM284" s="55">
        <v>5.6364715813270099E-5</v>
      </c>
      <c r="AN284" s="51">
        <v>0.91346192837198004</v>
      </c>
    </row>
    <row r="285" spans="1:40" x14ac:dyDescent="0.35">
      <c r="A285" s="51" t="s">
        <v>167</v>
      </c>
      <c r="B285" s="14">
        <v>1</v>
      </c>
      <c r="C285" s="51">
        <v>90</v>
      </c>
      <c r="D285" s="14">
        <v>1486</v>
      </c>
      <c r="E285" s="12">
        <f t="shared" si="438"/>
        <v>36.363274055013179</v>
      </c>
      <c r="F285" s="12">
        <f t="shared" si="439"/>
        <v>0.74904439366730535</v>
      </c>
      <c r="G285" s="12">
        <f t="shared" si="440"/>
        <v>0.67000671638425857</v>
      </c>
      <c r="H285" s="12">
        <f t="shared" si="441"/>
        <v>13.236092663622449</v>
      </c>
      <c r="I285" s="12">
        <f t="shared" si="442"/>
        <v>0.85649260165376073</v>
      </c>
      <c r="J285" s="12">
        <f t="shared" si="443"/>
        <v>15.271314318027752</v>
      </c>
      <c r="K285" s="13">
        <f t="shared" si="444"/>
        <v>2.4470574734194603E-2</v>
      </c>
      <c r="L285" s="13">
        <f t="shared" si="445"/>
        <v>42.917082425072365</v>
      </c>
      <c r="M285" s="13">
        <f t="shared" si="446"/>
        <v>4.5087935153718614E-4</v>
      </c>
      <c r="N285" s="13">
        <f t="shared" si="447"/>
        <v>8.9071956013610024E-3</v>
      </c>
      <c r="O285" s="13">
        <f t="shared" si="448"/>
        <v>49.073411258940126</v>
      </c>
      <c r="P285" s="13">
        <f t="shared" si="449"/>
        <v>1.0276792946182875E-2</v>
      </c>
      <c r="Q285" s="51">
        <v>1392.59</v>
      </c>
      <c r="R285" s="51">
        <v>172.50899999999999</v>
      </c>
      <c r="S285" s="51">
        <v>1394.76</v>
      </c>
      <c r="T285" s="51">
        <v>159.452</v>
      </c>
      <c r="U285" s="51">
        <v>1359.42</v>
      </c>
      <c r="V285" s="51">
        <v>168.77799999999999</v>
      </c>
      <c r="W285" s="51">
        <v>1361.5</v>
      </c>
      <c r="X285" s="51">
        <v>153.649</v>
      </c>
      <c r="Y285" s="51">
        <v>1377.06</v>
      </c>
      <c r="Z285" s="51">
        <v>163.25800000000001</v>
      </c>
      <c r="AA285" s="51">
        <v>1377.17</v>
      </c>
      <c r="AB285" s="51">
        <v>162.93100000000001</v>
      </c>
      <c r="AC285" s="51">
        <v>1377.02</v>
      </c>
      <c r="AD285" s="51">
        <v>163.584</v>
      </c>
      <c r="AG285" s="14" t="s">
        <v>226</v>
      </c>
      <c r="AH285" s="14" t="s">
        <v>226</v>
      </c>
      <c r="AI285" s="14" t="s">
        <v>223</v>
      </c>
      <c r="AJ285" s="55">
        <v>5.7828643834151997E-5</v>
      </c>
      <c r="AK285" s="55">
        <v>5.04597146267813E-5</v>
      </c>
      <c r="AL285" s="55">
        <v>5.3878953679835997E-5</v>
      </c>
      <c r="AM285" s="55">
        <v>4.9313174645728903E-5</v>
      </c>
      <c r="AN285" s="51">
        <v>0.95293833789892601</v>
      </c>
    </row>
    <row r="286" spans="1:40" x14ac:dyDescent="0.35">
      <c r="A286" s="51" t="s">
        <v>169</v>
      </c>
      <c r="B286" s="14">
        <v>1</v>
      </c>
      <c r="C286" s="51">
        <v>20</v>
      </c>
      <c r="D286" s="14">
        <v>1637</v>
      </c>
      <c r="E286" s="12">
        <f t="shared" ref="E286:E293" si="450">DIST2(Q286,R286,W286,X286)</f>
        <v>23.951181433073398</v>
      </c>
      <c r="F286" s="12">
        <f t="shared" ref="F286:F293" si="451">ACOS((DIST2(Y286,Z286,S286,T286)^2 + DIST2(Y286,Z286,Q286,R286)^2 - DIST2(Q286,R286,S286,T286)^2)/(2*DIST2(Y286,Z286,S286,T286) * DIST2(Y286,Z286,Q286,R286)))</f>
        <v>1.5396666753391852</v>
      </c>
      <c r="G286" s="12">
        <f t="shared" ref="G286:G293" si="452">DIST2(AA286,AB286,AC286,AD286)</f>
        <v>5.8252999999999986</v>
      </c>
      <c r="H286" s="12">
        <f t="shared" ref="H286:H293" si="453">DIST2(Q286,R286,S286,T286)</f>
        <v>17.4809904207399</v>
      </c>
      <c r="I286" s="12">
        <f t="shared" ref="I286:I293" si="454">ACOS((DIST2(Y286,Z286,W286,X286)^2 + DIST2(Y286,Z286,U286,V286)^2 - DIST2(U286,V286,W286,X286)^2)/(2*DIST2(Y286,Z286,W286,X286) * DIST2(Y286,Z286,U286,V286)))</f>
        <v>1.8779494245951536</v>
      </c>
      <c r="J286" s="12">
        <f t="shared" ref="J286:J293" si="455">DIST2(U286,V286,W286,X286)</f>
        <v>18.189120697823746</v>
      </c>
      <c r="K286" s="13">
        <f t="shared" ref="K286:K293" si="456">E286/D286</f>
        <v>1.463114320896359E-2</v>
      </c>
      <c r="L286" s="13">
        <f t="shared" ref="L286:L293" si="457">F286*180/PI()</f>
        <v>88.216402353874457</v>
      </c>
      <c r="M286" s="13">
        <f t="shared" ref="M286:M293" si="458">G286/D286</f>
        <v>3.5585216860109948E-3</v>
      </c>
      <c r="N286" s="13">
        <f t="shared" ref="N286:N293" si="459">H286/D286</f>
        <v>1.0678674661417165E-2</v>
      </c>
      <c r="O286" s="13">
        <f t="shared" ref="O286:O293" si="460">I286*180/PI()</f>
        <v>107.59857616832373</v>
      </c>
      <c r="P286" s="13">
        <f t="shared" ref="P286:P293" si="461">J286/D286</f>
        <v>1.1111252717057879E-2</v>
      </c>
      <c r="Q286" s="51">
        <v>379.952</v>
      </c>
      <c r="R286" s="51">
        <v>-76.320899999999995</v>
      </c>
      <c r="S286" s="51">
        <v>380.39800000000002</v>
      </c>
      <c r="T286" s="51">
        <v>-93.796199999999999</v>
      </c>
      <c r="U286" s="51">
        <v>364.30799999999999</v>
      </c>
      <c r="V286" s="51">
        <v>-76.683499999999995</v>
      </c>
      <c r="W286" s="51">
        <v>364.79500000000002</v>
      </c>
      <c r="X286" s="51">
        <v>-94.866100000000003</v>
      </c>
      <c r="Y286" s="51">
        <v>371.16</v>
      </c>
      <c r="Z286" s="51">
        <v>-84.887100000000004</v>
      </c>
      <c r="AA286" s="51">
        <v>371.16</v>
      </c>
      <c r="AB286" s="51">
        <v>-87.570700000000002</v>
      </c>
      <c r="AC286" s="51">
        <v>371.16</v>
      </c>
      <c r="AD286" s="51">
        <v>-81.745400000000004</v>
      </c>
      <c r="AG286" s="14" t="s">
        <v>223</v>
      </c>
      <c r="AH286" s="14" t="s">
        <v>226</v>
      </c>
      <c r="AI286" s="14" t="s">
        <v>223</v>
      </c>
      <c r="AJ286" s="55">
        <v>2.2500450971707001E-5</v>
      </c>
      <c r="AK286" s="55">
        <v>2.9380025442491501E-5</v>
      </c>
      <c r="AL286" s="55">
        <v>1.5238794612520699E-5</v>
      </c>
      <c r="AM286" s="55">
        <v>1.9968178731077199E-5</v>
      </c>
      <c r="AN286" s="51">
        <v>0.67861700155788596</v>
      </c>
    </row>
    <row r="287" spans="1:40" x14ac:dyDescent="0.35">
      <c r="A287" s="51" t="s">
        <v>169</v>
      </c>
      <c r="B287" s="14">
        <v>1</v>
      </c>
      <c r="C287" s="51">
        <v>30</v>
      </c>
      <c r="D287" s="14">
        <v>1637</v>
      </c>
      <c r="E287" s="12">
        <f t="shared" si="450"/>
        <v>24.442908661000203</v>
      </c>
      <c r="F287" s="12">
        <f t="shared" si="451"/>
        <v>1.4794630038536967</v>
      </c>
      <c r="G287" s="12">
        <f t="shared" si="452"/>
        <v>3.5756642403894645</v>
      </c>
      <c r="H287" s="12">
        <f t="shared" si="453"/>
        <v>18.597686674422711</v>
      </c>
      <c r="I287" s="12">
        <f t="shared" si="454"/>
        <v>1.780497436426236</v>
      </c>
      <c r="J287" s="12">
        <f t="shared" si="455"/>
        <v>16.071375541937922</v>
      </c>
      <c r="K287" s="13">
        <f t="shared" si="456"/>
        <v>1.493152636591338E-2</v>
      </c>
      <c r="L287" s="13">
        <f t="shared" si="457"/>
        <v>84.766986066563874</v>
      </c>
      <c r="M287" s="13">
        <f t="shared" si="458"/>
        <v>2.1842787051859895E-3</v>
      </c>
      <c r="N287" s="13">
        <f t="shared" si="459"/>
        <v>1.1360834865255168E-2</v>
      </c>
      <c r="O287" s="13">
        <f t="shared" si="460"/>
        <v>102.01498854108593</v>
      </c>
      <c r="P287" s="13">
        <f t="shared" si="461"/>
        <v>9.8175782174330616E-3</v>
      </c>
      <c r="Q287" s="51">
        <v>542.577</v>
      </c>
      <c r="R287" s="51">
        <v>-79.136499999999998</v>
      </c>
      <c r="S287" s="51">
        <v>543.47900000000004</v>
      </c>
      <c r="T287" s="51">
        <v>-97.712299999999999</v>
      </c>
      <c r="U287" s="51">
        <v>525.98500000000001</v>
      </c>
      <c r="V287" s="51">
        <v>-81.751499999999993</v>
      </c>
      <c r="W287" s="51">
        <v>526.79600000000005</v>
      </c>
      <c r="X287" s="51">
        <v>-97.802400000000006</v>
      </c>
      <c r="Y287" s="51">
        <v>532.88300000000004</v>
      </c>
      <c r="Z287" s="51">
        <v>-89.365200000000002</v>
      </c>
      <c r="AA287" s="51">
        <v>532.95100000000002</v>
      </c>
      <c r="AB287" s="51">
        <v>-91.033199999999994</v>
      </c>
      <c r="AC287" s="51">
        <v>532.803</v>
      </c>
      <c r="AD287" s="51">
        <v>-87.460599999999999</v>
      </c>
      <c r="AG287" s="14" t="s">
        <v>223</v>
      </c>
      <c r="AH287" s="14" t="s">
        <v>226</v>
      </c>
      <c r="AI287" s="14" t="s">
        <v>223</v>
      </c>
      <c r="AJ287" s="55">
        <v>1.9506233093225601E-5</v>
      </c>
      <c r="AK287" s="55">
        <v>3.5320225847824899E-5</v>
      </c>
      <c r="AL287" s="55">
        <v>2.1000776037039001E-5</v>
      </c>
      <c r="AM287" s="55">
        <v>2.0967478558786201E-5</v>
      </c>
      <c r="AN287" s="51">
        <v>0.76547446992609103</v>
      </c>
    </row>
    <row r="288" spans="1:40" x14ac:dyDescent="0.35">
      <c r="A288" s="51" t="s">
        <v>169</v>
      </c>
      <c r="B288" s="14">
        <v>1</v>
      </c>
      <c r="C288" s="51">
        <v>40</v>
      </c>
      <c r="D288" s="14">
        <v>1637</v>
      </c>
      <c r="E288" s="12">
        <f t="shared" si="450"/>
        <v>27.150280103343349</v>
      </c>
      <c r="F288" s="12">
        <f t="shared" si="451"/>
        <v>1.5587650102722193</v>
      </c>
      <c r="G288" s="12">
        <f t="shared" si="452"/>
        <v>7.9523742995409883</v>
      </c>
      <c r="H288" s="12">
        <f t="shared" si="453"/>
        <v>18.444480211976703</v>
      </c>
      <c r="I288" s="12">
        <f t="shared" si="454"/>
        <v>1.690083153320918</v>
      </c>
      <c r="J288" s="12">
        <f t="shared" si="455"/>
        <v>21.038170753180996</v>
      </c>
      <c r="K288" s="13">
        <f t="shared" si="456"/>
        <v>1.6585387967833445E-2</v>
      </c>
      <c r="L288" s="13">
        <f t="shared" si="457"/>
        <v>89.310656341264576</v>
      </c>
      <c r="M288" s="13">
        <f t="shared" si="458"/>
        <v>4.8578951127312081E-3</v>
      </c>
      <c r="N288" s="13">
        <f t="shared" si="459"/>
        <v>1.126724508978418E-2</v>
      </c>
      <c r="O288" s="13">
        <f t="shared" si="460"/>
        <v>96.834631711450214</v>
      </c>
      <c r="P288" s="13">
        <f t="shared" si="461"/>
        <v>1.2851662036152105E-2</v>
      </c>
      <c r="Q288" s="51">
        <v>717.82100000000003</v>
      </c>
      <c r="R288" s="51">
        <v>-97.076700000000002</v>
      </c>
      <c r="S288" s="51">
        <v>721.53200000000004</v>
      </c>
      <c r="T288" s="51">
        <v>-115.14400000000001</v>
      </c>
      <c r="U288" s="51">
        <v>699.26499999999999</v>
      </c>
      <c r="V288" s="51">
        <v>-99.908799999999999</v>
      </c>
      <c r="W288" s="51">
        <v>703.95299999999997</v>
      </c>
      <c r="X288" s="51">
        <v>-120.41800000000001</v>
      </c>
      <c r="Y288" s="51">
        <v>710.91499999999996</v>
      </c>
      <c r="Z288" s="51">
        <v>-109.325</v>
      </c>
      <c r="AA288" s="51">
        <v>711.76</v>
      </c>
      <c r="AB288" s="51">
        <v>-112.583</v>
      </c>
      <c r="AC288" s="51">
        <v>710.23099999999999</v>
      </c>
      <c r="AD288" s="51">
        <v>-104.779</v>
      </c>
      <c r="AG288" s="14" t="s">
        <v>223</v>
      </c>
      <c r="AH288" s="14" t="s">
        <v>226</v>
      </c>
      <c r="AI288" s="14" t="s">
        <v>223</v>
      </c>
      <c r="AJ288" s="55">
        <v>3.6344370428943598E-5</v>
      </c>
      <c r="AK288" s="55">
        <v>3.1761359859749302E-5</v>
      </c>
      <c r="AL288" s="55">
        <v>2.2656475203646301E-5</v>
      </c>
      <c r="AM288" s="55">
        <v>1.8015983280648499E-5</v>
      </c>
      <c r="AN288" s="51">
        <v>0.59719583523865905</v>
      </c>
    </row>
    <row r="289" spans="1:40" x14ac:dyDescent="0.35">
      <c r="A289" s="51" t="s">
        <v>169</v>
      </c>
      <c r="B289" s="14">
        <v>1</v>
      </c>
      <c r="C289" s="51">
        <v>50</v>
      </c>
      <c r="D289" s="14">
        <v>1637</v>
      </c>
      <c r="E289" s="12">
        <f t="shared" si="450"/>
        <v>27.388135400023142</v>
      </c>
      <c r="F289" s="12">
        <f t="shared" si="451"/>
        <v>1.4656673201018535</v>
      </c>
      <c r="G289" s="12">
        <f t="shared" si="452"/>
        <v>5.1493312342477955</v>
      </c>
      <c r="H289" s="12">
        <f t="shared" si="453"/>
        <v>20.968507954549391</v>
      </c>
      <c r="I289" s="12">
        <f t="shared" si="454"/>
        <v>1.8733010532915138</v>
      </c>
      <c r="J289" s="12">
        <f t="shared" si="455"/>
        <v>18.848311177397303</v>
      </c>
      <c r="K289" s="13">
        <f t="shared" si="456"/>
        <v>1.673068747710638E-2</v>
      </c>
      <c r="L289" s="13">
        <f t="shared" si="457"/>
        <v>83.976551612086055</v>
      </c>
      <c r="M289" s="13">
        <f t="shared" si="458"/>
        <v>3.1455902469442855E-3</v>
      </c>
      <c r="N289" s="13">
        <f t="shared" si="459"/>
        <v>1.2809106875106531E-2</v>
      </c>
      <c r="O289" s="13">
        <f t="shared" si="460"/>
        <v>107.33224411101546</v>
      </c>
      <c r="P289" s="13">
        <f t="shared" si="461"/>
        <v>1.1513934744897559E-2</v>
      </c>
      <c r="Q289" s="51">
        <v>879.09400000000005</v>
      </c>
      <c r="R289" s="51">
        <v>-83.630200000000002</v>
      </c>
      <c r="S289" s="51">
        <v>873.28499999999997</v>
      </c>
      <c r="T289" s="51">
        <v>-103.77800000000001</v>
      </c>
      <c r="U289" s="51">
        <v>861.04700000000003</v>
      </c>
      <c r="V289" s="51">
        <v>-79.674700000000001</v>
      </c>
      <c r="W289" s="51">
        <v>855.60900000000004</v>
      </c>
      <c r="X289" s="51">
        <v>-97.721500000000006</v>
      </c>
      <c r="Y289" s="51">
        <v>864.84400000000005</v>
      </c>
      <c r="Z289" s="51">
        <v>-91.070999999999998</v>
      </c>
      <c r="AA289" s="51">
        <v>864.55700000000002</v>
      </c>
      <c r="AB289" s="51">
        <v>-93.597499999999997</v>
      </c>
      <c r="AC289" s="51">
        <v>865.18899999999996</v>
      </c>
      <c r="AD289" s="51">
        <v>-88.487099999999998</v>
      </c>
      <c r="AG289" s="14" t="s">
        <v>223</v>
      </c>
      <c r="AH289" s="14" t="s">
        <v>226</v>
      </c>
      <c r="AI289" s="14" t="s">
        <v>223</v>
      </c>
      <c r="AJ289" s="55">
        <v>2.4348512688966901E-5</v>
      </c>
      <c r="AK289" s="55">
        <v>4.5504396610304701E-5</v>
      </c>
      <c r="AL289" s="55">
        <v>2.66167908129395E-5</v>
      </c>
      <c r="AM289" s="55">
        <v>2.3712750240785599E-5</v>
      </c>
      <c r="AN289" s="51">
        <v>0.72050744283388002</v>
      </c>
    </row>
    <row r="290" spans="1:40" x14ac:dyDescent="0.35">
      <c r="A290" s="51" t="s">
        <v>169</v>
      </c>
      <c r="B290" s="14">
        <v>1</v>
      </c>
      <c r="C290" s="51">
        <v>60</v>
      </c>
      <c r="D290" s="14">
        <v>1637</v>
      </c>
      <c r="E290" s="12">
        <f t="shared" si="450"/>
        <v>30.68188737414966</v>
      </c>
      <c r="F290" s="12">
        <f t="shared" si="451"/>
        <v>1.5303984568959181</v>
      </c>
      <c r="G290" s="12">
        <f t="shared" si="452"/>
        <v>9.1569197026074214</v>
      </c>
      <c r="H290" s="12">
        <f t="shared" si="453"/>
        <v>20.477011848411863</v>
      </c>
      <c r="I290" s="12">
        <f t="shared" si="454"/>
        <v>1.5957625993796978</v>
      </c>
      <c r="J290" s="12">
        <f t="shared" si="455"/>
        <v>22.241764481263623</v>
      </c>
      <c r="K290" s="13">
        <f t="shared" si="456"/>
        <v>1.8742753435644265E-2</v>
      </c>
      <c r="L290" s="13">
        <f t="shared" si="457"/>
        <v>87.685372553469946</v>
      </c>
      <c r="M290" s="13">
        <f t="shared" si="458"/>
        <v>5.5937200382452177E-3</v>
      </c>
      <c r="N290" s="13">
        <f t="shared" si="459"/>
        <v>1.2508864904344448E-2</v>
      </c>
      <c r="O290" s="13">
        <f t="shared" si="460"/>
        <v>91.430462049282298</v>
      </c>
      <c r="P290" s="13">
        <f t="shared" si="461"/>
        <v>1.3586905608591096E-2</v>
      </c>
      <c r="Q290" s="51">
        <v>1054.1600000000001</v>
      </c>
      <c r="R290" s="51">
        <v>-76.987799999999993</v>
      </c>
      <c r="S290" s="51">
        <v>1056.08</v>
      </c>
      <c r="T290" s="51">
        <v>-97.374600000000001</v>
      </c>
      <c r="U290" s="51">
        <v>1033.03</v>
      </c>
      <c r="V290" s="51">
        <v>-78.368200000000002</v>
      </c>
      <c r="W290" s="51">
        <v>1034.52</v>
      </c>
      <c r="X290" s="51">
        <v>-100.56</v>
      </c>
      <c r="Y290" s="51">
        <v>1044.6099999999999</v>
      </c>
      <c r="Z290" s="51">
        <v>-88.960400000000007</v>
      </c>
      <c r="AA290" s="51">
        <v>1044.72</v>
      </c>
      <c r="AB290" s="51">
        <v>-93.096900000000005</v>
      </c>
      <c r="AC290" s="51">
        <v>1044.23</v>
      </c>
      <c r="AD290" s="51">
        <v>-83.953100000000006</v>
      </c>
      <c r="AG290" s="14" t="s">
        <v>223</v>
      </c>
      <c r="AH290" s="14" t="s">
        <v>226</v>
      </c>
      <c r="AI290" s="14" t="s">
        <v>223</v>
      </c>
      <c r="AJ290" s="55">
        <v>4.50036301636444E-5</v>
      </c>
      <c r="AK290" s="55">
        <v>4.0615689635935398E-5</v>
      </c>
      <c r="AL290" s="55">
        <v>2.4903157137798201E-5</v>
      </c>
      <c r="AM290" s="55">
        <v>2.39597808617085E-5</v>
      </c>
      <c r="AN290" s="51">
        <v>0.57069990878094501</v>
      </c>
    </row>
    <row r="291" spans="1:40" x14ac:dyDescent="0.35">
      <c r="A291" s="51" t="s">
        <v>169</v>
      </c>
      <c r="B291" s="14">
        <v>1</v>
      </c>
      <c r="C291" s="51">
        <v>70</v>
      </c>
      <c r="D291" s="14">
        <v>1637</v>
      </c>
      <c r="E291" s="12">
        <f t="shared" si="450"/>
        <v>31.230166943037577</v>
      </c>
      <c r="F291" s="12">
        <f t="shared" si="451"/>
        <v>1.4808910460955438</v>
      </c>
      <c r="G291" s="12">
        <f t="shared" si="452"/>
        <v>8.9563942571773776</v>
      </c>
      <c r="H291" s="12">
        <f t="shared" si="453"/>
        <v>21.236798847519363</v>
      </c>
      <c r="I291" s="12">
        <f t="shared" si="454"/>
        <v>1.5878803928615659</v>
      </c>
      <c r="J291" s="12">
        <f t="shared" si="455"/>
        <v>21.972142140674411</v>
      </c>
      <c r="K291" s="13">
        <f t="shared" si="456"/>
        <v>1.9077682921831141E-2</v>
      </c>
      <c r="L291" s="13">
        <f t="shared" si="457"/>
        <v>84.848806859988116</v>
      </c>
      <c r="M291" s="13">
        <f t="shared" si="458"/>
        <v>5.4712243476954048E-3</v>
      </c>
      <c r="N291" s="13">
        <f t="shared" si="459"/>
        <v>1.2972998685106514E-2</v>
      </c>
      <c r="O291" s="13">
        <f t="shared" si="460"/>
        <v>90.978844882542816</v>
      </c>
      <c r="P291" s="13">
        <f t="shared" si="461"/>
        <v>1.3422200452458406E-2</v>
      </c>
      <c r="Q291" s="51">
        <v>1201.58</v>
      </c>
      <c r="R291" s="51">
        <v>-93.133700000000005</v>
      </c>
      <c r="S291" s="51">
        <v>1200.3699999999999</v>
      </c>
      <c r="T291" s="51">
        <v>-114.336</v>
      </c>
      <c r="U291" s="51">
        <v>1179.47</v>
      </c>
      <c r="V291" s="51">
        <v>-91.4255</v>
      </c>
      <c r="W291" s="51">
        <v>1177.76</v>
      </c>
      <c r="X291" s="51">
        <v>-113.331</v>
      </c>
      <c r="Y291" s="51">
        <v>1189.3599999999999</v>
      </c>
      <c r="Z291" s="51">
        <v>-103.467</v>
      </c>
      <c r="AA291" s="51">
        <v>1189.32</v>
      </c>
      <c r="AB291" s="51">
        <v>-107.726</v>
      </c>
      <c r="AC291" s="51">
        <v>1189.46</v>
      </c>
      <c r="AD291" s="51">
        <v>-98.770700000000005</v>
      </c>
      <c r="AG291" s="14" t="s">
        <v>223</v>
      </c>
      <c r="AH291" s="14" t="s">
        <v>226</v>
      </c>
      <c r="AI291" s="14" t="s">
        <v>223</v>
      </c>
      <c r="AJ291" s="55">
        <v>4.4264330246375299E-5</v>
      </c>
      <c r="AK291" s="55">
        <v>4.6009341290238102E-5</v>
      </c>
      <c r="AL291" s="55">
        <v>2.7117534011327001E-5</v>
      </c>
      <c r="AM291" s="55">
        <v>2.5813204421724301E-5</v>
      </c>
      <c r="AN291" s="51">
        <v>0.58633638725532</v>
      </c>
    </row>
    <row r="292" spans="1:40" x14ac:dyDescent="0.35">
      <c r="A292" s="51" t="s">
        <v>169</v>
      </c>
      <c r="B292" s="14">
        <v>1</v>
      </c>
      <c r="C292" s="51">
        <v>80</v>
      </c>
      <c r="D292" s="14">
        <v>1637</v>
      </c>
      <c r="E292" s="12">
        <f t="shared" si="450"/>
        <v>30.539692185907768</v>
      </c>
      <c r="F292" s="12">
        <f t="shared" si="451"/>
        <v>1.3948847238782747</v>
      </c>
      <c r="G292" s="12">
        <f t="shared" si="452"/>
        <v>8.4761426374265163</v>
      </c>
      <c r="H292" s="12">
        <f t="shared" si="453"/>
        <v>18.532967889952214</v>
      </c>
      <c r="I292" s="12">
        <f t="shared" si="454"/>
        <v>1.4764342453526185</v>
      </c>
      <c r="J292" s="12">
        <f t="shared" si="455"/>
        <v>21.513084483867022</v>
      </c>
      <c r="K292" s="13">
        <f t="shared" si="456"/>
        <v>1.8655890156327286E-2</v>
      </c>
      <c r="L292" s="13">
        <f t="shared" si="457"/>
        <v>79.921007585496341</v>
      </c>
      <c r="M292" s="13">
        <f t="shared" si="458"/>
        <v>5.1778513362409993E-3</v>
      </c>
      <c r="N292" s="13">
        <f t="shared" si="459"/>
        <v>1.1321299871687363E-2</v>
      </c>
      <c r="O292" s="13">
        <f t="shared" si="460"/>
        <v>84.593450987287724</v>
      </c>
      <c r="P292" s="13">
        <f t="shared" si="461"/>
        <v>1.3141774272368371E-2</v>
      </c>
      <c r="Q292" s="51">
        <v>1373.24</v>
      </c>
      <c r="R292" s="51">
        <v>-92.354100000000003</v>
      </c>
      <c r="S292" s="51">
        <v>1371.92</v>
      </c>
      <c r="T292" s="51">
        <v>-110.84</v>
      </c>
      <c r="U292" s="51">
        <v>1350.9</v>
      </c>
      <c r="V292" s="51">
        <v>-89.069900000000004</v>
      </c>
      <c r="W292" s="51">
        <v>1348.65</v>
      </c>
      <c r="X292" s="51">
        <v>-110.465</v>
      </c>
      <c r="Y292" s="51">
        <v>1361.57</v>
      </c>
      <c r="Z292" s="51">
        <v>-100.56399999999999</v>
      </c>
      <c r="AA292" s="51">
        <v>1361.67</v>
      </c>
      <c r="AB292" s="51">
        <v>-104.82</v>
      </c>
      <c r="AC292" s="51">
        <v>1361.99</v>
      </c>
      <c r="AD292" s="51">
        <v>-96.349900000000005</v>
      </c>
      <c r="AG292" s="14" t="s">
        <v>223</v>
      </c>
      <c r="AH292" s="14" t="s">
        <v>226</v>
      </c>
      <c r="AI292" s="14" t="s">
        <v>223</v>
      </c>
      <c r="AJ292" s="55">
        <v>4.7419654828456597E-5</v>
      </c>
      <c r="AK292" s="55">
        <v>3.82296729680808E-5</v>
      </c>
      <c r="AL292" s="55">
        <v>2.3549310033812599E-5</v>
      </c>
      <c r="AM292" s="55">
        <v>2.5420409371106299E-5</v>
      </c>
      <c r="AN292" s="51">
        <v>0.57174668692377695</v>
      </c>
    </row>
    <row r="293" spans="1:40" x14ac:dyDescent="0.35">
      <c r="A293" s="51" t="s">
        <v>169</v>
      </c>
      <c r="B293" s="14">
        <v>1</v>
      </c>
      <c r="C293" s="51">
        <v>90</v>
      </c>
      <c r="D293" s="14">
        <v>1637</v>
      </c>
      <c r="E293" s="12">
        <f t="shared" si="450"/>
        <v>28.257223021556772</v>
      </c>
      <c r="F293" s="12">
        <f t="shared" si="451"/>
        <v>1.590599227490175</v>
      </c>
      <c r="G293" s="12">
        <f t="shared" si="452"/>
        <v>6.7200837048358277</v>
      </c>
      <c r="H293" s="12">
        <f t="shared" si="453"/>
        <v>19.824711379740179</v>
      </c>
      <c r="I293" s="12">
        <f t="shared" si="454"/>
        <v>1.5914394679831398</v>
      </c>
      <c r="J293" s="12">
        <f t="shared" si="455"/>
        <v>20.364310292519118</v>
      </c>
      <c r="K293" s="13">
        <f t="shared" si="456"/>
        <v>1.7261590117016966E-2</v>
      </c>
      <c r="L293" s="13">
        <f t="shared" si="457"/>
        <v>91.134622631956134</v>
      </c>
      <c r="M293" s="13">
        <f t="shared" si="458"/>
        <v>4.1051213835283E-3</v>
      </c>
      <c r="N293" s="13">
        <f t="shared" si="459"/>
        <v>1.2110391801918252E-2</v>
      </c>
      <c r="O293" s="13">
        <f t="shared" si="460"/>
        <v>91.18276486597901</v>
      </c>
      <c r="P293" s="13">
        <f t="shared" si="461"/>
        <v>1.2440018504898667E-2</v>
      </c>
      <c r="Q293" s="51">
        <v>1537.81</v>
      </c>
      <c r="R293" s="51">
        <v>-96.903300000000002</v>
      </c>
      <c r="S293" s="51">
        <v>1537.12</v>
      </c>
      <c r="T293" s="51">
        <v>-116.71599999999999</v>
      </c>
      <c r="U293" s="51">
        <v>1518.58</v>
      </c>
      <c r="V293" s="51">
        <v>-95.726299999999995</v>
      </c>
      <c r="W293" s="51">
        <v>1517.01</v>
      </c>
      <c r="X293" s="51">
        <v>-116.03</v>
      </c>
      <c r="Y293" s="51">
        <v>1527.76</v>
      </c>
      <c r="Z293" s="51">
        <v>-106.307</v>
      </c>
      <c r="AA293" s="51">
        <v>1528.23</v>
      </c>
      <c r="AB293" s="51">
        <v>-109.496</v>
      </c>
      <c r="AC293" s="51">
        <v>1527.78</v>
      </c>
      <c r="AD293" s="51">
        <v>-102.791</v>
      </c>
      <c r="AG293" s="14" t="s">
        <v>223</v>
      </c>
      <c r="AH293" s="14" t="s">
        <v>226</v>
      </c>
      <c r="AI293" s="14" t="s">
        <v>223</v>
      </c>
      <c r="AJ293" s="55">
        <v>3.7876336542440903E-5</v>
      </c>
      <c r="AK293" s="55">
        <v>3.5941359497777298E-5</v>
      </c>
      <c r="AL293" s="55">
        <v>2.33277161203074E-5</v>
      </c>
      <c r="AM293" s="55">
        <v>2.5952919822566701E-5</v>
      </c>
      <c r="AN293" s="51">
        <v>0.66759921518038701</v>
      </c>
    </row>
    <row r="294" spans="1:40" x14ac:dyDescent="0.35">
      <c r="A294" s="51" t="s">
        <v>171</v>
      </c>
      <c r="B294" s="14">
        <v>1</v>
      </c>
      <c r="C294" s="51">
        <v>30</v>
      </c>
      <c r="D294" s="14">
        <v>1144</v>
      </c>
      <c r="E294" s="12">
        <f t="shared" ref="E294:E300" si="462">DIST2(Q294,R294,W294,X294)</f>
        <v>34.737409589662789</v>
      </c>
      <c r="F294" s="12">
        <f t="shared" ref="F294:F300" si="463">ACOS((DIST2(Y294,Z294,S294,T294)^2 + DIST2(Y294,Z294,Q294,R294)^2 - DIST2(Q294,R294,S294,T294)^2)/(2*DIST2(Y294,Z294,S294,T294) * DIST2(Y294,Z294,Q294,R294)))</f>
        <v>1.4014825562558324</v>
      </c>
      <c r="G294" s="12">
        <f t="shared" ref="G294:G300" si="464">DIST2(AA294,AB294,AC294,AD294)</f>
        <v>0</v>
      </c>
      <c r="H294" s="12">
        <f t="shared" ref="H294:H300" si="465">DIST2(Q294,R294,S294,T294)</f>
        <v>20.855894154890585</v>
      </c>
      <c r="I294" s="12">
        <f t="shared" ref="I294:I300" si="466">ACOS((DIST2(Y294,Z294,W294,X294)^2 + DIST2(Y294,Z294,U294,V294)^2 - DIST2(U294,V294,W294,X294)^2)/(2*DIST2(Y294,Z294,W294,X294) * DIST2(Y294,Z294,U294,V294)))</f>
        <v>1.271419387511515</v>
      </c>
      <c r="J294" s="12">
        <f t="shared" ref="J294:J300" si="467">DIST2(U294,V294,W294,X294)</f>
        <v>22.993135519106577</v>
      </c>
      <c r="K294" s="13">
        <f t="shared" ref="K294:K300" si="468">E294/D294</f>
        <v>3.0364868522432507E-2</v>
      </c>
      <c r="L294" s="13">
        <f t="shared" ref="L294:L300" si="469">F294*180/PI()</f>
        <v>80.299035534665165</v>
      </c>
      <c r="M294" s="13">
        <f t="shared" ref="M294:M300" si="470">G294/D294</f>
        <v>0</v>
      </c>
      <c r="N294" s="13">
        <f t="shared" ref="N294:N300" si="471">H294/D294</f>
        <v>1.8230676708820441E-2</v>
      </c>
      <c r="O294" s="13">
        <f t="shared" ref="O294:O300" si="472">I294*180/PI()</f>
        <v>72.846964895517928</v>
      </c>
      <c r="P294" s="13">
        <f t="shared" ref="P294:P300" si="473">J294/D294</f>
        <v>2.009889468453372E-2</v>
      </c>
      <c r="Q294" s="51">
        <v>1510.44</v>
      </c>
      <c r="R294" s="51">
        <v>158.69399999999999</v>
      </c>
      <c r="S294" s="51">
        <v>1507.44</v>
      </c>
      <c r="T294" s="51">
        <v>138.05500000000001</v>
      </c>
      <c r="U294" s="51">
        <v>1538</v>
      </c>
      <c r="V294" s="51">
        <v>157.518</v>
      </c>
      <c r="W294" s="51">
        <v>1535.52</v>
      </c>
      <c r="X294" s="51">
        <v>134.65899999999999</v>
      </c>
      <c r="Y294" s="51">
        <v>1521.28</v>
      </c>
      <c r="Z294" s="51">
        <v>147.852</v>
      </c>
      <c r="AA294" s="51">
        <v>1521.28</v>
      </c>
      <c r="AB294" s="51">
        <v>147.852</v>
      </c>
      <c r="AC294" s="51">
        <v>1521.28</v>
      </c>
      <c r="AD294" s="51">
        <v>147.852</v>
      </c>
      <c r="AG294" s="14" t="s">
        <v>222</v>
      </c>
      <c r="AH294" s="14" t="s">
        <v>222</v>
      </c>
      <c r="AI294" s="14" t="s">
        <v>223</v>
      </c>
      <c r="AJ294" s="51">
        <v>1.3686136852657899E-4</v>
      </c>
      <c r="AK294" s="55">
        <v>9.7900860066506195E-5</v>
      </c>
      <c r="AL294" s="51">
        <v>1.09287770795638E-4</v>
      </c>
      <c r="AM294" s="51">
        <v>1.23057820675827E-4</v>
      </c>
      <c r="AN294" s="51">
        <v>0.98970602240359296</v>
      </c>
    </row>
    <row r="295" spans="1:40" x14ac:dyDescent="0.35">
      <c r="A295" s="51" t="s">
        <v>171</v>
      </c>
      <c r="B295" s="14">
        <v>1</v>
      </c>
      <c r="C295" s="51">
        <v>40</v>
      </c>
      <c r="D295" s="14">
        <v>1144</v>
      </c>
      <c r="E295" s="12">
        <f t="shared" si="462"/>
        <v>35.986537260481171</v>
      </c>
      <c r="F295" s="12">
        <f t="shared" si="463"/>
        <v>1.1666056996800656</v>
      </c>
      <c r="G295" s="12">
        <f t="shared" si="464"/>
        <v>1.6820000000000164</v>
      </c>
      <c r="H295" s="12">
        <f t="shared" si="465"/>
        <v>20.749579658393092</v>
      </c>
      <c r="I295" s="12">
        <f t="shared" si="466"/>
        <v>1.1829961668546718</v>
      </c>
      <c r="J295" s="12">
        <f t="shared" si="467"/>
        <v>19.31937152186892</v>
      </c>
      <c r="K295" s="13">
        <f t="shared" si="468"/>
        <v>3.1456763339581445E-2</v>
      </c>
      <c r="L295" s="13">
        <f t="shared" si="469"/>
        <v>66.841582947574167</v>
      </c>
      <c r="M295" s="13">
        <f t="shared" si="470"/>
        <v>1.4702797202797346E-3</v>
      </c>
      <c r="N295" s="13">
        <f t="shared" si="471"/>
        <v>1.8137744456637319E-2</v>
      </c>
      <c r="O295" s="13">
        <f t="shared" si="472"/>
        <v>67.78068754092682</v>
      </c>
      <c r="P295" s="13">
        <f t="shared" si="473"/>
        <v>1.6887562519116189E-2</v>
      </c>
      <c r="Q295" s="51">
        <v>1390.28</v>
      </c>
      <c r="R295" s="51">
        <v>165.637</v>
      </c>
      <c r="S295" s="51">
        <v>1389.1</v>
      </c>
      <c r="T295" s="51">
        <v>144.92099999999999</v>
      </c>
      <c r="U295" s="51">
        <v>1420.23</v>
      </c>
      <c r="V295" s="51">
        <v>163.625</v>
      </c>
      <c r="W295" s="51">
        <v>1419.28</v>
      </c>
      <c r="X295" s="51">
        <v>144.32900000000001</v>
      </c>
      <c r="Y295" s="51">
        <v>1405.38</v>
      </c>
      <c r="Z295" s="51">
        <v>154.28200000000001</v>
      </c>
      <c r="AA295" s="51">
        <v>1405.42</v>
      </c>
      <c r="AB295" s="51">
        <v>153.535</v>
      </c>
      <c r="AC295" s="51">
        <v>1405.42</v>
      </c>
      <c r="AD295" s="51">
        <v>155.21700000000001</v>
      </c>
      <c r="AG295" s="14" t="s">
        <v>222</v>
      </c>
      <c r="AH295" s="14" t="s">
        <v>222</v>
      </c>
      <c r="AI295" s="14" t="s">
        <v>223</v>
      </c>
      <c r="AJ295" s="51">
        <v>1.06083178731233E-4</v>
      </c>
      <c r="AK295" s="51">
        <v>1.2462807625067399E-4</v>
      </c>
      <c r="AL295" s="51">
        <v>1.07591340041078E-4</v>
      </c>
      <c r="AM295" s="51">
        <v>1.0301235696122099E-4</v>
      </c>
      <c r="AN295" s="51">
        <v>0.91284535303149805</v>
      </c>
    </row>
    <row r="296" spans="1:40" x14ac:dyDescent="0.35">
      <c r="A296" s="51" t="s">
        <v>171</v>
      </c>
      <c r="B296" s="14">
        <v>1</v>
      </c>
      <c r="C296" s="51">
        <v>50</v>
      </c>
      <c r="D296" s="14">
        <v>1144</v>
      </c>
      <c r="E296" s="12">
        <f t="shared" si="462"/>
        <v>34.764734559607803</v>
      </c>
      <c r="F296" s="12">
        <f t="shared" si="463"/>
        <v>1.0724545690791198</v>
      </c>
      <c r="G296" s="12">
        <f t="shared" si="464"/>
        <v>1.3339374048282742</v>
      </c>
      <c r="H296" s="12">
        <f t="shared" si="465"/>
        <v>19.161672186946518</v>
      </c>
      <c r="I296" s="12">
        <f t="shared" si="466"/>
        <v>1.3105660151866672</v>
      </c>
      <c r="J296" s="12">
        <f t="shared" si="467"/>
        <v>20.308343507041634</v>
      </c>
      <c r="K296" s="13">
        <f t="shared" si="468"/>
        <v>3.0388753985671157E-2</v>
      </c>
      <c r="L296" s="13">
        <f t="shared" si="469"/>
        <v>61.447120527754961</v>
      </c>
      <c r="M296" s="13">
        <f t="shared" si="470"/>
        <v>1.1660292000247152E-3</v>
      </c>
      <c r="N296" s="13">
        <f t="shared" si="471"/>
        <v>1.6749713450128077E-2</v>
      </c>
      <c r="O296" s="13">
        <f t="shared" si="472"/>
        <v>75.089901443474176</v>
      </c>
      <c r="P296" s="13">
        <f t="shared" si="473"/>
        <v>1.7752048520141287E-2</v>
      </c>
      <c r="Q296" s="51">
        <v>1296.9000000000001</v>
      </c>
      <c r="R296" s="51">
        <v>166.06899999999999</v>
      </c>
      <c r="S296" s="51">
        <v>1296.58</v>
      </c>
      <c r="T296" s="51">
        <v>146.91</v>
      </c>
      <c r="U296" s="51">
        <v>1326.26</v>
      </c>
      <c r="V296" s="51">
        <v>167.11</v>
      </c>
      <c r="W296" s="51">
        <v>1325.84</v>
      </c>
      <c r="X296" s="51">
        <v>146.80600000000001</v>
      </c>
      <c r="Y296" s="51">
        <v>1312.86</v>
      </c>
      <c r="Z296" s="51">
        <v>156.34800000000001</v>
      </c>
      <c r="AA296" s="51">
        <v>1312.86</v>
      </c>
      <c r="AB296" s="51">
        <v>155.72399999999999</v>
      </c>
      <c r="AC296" s="51">
        <v>1312.81</v>
      </c>
      <c r="AD296" s="51">
        <v>157.05699999999999</v>
      </c>
      <c r="AG296" s="14" t="s">
        <v>222</v>
      </c>
      <c r="AH296" s="14" t="s">
        <v>222</v>
      </c>
      <c r="AI296" s="14" t="s">
        <v>223</v>
      </c>
      <c r="AJ296" s="51">
        <v>1.0221830835248701E-4</v>
      </c>
      <c r="AK296" s="51">
        <v>1.18010186928455E-4</v>
      </c>
      <c r="AL296" s="51">
        <v>1.0741457024182101E-4</v>
      </c>
      <c r="AM296" s="55">
        <v>9.9176136363636204E-5</v>
      </c>
      <c r="AN296" s="51">
        <v>0.938074368359609</v>
      </c>
    </row>
    <row r="297" spans="1:40" x14ac:dyDescent="0.35">
      <c r="A297" s="51" t="s">
        <v>171</v>
      </c>
      <c r="B297" s="14">
        <v>1</v>
      </c>
      <c r="C297" s="51">
        <v>60</v>
      </c>
      <c r="D297" s="14">
        <v>1144</v>
      </c>
      <c r="E297" s="12">
        <f t="shared" si="462"/>
        <v>37.119303347449843</v>
      </c>
      <c r="F297" s="12">
        <f t="shared" si="463"/>
        <v>0.96848484552752279</v>
      </c>
      <c r="G297" s="12">
        <f t="shared" si="464"/>
        <v>1.2594300298150818</v>
      </c>
      <c r="H297" s="12">
        <f t="shared" si="465"/>
        <v>17.491002858612781</v>
      </c>
      <c r="I297" s="12">
        <f t="shared" si="466"/>
        <v>1.0821835863872307</v>
      </c>
      <c r="J297" s="12">
        <f t="shared" si="467"/>
        <v>18.898519095421211</v>
      </c>
      <c r="K297" s="13">
        <f t="shared" si="468"/>
        <v>3.2446943485533078E-2</v>
      </c>
      <c r="L297" s="13">
        <f t="shared" si="469"/>
        <v>55.490094171106541</v>
      </c>
      <c r="M297" s="13">
        <f t="shared" si="470"/>
        <v>1.1009003757124841E-3</v>
      </c>
      <c r="N297" s="13">
        <f t="shared" si="471"/>
        <v>1.528933816312306E-2</v>
      </c>
      <c r="O297" s="13">
        <f t="shared" si="472"/>
        <v>62.004552158319449</v>
      </c>
      <c r="P297" s="13">
        <f t="shared" si="473"/>
        <v>1.651968452396959E-2</v>
      </c>
      <c r="Q297" s="51">
        <v>1164.5899999999999</v>
      </c>
      <c r="R297" s="51">
        <v>163.83000000000001</v>
      </c>
      <c r="S297" s="51">
        <v>1164.5999999999999</v>
      </c>
      <c r="T297" s="51">
        <v>146.339</v>
      </c>
      <c r="U297" s="51">
        <v>1196.54</v>
      </c>
      <c r="V297" s="51">
        <v>165.221</v>
      </c>
      <c r="W297" s="51">
        <v>1197.33</v>
      </c>
      <c r="X297" s="51">
        <v>146.339</v>
      </c>
      <c r="Y297" s="51">
        <v>1181.22</v>
      </c>
      <c r="Z297" s="51">
        <v>155.22999999999999</v>
      </c>
      <c r="AA297" s="51">
        <v>1181.22</v>
      </c>
      <c r="AB297" s="51">
        <v>154.65299999999999</v>
      </c>
      <c r="AC297" s="51">
        <v>1181.28</v>
      </c>
      <c r="AD297" s="51">
        <v>155.911</v>
      </c>
      <c r="AG297" s="14" t="s">
        <v>222</v>
      </c>
      <c r="AH297" s="14" t="s">
        <v>222</v>
      </c>
      <c r="AI297" s="14" t="s">
        <v>223</v>
      </c>
      <c r="AJ297" s="51">
        <v>1.1353135009658101E-4</v>
      </c>
      <c r="AK297" s="51">
        <v>1.11095488318501E-4</v>
      </c>
      <c r="AL297" s="51">
        <v>1.05532299867964E-4</v>
      </c>
      <c r="AM297" s="51">
        <v>1.0396184562814801E-4</v>
      </c>
      <c r="AN297" s="51">
        <v>0.93263185723601805</v>
      </c>
    </row>
    <row r="298" spans="1:40" x14ac:dyDescent="0.35">
      <c r="A298" s="51" t="s">
        <v>171</v>
      </c>
      <c r="B298" s="14">
        <v>1</v>
      </c>
      <c r="C298" s="51">
        <v>70</v>
      </c>
      <c r="D298" s="14">
        <v>1144</v>
      </c>
      <c r="E298" s="12">
        <f t="shared" si="462"/>
        <v>37.569202759707416</v>
      </c>
      <c r="F298" s="12">
        <f t="shared" si="463"/>
        <v>1.0523657095508101</v>
      </c>
      <c r="G298" s="12">
        <f t="shared" si="464"/>
        <v>1.3590000000000089</v>
      </c>
      <c r="H298" s="12">
        <f t="shared" si="465"/>
        <v>19.339436935960673</v>
      </c>
      <c r="I298" s="12">
        <f t="shared" si="466"/>
        <v>1.1356746873280379</v>
      </c>
      <c r="J298" s="12">
        <f t="shared" si="467"/>
        <v>19.631155747943108</v>
      </c>
      <c r="K298" s="13">
        <f t="shared" si="468"/>
        <v>3.2840212202541449E-2</v>
      </c>
      <c r="L298" s="13">
        <f t="shared" si="469"/>
        <v>60.296113661551644</v>
      </c>
      <c r="M298" s="13">
        <f t="shared" si="470"/>
        <v>1.1879370629370707E-3</v>
      </c>
      <c r="N298" s="13">
        <f t="shared" si="471"/>
        <v>1.6905102216748839E-2</v>
      </c>
      <c r="O298" s="13">
        <f t="shared" si="472"/>
        <v>65.069366483735962</v>
      </c>
      <c r="P298" s="13">
        <f t="shared" si="473"/>
        <v>1.7160101178271946E-2</v>
      </c>
      <c r="Q298" s="51">
        <v>1062.55</v>
      </c>
      <c r="R298" s="51">
        <v>163.672</v>
      </c>
      <c r="S298" s="51">
        <v>1062.68</v>
      </c>
      <c r="T298" s="51">
        <v>144.333</v>
      </c>
      <c r="U298" s="51">
        <v>1094.3800000000001</v>
      </c>
      <c r="V298" s="51">
        <v>164.21</v>
      </c>
      <c r="W298" s="51">
        <v>1094.9100000000001</v>
      </c>
      <c r="X298" s="51">
        <v>144.58600000000001</v>
      </c>
      <c r="Y298" s="51">
        <v>1079.26</v>
      </c>
      <c r="Z298" s="51">
        <v>154.33099999999999</v>
      </c>
      <c r="AA298" s="51">
        <v>1079.26</v>
      </c>
      <c r="AB298" s="51">
        <v>153.779</v>
      </c>
      <c r="AC298" s="51">
        <v>1079.26</v>
      </c>
      <c r="AD298" s="51">
        <v>155.13800000000001</v>
      </c>
      <c r="AG298" s="14" t="s">
        <v>222</v>
      </c>
      <c r="AH298" s="14" t="s">
        <v>222</v>
      </c>
      <c r="AI298" s="14" t="s">
        <v>223</v>
      </c>
      <c r="AJ298" s="51">
        <v>1.15359686751187E-4</v>
      </c>
      <c r="AK298" s="51">
        <v>1.2299667771040101E-4</v>
      </c>
      <c r="AL298" s="51">
        <v>1.07213066653627E-4</v>
      </c>
      <c r="AM298" s="51">
        <v>1.14709857450242E-4</v>
      </c>
      <c r="AN298" s="51">
        <v>0.93105516441803404</v>
      </c>
    </row>
    <row r="299" spans="1:40" x14ac:dyDescent="0.35">
      <c r="A299" s="51" t="s">
        <v>171</v>
      </c>
      <c r="B299" s="14">
        <v>1</v>
      </c>
      <c r="C299" s="51">
        <v>80</v>
      </c>
      <c r="D299" s="14">
        <v>1144</v>
      </c>
      <c r="E299" s="12">
        <f t="shared" si="462"/>
        <v>36.077661925352089</v>
      </c>
      <c r="F299" s="12">
        <f t="shared" si="463"/>
        <v>1.2411506448094634</v>
      </c>
      <c r="G299" s="12">
        <f t="shared" si="464"/>
        <v>0.96000000000000796</v>
      </c>
      <c r="H299" s="12">
        <f t="shared" si="465"/>
        <v>20.623685897530542</v>
      </c>
      <c r="I299" s="12">
        <f t="shared" si="466"/>
        <v>1.1782667730280592</v>
      </c>
      <c r="J299" s="12">
        <f t="shared" si="467"/>
        <v>20.378378198473019</v>
      </c>
      <c r="K299" s="13">
        <f t="shared" si="468"/>
        <v>3.153641776691616E-2</v>
      </c>
      <c r="L299" s="13">
        <f t="shared" si="469"/>
        <v>71.112693687522963</v>
      </c>
      <c r="M299" s="13">
        <f t="shared" si="470"/>
        <v>8.391608391608461E-4</v>
      </c>
      <c r="N299" s="13">
        <f t="shared" si="471"/>
        <v>1.8027697462876347E-2</v>
      </c>
      <c r="O299" s="13">
        <f t="shared" si="472"/>
        <v>67.509713235006686</v>
      </c>
      <c r="P299" s="13">
        <f t="shared" si="473"/>
        <v>1.7813267656007884E-2</v>
      </c>
      <c r="Q299" s="51">
        <v>934.7</v>
      </c>
      <c r="R299" s="51">
        <v>161.398</v>
      </c>
      <c r="S299" s="51">
        <v>935.33199999999999</v>
      </c>
      <c r="T299" s="51">
        <v>140.78399999999999</v>
      </c>
      <c r="U299" s="51">
        <v>964.55399999999997</v>
      </c>
      <c r="V299" s="51">
        <v>161.87200000000001</v>
      </c>
      <c r="W299" s="51">
        <v>964.79100000000005</v>
      </c>
      <c r="X299" s="51">
        <v>141.495</v>
      </c>
      <c r="Y299" s="51">
        <v>949.42700000000002</v>
      </c>
      <c r="Z299" s="51">
        <v>151.751</v>
      </c>
      <c r="AA299" s="51">
        <v>949.38499999999999</v>
      </c>
      <c r="AB299" s="51">
        <v>151.292</v>
      </c>
      <c r="AC299" s="51">
        <v>949.38499999999999</v>
      </c>
      <c r="AD299" s="51">
        <v>152.25200000000001</v>
      </c>
      <c r="AG299" s="14" t="s">
        <v>222</v>
      </c>
      <c r="AH299" s="14" t="s">
        <v>222</v>
      </c>
      <c r="AI299" s="14" t="s">
        <v>223</v>
      </c>
      <c r="AJ299" s="51">
        <v>1.18679991992273E-4</v>
      </c>
      <c r="AK299" s="51">
        <v>1.13653736888112E-4</v>
      </c>
      <c r="AL299" s="51">
        <v>1.0697549926035499E-4</v>
      </c>
      <c r="AM299" s="51">
        <v>1.1444763840835799E-4</v>
      </c>
      <c r="AN299" s="51">
        <v>0.95303914216738495</v>
      </c>
    </row>
    <row r="300" spans="1:40" x14ac:dyDescent="0.35">
      <c r="A300" s="51" t="s">
        <v>171</v>
      </c>
      <c r="B300" s="14">
        <v>1</v>
      </c>
      <c r="C300" s="51">
        <v>90</v>
      </c>
      <c r="D300" s="14">
        <v>1144</v>
      </c>
      <c r="E300" s="12">
        <f t="shared" si="462"/>
        <v>37.775844093812125</v>
      </c>
      <c r="F300" s="12">
        <f t="shared" si="463"/>
        <v>1.3710011517966374</v>
      </c>
      <c r="G300" s="12">
        <f t="shared" si="464"/>
        <v>0</v>
      </c>
      <c r="H300" s="12">
        <f t="shared" si="465"/>
        <v>23.358576947237186</v>
      </c>
      <c r="I300" s="12">
        <f t="shared" si="466"/>
        <v>1.3357952411799618</v>
      </c>
      <c r="J300" s="12">
        <f t="shared" si="467"/>
        <v>23.693274341044557</v>
      </c>
      <c r="K300" s="13">
        <f t="shared" si="468"/>
        <v>3.3020842739346266E-2</v>
      </c>
      <c r="L300" s="13">
        <f t="shared" si="469"/>
        <v>78.552579705522049</v>
      </c>
      <c r="M300" s="13">
        <f t="shared" si="470"/>
        <v>0</v>
      </c>
      <c r="N300" s="13">
        <f t="shared" si="471"/>
        <v>2.0418336492340199E-2</v>
      </c>
      <c r="O300" s="13">
        <f t="shared" si="472"/>
        <v>76.535429613271717</v>
      </c>
      <c r="P300" s="13">
        <f t="shared" si="473"/>
        <v>2.0710904144269716E-2</v>
      </c>
      <c r="Q300" s="51">
        <v>811.70799999999997</v>
      </c>
      <c r="R300" s="51">
        <v>157.637</v>
      </c>
      <c r="S300" s="51">
        <v>812.61400000000003</v>
      </c>
      <c r="T300" s="51">
        <v>134.29599999999999</v>
      </c>
      <c r="U300" s="51">
        <v>841.05399999999997</v>
      </c>
      <c r="V300" s="51">
        <v>158.54300000000001</v>
      </c>
      <c r="W300" s="51">
        <v>841.84699999999998</v>
      </c>
      <c r="X300" s="51">
        <v>134.863</v>
      </c>
      <c r="Y300" s="51">
        <v>826.43799999999999</v>
      </c>
      <c r="Z300" s="51">
        <v>146.30600000000001</v>
      </c>
      <c r="AA300" s="51">
        <v>826.43799999999999</v>
      </c>
      <c r="AB300" s="51">
        <v>146.41999999999999</v>
      </c>
      <c r="AC300" s="51">
        <v>826.43799999999999</v>
      </c>
      <c r="AD300" s="51">
        <v>146.41999999999999</v>
      </c>
      <c r="AG300" s="14" t="s">
        <v>222</v>
      </c>
      <c r="AH300" s="14" t="s">
        <v>222</v>
      </c>
      <c r="AI300" s="14" t="s">
        <v>223</v>
      </c>
      <c r="AJ300" s="51">
        <v>1.3593682033656901E-4</v>
      </c>
      <c r="AK300" s="51">
        <v>1.2743098837351499E-4</v>
      </c>
      <c r="AL300" s="51">
        <v>1.3085888292214799E-4</v>
      </c>
      <c r="AM300" s="51">
        <v>1.3241122884982099E-4</v>
      </c>
      <c r="AN300" s="51">
        <v>0.99962904753396797</v>
      </c>
    </row>
    <row r="301" spans="1:40" x14ac:dyDescent="0.35">
      <c r="A301" s="51" t="s">
        <v>173</v>
      </c>
      <c r="B301" s="14">
        <v>1</v>
      </c>
      <c r="C301" s="51">
        <v>30</v>
      </c>
      <c r="D301" s="14">
        <v>708</v>
      </c>
      <c r="E301" s="12">
        <f t="shared" ref="E301:E307" si="474">DIST2(Q301,R301,W301,X301)</f>
        <v>22.749984835159783</v>
      </c>
      <c r="F301" s="12">
        <f t="shared" ref="F301:F307" si="475">ACOS((DIST2(Y301,Z301,S301,T301)^2 + DIST2(Y301,Z301,Q301,R301)^2 - DIST2(Q301,R301,S301,T301)^2)/(2*DIST2(Y301,Z301,S301,T301) * DIST2(Y301,Z301,Q301,R301)))</f>
        <v>1.3915421268823178</v>
      </c>
      <c r="G301" s="12">
        <f t="shared" ref="G301:G307" si="476">DIST2(AA301,AB301,AC301,AD301)</f>
        <v>1.2979252674942667</v>
      </c>
      <c r="H301" s="12">
        <f t="shared" ref="H301:H307" si="477">DIST2(Q301,R301,S301,T301)</f>
        <v>16.068301870452895</v>
      </c>
      <c r="I301" s="12">
        <f t="shared" ref="I301:I307" si="478">ACOS((DIST2(Y301,Z301,W301,X301)^2 + DIST2(Y301,Z301,U301,V301)^2 - DIST2(U301,V301,W301,X301)^2)/(2*DIST2(Y301,Z301,W301,X301) * DIST2(Y301,Z301,U301,V301)))</f>
        <v>1.522509914848988</v>
      </c>
      <c r="J301" s="12">
        <f t="shared" ref="J301:J307" si="479">DIST2(U301,V301,W301,X301)</f>
        <v>14.561959655211284</v>
      </c>
      <c r="K301" s="13">
        <f t="shared" ref="K301:K307" si="480">E301/D301</f>
        <v>3.2132746942316076E-2</v>
      </c>
      <c r="L301" s="13">
        <f t="shared" ref="L301:L307" si="481">F301*180/PI()</f>
        <v>79.729490885014911</v>
      </c>
      <c r="M301" s="13">
        <f t="shared" ref="M301:M307" si="482">G301/D301</f>
        <v>1.8332277789467044E-3</v>
      </c>
      <c r="N301" s="13">
        <f t="shared" ref="N301:N307" si="483">H301/D301</f>
        <v>2.2695341624933467E-2</v>
      </c>
      <c r="O301" s="13">
        <f t="shared" ref="O301:O307" si="484">I301*180/PI()</f>
        <v>87.233392387669369</v>
      </c>
      <c r="P301" s="13">
        <f t="shared" ref="P301:P307" si="485">J301/D301</f>
        <v>2.0567739626004639E-2</v>
      </c>
      <c r="Q301" s="51">
        <v>248.74299999999999</v>
      </c>
      <c r="R301" s="51">
        <v>-252.542</v>
      </c>
      <c r="S301" s="51">
        <v>249.66200000000001</v>
      </c>
      <c r="T301" s="51">
        <v>-268.584</v>
      </c>
      <c r="U301" s="51">
        <v>231.53100000000001</v>
      </c>
      <c r="V301" s="51">
        <v>-253.79499999999999</v>
      </c>
      <c r="W301" s="51">
        <v>232.36600000000001</v>
      </c>
      <c r="X301" s="51">
        <v>-268.33300000000003</v>
      </c>
      <c r="Y301" s="51">
        <v>239.58699999999999</v>
      </c>
      <c r="Z301" s="51">
        <v>-260.863</v>
      </c>
      <c r="AA301" s="51">
        <v>239.58699999999999</v>
      </c>
      <c r="AB301" s="51">
        <v>-261.47500000000002</v>
      </c>
      <c r="AC301" s="51">
        <v>239.53800000000001</v>
      </c>
      <c r="AD301" s="51">
        <v>-260.178</v>
      </c>
      <c r="AG301" s="14" t="s">
        <v>224</v>
      </c>
      <c r="AH301" s="14" t="s">
        <v>225</v>
      </c>
      <c r="AI301" s="14" t="s">
        <v>224</v>
      </c>
      <c r="AJ301" s="51">
        <v>1.10935902039644E-4</v>
      </c>
      <c r="AK301" s="51">
        <v>1.5413789041303599E-4</v>
      </c>
      <c r="AL301" s="51">
        <v>1.19594631770883E-4</v>
      </c>
      <c r="AM301" s="51">
        <v>1.2012476359762499E-4</v>
      </c>
      <c r="AN301" s="51">
        <v>0.90434966486285995</v>
      </c>
    </row>
    <row r="302" spans="1:40" x14ac:dyDescent="0.35">
      <c r="A302" s="51" t="s">
        <v>173</v>
      </c>
      <c r="B302" s="14">
        <v>1</v>
      </c>
      <c r="C302" s="51">
        <v>40</v>
      </c>
      <c r="D302" s="14">
        <v>708</v>
      </c>
      <c r="E302" s="12">
        <f t="shared" si="474"/>
        <v>28.556544206188562</v>
      </c>
      <c r="F302" s="12">
        <f t="shared" si="475"/>
        <v>0.94591267916800936</v>
      </c>
      <c r="G302" s="12">
        <f t="shared" si="476"/>
        <v>1.994225664261724</v>
      </c>
      <c r="H302" s="12">
        <f t="shared" si="477"/>
        <v>14.688393955773362</v>
      </c>
      <c r="I302" s="12">
        <f t="shared" si="478"/>
        <v>1.1985097614757612</v>
      </c>
      <c r="J302" s="12">
        <f t="shared" si="479"/>
        <v>14.836205040373347</v>
      </c>
      <c r="K302" s="13">
        <f t="shared" si="480"/>
        <v>4.0334101986142033E-2</v>
      </c>
      <c r="L302" s="13">
        <f t="shared" si="481"/>
        <v>54.196804304239244</v>
      </c>
      <c r="M302" s="13">
        <f t="shared" si="482"/>
        <v>2.8167029156239039E-3</v>
      </c>
      <c r="N302" s="13">
        <f t="shared" si="483"/>
        <v>2.0746319146572545E-2</v>
      </c>
      <c r="O302" s="13">
        <f t="shared" si="484"/>
        <v>68.66955103779209</v>
      </c>
      <c r="P302" s="13">
        <f t="shared" si="485"/>
        <v>2.0955091864934106E-2</v>
      </c>
      <c r="Q302" s="51">
        <v>319.74400000000003</v>
      </c>
      <c r="R302" s="51">
        <v>-254.77600000000001</v>
      </c>
      <c r="S302" s="51">
        <v>320.20999999999998</v>
      </c>
      <c r="T302" s="51">
        <v>-269.45699999999999</v>
      </c>
      <c r="U302" s="51">
        <v>294.81</v>
      </c>
      <c r="V302" s="51">
        <v>-253.999</v>
      </c>
      <c r="W302" s="51">
        <v>294.88799999999998</v>
      </c>
      <c r="X302" s="51">
        <v>-268.83499999999998</v>
      </c>
      <c r="Y302" s="51">
        <v>305.63</v>
      </c>
      <c r="Z302" s="51">
        <v>-262.52300000000002</v>
      </c>
      <c r="AA302" s="51">
        <v>305.66000000000003</v>
      </c>
      <c r="AB302" s="51">
        <v>-263.46100000000001</v>
      </c>
      <c r="AC302" s="51">
        <v>305.63</v>
      </c>
      <c r="AD302" s="51">
        <v>-261.46699999999998</v>
      </c>
      <c r="AG302" s="14" t="s">
        <v>224</v>
      </c>
      <c r="AH302" s="14" t="s">
        <v>225</v>
      </c>
      <c r="AI302" s="14" t="s">
        <v>224</v>
      </c>
      <c r="AJ302" s="51">
        <v>1.59457539340547E-4</v>
      </c>
      <c r="AK302" s="51">
        <v>2.1028613265664401E-4</v>
      </c>
      <c r="AL302" s="51">
        <v>1.7735162708672501E-4</v>
      </c>
      <c r="AM302" s="51">
        <v>1.4242057279198101E-4</v>
      </c>
      <c r="AN302" s="51">
        <v>0.86484833709645004</v>
      </c>
    </row>
    <row r="303" spans="1:40" x14ac:dyDescent="0.35">
      <c r="A303" s="51" t="s">
        <v>173</v>
      </c>
      <c r="B303" s="14">
        <v>1</v>
      </c>
      <c r="C303" s="51">
        <v>50</v>
      </c>
      <c r="D303" s="14">
        <v>708</v>
      </c>
      <c r="E303" s="12">
        <f t="shared" si="474"/>
        <v>28.679247026377816</v>
      </c>
      <c r="F303" s="12">
        <f t="shared" si="475"/>
        <v>0.95839631992011487</v>
      </c>
      <c r="G303" s="12">
        <f t="shared" si="476"/>
        <v>3.7108340032936007</v>
      </c>
      <c r="H303" s="12">
        <f t="shared" si="477"/>
        <v>13.779542300091119</v>
      </c>
      <c r="I303" s="12">
        <f t="shared" si="478"/>
        <v>0.89763386917256971</v>
      </c>
      <c r="J303" s="12">
        <f t="shared" si="479"/>
        <v>11.228013225856126</v>
      </c>
      <c r="K303" s="13">
        <f t="shared" si="480"/>
        <v>4.0507411054205952E-2</v>
      </c>
      <c r="L303" s="13">
        <f t="shared" si="481"/>
        <v>54.912064232292408</v>
      </c>
      <c r="M303" s="13">
        <f t="shared" si="482"/>
        <v>5.241290965103956E-3</v>
      </c>
      <c r="N303" s="13">
        <f t="shared" si="483"/>
        <v>1.9462630367360338E-2</v>
      </c>
      <c r="O303" s="13">
        <f t="shared" si="484"/>
        <v>51.430632251586545</v>
      </c>
      <c r="P303" s="13">
        <f t="shared" si="485"/>
        <v>1.585877574273464E-2</v>
      </c>
      <c r="Q303" s="51">
        <v>386.63600000000002</v>
      </c>
      <c r="R303" s="51">
        <v>-234.84899999999999</v>
      </c>
      <c r="S303" s="51">
        <v>389.517</v>
      </c>
      <c r="T303" s="51">
        <v>-248.32400000000001</v>
      </c>
      <c r="U303" s="51">
        <v>363.03300000000002</v>
      </c>
      <c r="V303" s="51">
        <v>-243.21299999999999</v>
      </c>
      <c r="W303" s="51">
        <v>365.44900000000001</v>
      </c>
      <c r="X303" s="51">
        <v>-254.178</v>
      </c>
      <c r="Y303" s="51">
        <v>375.36799999999999</v>
      </c>
      <c r="Z303" s="51">
        <v>-245.298</v>
      </c>
      <c r="AA303" s="51">
        <v>376.00400000000002</v>
      </c>
      <c r="AB303" s="51">
        <v>-246.84899999999999</v>
      </c>
      <c r="AC303" s="51">
        <v>374.77100000000002</v>
      </c>
      <c r="AD303" s="51">
        <v>-243.34899999999999</v>
      </c>
      <c r="AG303" s="14" t="s">
        <v>224</v>
      </c>
      <c r="AH303" s="14" t="s">
        <v>225</v>
      </c>
      <c r="AI303" s="14" t="s">
        <v>224</v>
      </c>
      <c r="AJ303" s="51">
        <v>1.2988755925021501E-4</v>
      </c>
      <c r="AK303" s="51">
        <v>1.8148108481758199E-4</v>
      </c>
      <c r="AL303" s="51">
        <v>1.01130980880334E-4</v>
      </c>
      <c r="AM303" s="51">
        <v>1.14316410115229E-4</v>
      </c>
      <c r="AN303" s="51">
        <v>0.69193669658224299</v>
      </c>
    </row>
    <row r="304" spans="1:40" x14ac:dyDescent="0.35">
      <c r="A304" s="51" t="s">
        <v>173</v>
      </c>
      <c r="B304" s="14">
        <v>1</v>
      </c>
      <c r="C304" s="51">
        <v>60</v>
      </c>
      <c r="D304" s="14">
        <v>708</v>
      </c>
      <c r="E304" s="12">
        <f t="shared" si="474"/>
        <v>26.50357283461986</v>
      </c>
      <c r="F304" s="12">
        <f t="shared" si="475"/>
        <v>0.91845561998776204</v>
      </c>
      <c r="G304" s="12">
        <f t="shared" si="476"/>
        <v>0</v>
      </c>
      <c r="H304" s="12">
        <f t="shared" si="477"/>
        <v>12.226137288612467</v>
      </c>
      <c r="I304" s="12">
        <f t="shared" si="478"/>
        <v>1.2631179388242479</v>
      </c>
      <c r="J304" s="12">
        <f t="shared" si="479"/>
        <v>14.148606468483031</v>
      </c>
      <c r="K304" s="13">
        <f t="shared" si="480"/>
        <v>3.7434424907655167E-2</v>
      </c>
      <c r="L304" s="13">
        <f t="shared" si="481"/>
        <v>52.623630695370139</v>
      </c>
      <c r="M304" s="13">
        <f t="shared" si="482"/>
        <v>0</v>
      </c>
      <c r="N304" s="13">
        <f t="shared" si="483"/>
        <v>1.7268555492390491E-2</v>
      </c>
      <c r="O304" s="13">
        <f t="shared" si="484"/>
        <v>72.371326921893115</v>
      </c>
      <c r="P304" s="13">
        <f t="shared" si="485"/>
        <v>1.9983907441360214E-2</v>
      </c>
      <c r="Q304" s="51">
        <v>459.17</v>
      </c>
      <c r="R304" s="51">
        <v>-226.548</v>
      </c>
      <c r="S304" s="51">
        <v>458.25700000000001</v>
      </c>
      <c r="T304" s="51">
        <v>-238.74</v>
      </c>
      <c r="U304" s="51">
        <v>436.80799999999999</v>
      </c>
      <c r="V304" s="51">
        <v>-226.41800000000001</v>
      </c>
      <c r="W304" s="51">
        <v>436.67700000000002</v>
      </c>
      <c r="X304" s="51">
        <v>-240.566</v>
      </c>
      <c r="Y304" s="51">
        <v>446.39100000000002</v>
      </c>
      <c r="Z304" s="51">
        <v>-232.93799999999999</v>
      </c>
      <c r="AA304" s="51">
        <v>446.39100000000002</v>
      </c>
      <c r="AB304" s="51">
        <v>-232.93799999999999</v>
      </c>
      <c r="AC304" s="51">
        <v>446.39100000000002</v>
      </c>
      <c r="AD304" s="51">
        <v>-232.93799999999999</v>
      </c>
      <c r="AG304" s="14" t="s">
        <v>224</v>
      </c>
      <c r="AH304" s="14" t="s">
        <v>225</v>
      </c>
      <c r="AI304" s="14" t="s">
        <v>224</v>
      </c>
      <c r="AJ304" s="51">
        <v>1.3609036755083201E-4</v>
      </c>
      <c r="AK304" s="51">
        <v>1.4958933615819199E-4</v>
      </c>
      <c r="AL304" s="51">
        <v>1.44189937837147E-4</v>
      </c>
      <c r="AM304" s="51">
        <v>1.46504113600817E-4</v>
      </c>
      <c r="AN304" s="51">
        <v>1.0175523415343799</v>
      </c>
    </row>
    <row r="305" spans="1:40" x14ac:dyDescent="0.35">
      <c r="A305" s="51" t="s">
        <v>173</v>
      </c>
      <c r="B305" s="14">
        <v>1</v>
      </c>
      <c r="C305" s="51">
        <v>70</v>
      </c>
      <c r="D305" s="14">
        <v>708</v>
      </c>
      <c r="E305" s="12">
        <f t="shared" si="474"/>
        <v>24.620676270159606</v>
      </c>
      <c r="F305" s="12">
        <f t="shared" si="475"/>
        <v>0.56729537467328095</v>
      </c>
      <c r="G305" s="12">
        <f t="shared" si="476"/>
        <v>4.0108932920236455</v>
      </c>
      <c r="H305" s="12">
        <f t="shared" si="477"/>
        <v>6.7580828642448472</v>
      </c>
      <c r="I305" s="12">
        <f t="shared" si="478"/>
        <v>0.8057903455035158</v>
      </c>
      <c r="J305" s="12">
        <f t="shared" si="479"/>
        <v>9.7094702224168739</v>
      </c>
      <c r="K305" s="13">
        <f t="shared" si="480"/>
        <v>3.4774966483276278E-2</v>
      </c>
      <c r="L305" s="13">
        <f t="shared" si="481"/>
        <v>32.503630706071732</v>
      </c>
      <c r="M305" s="13">
        <f t="shared" si="482"/>
        <v>5.6651035198074092E-3</v>
      </c>
      <c r="N305" s="13">
        <f t="shared" si="483"/>
        <v>9.5453147800068465E-3</v>
      </c>
      <c r="O305" s="13">
        <f t="shared" si="484"/>
        <v>46.168385969739866</v>
      </c>
      <c r="P305" s="13">
        <f t="shared" si="485"/>
        <v>1.3713940992114228E-2</v>
      </c>
      <c r="Q305" s="51">
        <v>541.10699999999997</v>
      </c>
      <c r="R305" s="51">
        <v>-263.12900000000002</v>
      </c>
      <c r="S305" s="51">
        <v>539.32899999999995</v>
      </c>
      <c r="T305" s="51">
        <v>-269.649</v>
      </c>
      <c r="U305" s="51">
        <v>519.53300000000002</v>
      </c>
      <c r="V305" s="51">
        <v>-255.899</v>
      </c>
      <c r="W305" s="51">
        <v>516.56899999999996</v>
      </c>
      <c r="X305" s="51">
        <v>-265.14499999999998</v>
      </c>
      <c r="Y305" s="51">
        <v>529.13400000000001</v>
      </c>
      <c r="Z305" s="51">
        <v>-263.01100000000002</v>
      </c>
      <c r="AA305" s="51">
        <v>528.66</v>
      </c>
      <c r="AB305" s="51">
        <v>-265.02600000000001</v>
      </c>
      <c r="AC305" s="51">
        <v>529.96400000000006</v>
      </c>
      <c r="AD305" s="51">
        <v>-261.233</v>
      </c>
      <c r="AG305" s="14" t="s">
        <v>224</v>
      </c>
      <c r="AH305" s="14" t="s">
        <v>225</v>
      </c>
      <c r="AI305" s="14" t="s">
        <v>224</v>
      </c>
      <c r="AJ305" s="51">
        <v>1.0957381140476901E-4</v>
      </c>
      <c r="AK305" s="55">
        <v>7.8076386893931595E-5</v>
      </c>
      <c r="AL305" s="55">
        <v>3.9559579383318298E-5</v>
      </c>
      <c r="AM305" s="55">
        <v>5.7022151999744297E-5</v>
      </c>
      <c r="AN305" s="51">
        <v>0.51469027082680896</v>
      </c>
    </row>
    <row r="306" spans="1:40" x14ac:dyDescent="0.35">
      <c r="A306" s="51" t="s">
        <v>173</v>
      </c>
      <c r="B306" s="14">
        <v>1</v>
      </c>
      <c r="C306" s="51">
        <v>80</v>
      </c>
      <c r="D306" s="14">
        <v>708</v>
      </c>
      <c r="E306" s="12">
        <f t="shared" si="474"/>
        <v>22.447941576010873</v>
      </c>
      <c r="F306" s="12">
        <f t="shared" si="475"/>
        <v>0.93195444854504783</v>
      </c>
      <c r="G306" s="12">
        <f t="shared" si="476"/>
        <v>1.4613394540625873</v>
      </c>
      <c r="H306" s="12">
        <f t="shared" si="477"/>
        <v>11.01470548857298</v>
      </c>
      <c r="I306" s="12">
        <f t="shared" si="478"/>
        <v>1.2204033977131501</v>
      </c>
      <c r="J306" s="12">
        <f t="shared" si="479"/>
        <v>12.050722965863926</v>
      </c>
      <c r="K306" s="13">
        <f t="shared" si="480"/>
        <v>3.1706132169506886E-2</v>
      </c>
      <c r="L306" s="13">
        <f t="shared" si="481"/>
        <v>53.397056600073284</v>
      </c>
      <c r="M306" s="13">
        <f t="shared" si="482"/>
        <v>2.0640387769245584E-3</v>
      </c>
      <c r="N306" s="13">
        <f t="shared" si="483"/>
        <v>1.5557493627927939E-2</v>
      </c>
      <c r="O306" s="13">
        <f t="shared" si="484"/>
        <v>69.923963992389162</v>
      </c>
      <c r="P306" s="13">
        <f t="shared" si="485"/>
        <v>1.7020795149525321E-2</v>
      </c>
      <c r="Q306" s="51">
        <v>605.23199999999997</v>
      </c>
      <c r="R306" s="51">
        <v>-272.637</v>
      </c>
      <c r="S306" s="51">
        <v>608.65599999999995</v>
      </c>
      <c r="T306" s="51">
        <v>-283.10599999999999</v>
      </c>
      <c r="U306" s="51">
        <v>587.78399999999999</v>
      </c>
      <c r="V306" s="51">
        <v>-274.54599999999999</v>
      </c>
      <c r="W306" s="51">
        <v>587.65200000000004</v>
      </c>
      <c r="X306" s="51">
        <v>-286.596</v>
      </c>
      <c r="Y306" s="51">
        <v>596.197</v>
      </c>
      <c r="Z306" s="51">
        <v>-279.27100000000002</v>
      </c>
      <c r="AA306" s="51">
        <v>596.34500000000003</v>
      </c>
      <c r="AB306" s="51">
        <v>-279.90899999999999</v>
      </c>
      <c r="AC306" s="51">
        <v>596.14800000000002</v>
      </c>
      <c r="AD306" s="51">
        <v>-278.46100000000001</v>
      </c>
      <c r="AG306" s="14" t="s">
        <v>224</v>
      </c>
      <c r="AH306" s="14" t="s">
        <v>225</v>
      </c>
      <c r="AI306" s="14" t="s">
        <v>224</v>
      </c>
      <c r="AJ306" s="51">
        <v>1.01743143333653E-4</v>
      </c>
      <c r="AK306" s="51">
        <v>1.17006438722908E-4</v>
      </c>
      <c r="AL306" s="55">
        <v>8.4063284018002799E-5</v>
      </c>
      <c r="AM306" s="51">
        <v>1.09837508777809E-4</v>
      </c>
      <c r="AN306" s="51">
        <v>0.88640531777416798</v>
      </c>
    </row>
    <row r="307" spans="1:40" x14ac:dyDescent="0.35">
      <c r="A307" s="51" t="s">
        <v>173</v>
      </c>
      <c r="B307" s="14">
        <v>1</v>
      </c>
      <c r="C307" s="51">
        <v>90</v>
      </c>
      <c r="D307" s="14">
        <v>708</v>
      </c>
      <c r="E307" s="12">
        <f t="shared" si="474"/>
        <v>21.140834349665639</v>
      </c>
      <c r="F307" s="12">
        <f t="shared" si="475"/>
        <v>1.2425129655399694</v>
      </c>
      <c r="G307" s="12">
        <f t="shared" si="476"/>
        <v>1.8814914296908134</v>
      </c>
      <c r="H307" s="12">
        <f t="shared" si="477"/>
        <v>11.526900103670529</v>
      </c>
      <c r="I307" s="12">
        <f t="shared" si="478"/>
        <v>1.0740561643274744</v>
      </c>
      <c r="J307" s="12">
        <f t="shared" si="479"/>
        <v>11.811569624736562</v>
      </c>
      <c r="K307" s="13">
        <f t="shared" si="480"/>
        <v>2.9859935522126606E-2</v>
      </c>
      <c r="L307" s="13">
        <f t="shared" si="481"/>
        <v>71.190748915724143</v>
      </c>
      <c r="M307" s="13">
        <f t="shared" si="482"/>
        <v>2.6574737707497366E-3</v>
      </c>
      <c r="N307" s="13">
        <f t="shared" si="483"/>
        <v>1.6280932349817132E-2</v>
      </c>
      <c r="O307" s="13">
        <f t="shared" si="484"/>
        <v>61.538885175973888</v>
      </c>
      <c r="P307" s="13">
        <f t="shared" si="485"/>
        <v>1.6683007944543166E-2</v>
      </c>
      <c r="Q307" s="51">
        <v>669.50300000000004</v>
      </c>
      <c r="R307" s="51">
        <v>-270.18099999999998</v>
      </c>
      <c r="S307" s="51">
        <v>673.85199999999998</v>
      </c>
      <c r="T307" s="51">
        <v>-280.85599999999999</v>
      </c>
      <c r="U307" s="51">
        <v>652.50300000000004</v>
      </c>
      <c r="V307" s="51">
        <v>-277.13900000000001</v>
      </c>
      <c r="W307" s="51">
        <v>657.72199999999998</v>
      </c>
      <c r="X307" s="51">
        <v>-287.73500000000001</v>
      </c>
      <c r="Y307" s="51">
        <v>664.31500000000005</v>
      </c>
      <c r="Z307" s="51">
        <v>-278.77499999999998</v>
      </c>
      <c r="AA307" s="51">
        <v>664.87</v>
      </c>
      <c r="AB307" s="51">
        <v>-279.435</v>
      </c>
      <c r="AC307" s="51">
        <v>663.70699999999999</v>
      </c>
      <c r="AD307" s="51">
        <v>-277.95600000000002</v>
      </c>
      <c r="AG307" s="14" t="s">
        <v>224</v>
      </c>
      <c r="AH307" s="14" t="s">
        <v>225</v>
      </c>
      <c r="AI307" s="14" t="s">
        <v>224</v>
      </c>
      <c r="AJ307" s="51">
        <v>1.16327591847809E-4</v>
      </c>
      <c r="AK307" s="55">
        <v>9.2523307079701804E-5</v>
      </c>
      <c r="AL307" s="55">
        <v>9.1614829710491997E-5</v>
      </c>
      <c r="AM307" s="55">
        <v>8.44943063934372E-5</v>
      </c>
      <c r="AN307" s="51">
        <v>0.84322900695320402</v>
      </c>
    </row>
    <row r="308" spans="1:40" x14ac:dyDescent="0.35">
      <c r="A308" s="51" t="s">
        <v>175</v>
      </c>
      <c r="B308" s="14">
        <v>1</v>
      </c>
      <c r="C308" s="51">
        <v>30</v>
      </c>
      <c r="D308" s="14">
        <v>1548</v>
      </c>
      <c r="E308" s="12">
        <f t="shared" ref="E308:E314" si="486">DIST2(Q308,R308,W308,X308)</f>
        <v>44.019405902397196</v>
      </c>
      <c r="F308" s="12">
        <f t="shared" ref="F308:F314" si="487">ACOS((DIST2(Y308,Z308,S308,T308)^2 + DIST2(Y308,Z308,Q308,R308)^2 - DIST2(Q308,R308,S308,T308)^2)/(2*DIST2(Y308,Z308,S308,T308) * DIST2(Y308,Z308,Q308,R308)))</f>
        <v>0.84583933934975153</v>
      </c>
      <c r="G308" s="12">
        <f t="shared" ref="G308:G314" si="488">DIST2(AA308,AB308,AC308,AD308)</f>
        <v>1.2402781945999146</v>
      </c>
      <c r="H308" s="12">
        <f t="shared" ref="H308:H314" si="489">DIST2(Q308,R308,S308,T308)</f>
        <v>18.693191835532001</v>
      </c>
      <c r="I308" s="12">
        <f t="shared" ref="I308:I314" si="490">ACOS((DIST2(Y308,Z308,W308,X308)^2 + DIST2(Y308,Z308,U308,V308)^2 - DIST2(U308,V308,W308,X308)^2)/(2*DIST2(Y308,Z308,W308,X308) * DIST2(Y308,Z308,U308,V308)))</f>
        <v>0.75078138383190629</v>
      </c>
      <c r="J308" s="12">
        <f t="shared" ref="J308:J314" si="491">DIST2(U308,V308,W308,X308)</f>
        <v>15.899328602176887</v>
      </c>
      <c r="K308" s="13">
        <f t="shared" ref="K308:K314" si="492">E308/D308</f>
        <v>2.843630872247881E-2</v>
      </c>
      <c r="L308" s="13">
        <f t="shared" ref="L308:L314" si="493">F308*180/PI()</f>
        <v>48.463024290874579</v>
      </c>
      <c r="M308" s="13">
        <f t="shared" ref="M308:M314" si="494">G308/D308</f>
        <v>8.0121330400511281E-4</v>
      </c>
      <c r="N308" s="13">
        <f t="shared" ref="N308:N314" si="495">H308/D308</f>
        <v>1.2075705320111112E-2</v>
      </c>
      <c r="O308" s="13">
        <f t="shared" ref="O308:O314" si="496">I308*180/PI()</f>
        <v>43.016604630559733</v>
      </c>
      <c r="P308" s="13">
        <f t="shared" ref="P308:P314" si="497">J308/D308</f>
        <v>1.027088410993339E-2</v>
      </c>
      <c r="Q308" s="51">
        <v>481.642</v>
      </c>
      <c r="R308" s="51">
        <v>118.79300000000001</v>
      </c>
      <c r="S308" s="51">
        <v>478.18099999999998</v>
      </c>
      <c r="T308" s="51">
        <v>100.423</v>
      </c>
      <c r="U308" s="51">
        <v>441.57299999999998</v>
      </c>
      <c r="V308" s="51">
        <v>126.248</v>
      </c>
      <c r="W308" s="51">
        <v>438.37799999999999</v>
      </c>
      <c r="X308" s="51">
        <v>110.673</v>
      </c>
      <c r="Y308" s="51">
        <v>459.77100000000002</v>
      </c>
      <c r="Z308" s="51">
        <v>114.58</v>
      </c>
      <c r="AA308" s="51">
        <v>459.69099999999997</v>
      </c>
      <c r="AB308" s="51">
        <v>113.956</v>
      </c>
      <c r="AC308" s="51">
        <v>459.87200000000001</v>
      </c>
      <c r="AD308" s="51">
        <v>115.18300000000001</v>
      </c>
      <c r="AG308" s="14" t="s">
        <v>224</v>
      </c>
      <c r="AH308" s="14" t="s">
        <v>225</v>
      </c>
      <c r="AI308" s="14" t="s">
        <v>224</v>
      </c>
      <c r="AJ308" s="55">
        <v>6.6918285409530806E-5</v>
      </c>
      <c r="AK308" s="55">
        <v>8.0788805802602595E-5</v>
      </c>
      <c r="AL308" s="55">
        <v>6.4045388231209402E-5</v>
      </c>
      <c r="AM308" s="55">
        <v>7.2847914747043794E-5</v>
      </c>
      <c r="AN308" s="51">
        <v>0.92678897035248098</v>
      </c>
    </row>
    <row r="309" spans="1:40" x14ac:dyDescent="0.35">
      <c r="A309" s="51" t="s">
        <v>175</v>
      </c>
      <c r="B309" s="14">
        <v>1</v>
      </c>
      <c r="C309" s="51">
        <v>40</v>
      </c>
      <c r="D309" s="14">
        <v>1548</v>
      </c>
      <c r="E309" s="12">
        <f t="shared" si="486"/>
        <v>48.483439568681575</v>
      </c>
      <c r="F309" s="12">
        <f t="shared" si="487"/>
        <v>0.95433868027720026</v>
      </c>
      <c r="G309" s="12">
        <f t="shared" si="488"/>
        <v>2.3035969721285863</v>
      </c>
      <c r="H309" s="12">
        <f t="shared" si="489"/>
        <v>23.018833867292233</v>
      </c>
      <c r="I309" s="12">
        <f t="shared" si="490"/>
        <v>0.85409092584171276</v>
      </c>
      <c r="J309" s="12">
        <f t="shared" si="491"/>
        <v>19.561757450699549</v>
      </c>
      <c r="K309" s="13">
        <f t="shared" si="492"/>
        <v>3.1320051400957089E-2</v>
      </c>
      <c r="L309" s="13">
        <f t="shared" si="493"/>
        <v>54.67957860596843</v>
      </c>
      <c r="M309" s="13">
        <f t="shared" si="494"/>
        <v>1.4881117391011538E-3</v>
      </c>
      <c r="N309" s="13">
        <f t="shared" si="495"/>
        <v>1.4870047717889039E-2</v>
      </c>
      <c r="O309" s="13">
        <f t="shared" si="496"/>
        <v>48.935805371151119</v>
      </c>
      <c r="P309" s="13">
        <f t="shared" si="497"/>
        <v>1.2636794218798158E-2</v>
      </c>
      <c r="Q309" s="51">
        <v>653.67700000000002</v>
      </c>
      <c r="R309" s="51">
        <v>94.901899999999998</v>
      </c>
      <c r="S309" s="51">
        <v>651.21600000000001</v>
      </c>
      <c r="T309" s="51">
        <v>72.015000000000001</v>
      </c>
      <c r="U309" s="51">
        <v>610.73299999999995</v>
      </c>
      <c r="V309" s="51">
        <v>98.962400000000002</v>
      </c>
      <c r="W309" s="51">
        <v>607.65700000000004</v>
      </c>
      <c r="X309" s="51">
        <v>79.644000000000005</v>
      </c>
      <c r="Y309" s="51">
        <v>630.57100000000003</v>
      </c>
      <c r="Z309" s="51">
        <v>87.403800000000004</v>
      </c>
      <c r="AA309" s="51">
        <v>630.52599999999995</v>
      </c>
      <c r="AB309" s="51">
        <v>86.270099999999999</v>
      </c>
      <c r="AC309" s="51">
        <v>630.77499999999998</v>
      </c>
      <c r="AD309" s="51">
        <v>88.560199999999995</v>
      </c>
      <c r="AG309" s="14" t="s">
        <v>224</v>
      </c>
      <c r="AH309" s="14" t="s">
        <v>225</v>
      </c>
      <c r="AI309" s="14" t="s">
        <v>224</v>
      </c>
      <c r="AJ309" s="55">
        <v>8.7383043386815801E-5</v>
      </c>
      <c r="AK309" s="51">
        <v>1.06491473389854E-4</v>
      </c>
      <c r="AL309" s="55">
        <v>7.6228127942030901E-5</v>
      </c>
      <c r="AM309" s="55">
        <v>9.6626699054042997E-5</v>
      </c>
      <c r="AN309" s="51">
        <v>0.89158095591898301</v>
      </c>
    </row>
    <row r="310" spans="1:40" x14ac:dyDescent="0.35">
      <c r="A310" s="51" t="s">
        <v>175</v>
      </c>
      <c r="B310" s="14">
        <v>1</v>
      </c>
      <c r="C310" s="51">
        <v>50</v>
      </c>
      <c r="D310" s="14">
        <v>1548</v>
      </c>
      <c r="E310" s="12">
        <f t="shared" si="486"/>
        <v>49.595156983721658</v>
      </c>
      <c r="F310" s="12">
        <f t="shared" si="487"/>
        <v>0.9372229254116814</v>
      </c>
      <c r="G310" s="12">
        <f t="shared" si="488"/>
        <v>2.8641423236285029</v>
      </c>
      <c r="H310" s="12">
        <f t="shared" si="489"/>
        <v>22.817632945816271</v>
      </c>
      <c r="I310" s="12">
        <f t="shared" si="490"/>
        <v>1.0055740198004341</v>
      </c>
      <c r="J310" s="12">
        <f t="shared" si="491"/>
        <v>23.519058275364682</v>
      </c>
      <c r="K310" s="13">
        <f t="shared" si="492"/>
        <v>3.2038215105763344E-2</v>
      </c>
      <c r="L310" s="13">
        <f t="shared" si="493"/>
        <v>53.6989180889937</v>
      </c>
      <c r="M310" s="13">
        <f t="shared" si="494"/>
        <v>1.8502211392948985E-3</v>
      </c>
      <c r="N310" s="13">
        <f t="shared" si="495"/>
        <v>1.4740072962413612E-2</v>
      </c>
      <c r="O310" s="13">
        <f t="shared" si="496"/>
        <v>57.615147322569555</v>
      </c>
      <c r="P310" s="13">
        <f t="shared" si="497"/>
        <v>1.5193190100364781E-2</v>
      </c>
      <c r="Q310" s="51">
        <v>792.44299999999998</v>
      </c>
      <c r="R310" s="51">
        <v>76.597800000000007</v>
      </c>
      <c r="S310" s="51">
        <v>789.274</v>
      </c>
      <c r="T310" s="51">
        <v>54.001300000000001</v>
      </c>
      <c r="U310" s="51">
        <v>749.04100000000005</v>
      </c>
      <c r="V310" s="51">
        <v>83.211399999999998</v>
      </c>
      <c r="W310" s="51">
        <v>745.73400000000004</v>
      </c>
      <c r="X310" s="51">
        <v>59.926000000000002</v>
      </c>
      <c r="Y310" s="51">
        <v>768.55899999999997</v>
      </c>
      <c r="Z310" s="51">
        <v>68.562899999999999</v>
      </c>
      <c r="AA310" s="51">
        <v>768.46799999999996</v>
      </c>
      <c r="AB310" s="51">
        <v>67.191299999999998</v>
      </c>
      <c r="AC310" s="51">
        <v>768.87900000000002</v>
      </c>
      <c r="AD310" s="51">
        <v>70.025800000000004</v>
      </c>
      <c r="AG310" s="14" t="s">
        <v>224</v>
      </c>
      <c r="AH310" s="14" t="s">
        <v>225</v>
      </c>
      <c r="AI310" s="14" t="s">
        <v>224</v>
      </c>
      <c r="AJ310" s="51">
        <v>1.0493806852135601E-4</v>
      </c>
      <c r="AK310" s="51">
        <v>1.07296947277975E-4</v>
      </c>
      <c r="AL310" s="55">
        <v>9.2033568028096406E-5</v>
      </c>
      <c r="AM310" s="55">
        <v>9.4108112284584694E-5</v>
      </c>
      <c r="AN310" s="51">
        <v>0.87705452190169697</v>
      </c>
    </row>
    <row r="311" spans="1:40" x14ac:dyDescent="0.35">
      <c r="A311" s="51" t="s">
        <v>175</v>
      </c>
      <c r="B311" s="14">
        <v>1</v>
      </c>
      <c r="C311" s="51">
        <v>60</v>
      </c>
      <c r="D311" s="14">
        <v>1548</v>
      </c>
      <c r="E311" s="12">
        <f t="shared" si="486"/>
        <v>50.045501931342407</v>
      </c>
      <c r="F311" s="12">
        <f t="shared" si="487"/>
        <v>0.92596224162562135</v>
      </c>
      <c r="G311" s="12">
        <f t="shared" si="488"/>
        <v>2.7689045505397991</v>
      </c>
      <c r="H311" s="12">
        <f t="shared" si="489"/>
        <v>22.287039306287401</v>
      </c>
      <c r="I311" s="12">
        <f t="shared" si="490"/>
        <v>0.97966855353772531</v>
      </c>
      <c r="J311" s="12">
        <f t="shared" si="491"/>
        <v>23.515628965434878</v>
      </c>
      <c r="K311" s="13">
        <f t="shared" si="492"/>
        <v>3.2329135614562278E-2</v>
      </c>
      <c r="L311" s="13">
        <f t="shared" si="493"/>
        <v>53.053728433621053</v>
      </c>
      <c r="M311" s="13">
        <f t="shared" si="494"/>
        <v>1.7886980300644698E-3</v>
      </c>
      <c r="N311" s="13">
        <f t="shared" si="495"/>
        <v>1.4397312213363954E-2</v>
      </c>
      <c r="O311" s="13">
        <f t="shared" si="496"/>
        <v>56.130873439397796</v>
      </c>
      <c r="P311" s="13">
        <f t="shared" si="497"/>
        <v>1.5190974783872661E-2</v>
      </c>
      <c r="Q311" s="51">
        <v>931.75699999999995</v>
      </c>
      <c r="R311" s="51">
        <v>54.564700000000002</v>
      </c>
      <c r="S311" s="51">
        <v>929.47400000000005</v>
      </c>
      <c r="T311" s="51">
        <v>32.3949</v>
      </c>
      <c r="U311" s="51">
        <v>888.06899999999996</v>
      </c>
      <c r="V311" s="51">
        <v>60.107100000000003</v>
      </c>
      <c r="W311" s="51">
        <v>884.97199999999998</v>
      </c>
      <c r="X311" s="51">
        <v>36.796300000000002</v>
      </c>
      <c r="Y311" s="51">
        <v>908.42499999999995</v>
      </c>
      <c r="Z311" s="51">
        <v>45.916800000000002</v>
      </c>
      <c r="AA311" s="51">
        <v>908.37900000000002</v>
      </c>
      <c r="AB311" s="51">
        <v>44.577199999999998</v>
      </c>
      <c r="AC311" s="51">
        <v>908.57299999999998</v>
      </c>
      <c r="AD311" s="51">
        <v>47.339300000000001</v>
      </c>
      <c r="AG311" s="14" t="s">
        <v>224</v>
      </c>
      <c r="AH311" s="14" t="s">
        <v>225</v>
      </c>
      <c r="AI311" s="14" t="s">
        <v>224</v>
      </c>
      <c r="AJ311" s="51">
        <v>1.0817951393061999E-4</v>
      </c>
      <c r="AK311" s="51">
        <v>1.0381041343252E-4</v>
      </c>
      <c r="AL311" s="55">
        <v>9.2675694903484706E-5</v>
      </c>
      <c r="AM311" s="55">
        <v>9.3746282107779404E-5</v>
      </c>
      <c r="AN311" s="51">
        <v>0.87939073016390401</v>
      </c>
    </row>
    <row r="312" spans="1:40" x14ac:dyDescent="0.35">
      <c r="A312" s="51" t="s">
        <v>175</v>
      </c>
      <c r="B312" s="14">
        <v>1</v>
      </c>
      <c r="C312" s="51">
        <v>70</v>
      </c>
      <c r="D312" s="14">
        <v>1548</v>
      </c>
      <c r="E312" s="12">
        <f t="shared" si="486"/>
        <v>49.341647752076504</v>
      </c>
      <c r="F312" s="12">
        <f t="shared" si="487"/>
        <v>0.93065498656300338</v>
      </c>
      <c r="G312" s="12">
        <f t="shared" si="488"/>
        <v>2.8387403703051075</v>
      </c>
      <c r="H312" s="12">
        <f t="shared" si="489"/>
        <v>21.806866718765441</v>
      </c>
      <c r="I312" s="12">
        <f t="shared" si="490"/>
        <v>0.93434350283216605</v>
      </c>
      <c r="J312" s="12">
        <f t="shared" si="491"/>
        <v>23.103978012454927</v>
      </c>
      <c r="K312" s="13">
        <f t="shared" si="492"/>
        <v>3.1874449452245802E-2</v>
      </c>
      <c r="L312" s="13">
        <f t="shared" si="493"/>
        <v>53.322602912864433</v>
      </c>
      <c r="M312" s="13">
        <f t="shared" si="494"/>
        <v>1.8338116087242297E-3</v>
      </c>
      <c r="N312" s="13">
        <f t="shared" si="495"/>
        <v>1.4087123203336849E-2</v>
      </c>
      <c r="O312" s="13">
        <f t="shared" si="496"/>
        <v>53.53393932775279</v>
      </c>
      <c r="P312" s="13">
        <f t="shared" si="497"/>
        <v>1.4925050395642719E-2</v>
      </c>
      <c r="Q312" s="51">
        <v>1115.75</v>
      </c>
      <c r="R312" s="51">
        <v>55.289099999999998</v>
      </c>
      <c r="S312" s="51">
        <v>1119.02</v>
      </c>
      <c r="T312" s="51">
        <v>33.7288</v>
      </c>
      <c r="U312" s="51">
        <v>1071.6199999999999</v>
      </c>
      <c r="V312" s="51">
        <v>51.220799999999997</v>
      </c>
      <c r="W312" s="51">
        <v>1074.45</v>
      </c>
      <c r="X312" s="51">
        <v>28.290800000000001</v>
      </c>
      <c r="Y312" s="51">
        <v>1095.81</v>
      </c>
      <c r="Z312" s="51">
        <v>42.140700000000002</v>
      </c>
      <c r="AA312" s="51">
        <v>1095.8599999999999</v>
      </c>
      <c r="AB312" s="51">
        <v>40.763500000000001</v>
      </c>
      <c r="AC312" s="51">
        <v>1095.81</v>
      </c>
      <c r="AD312" s="51">
        <v>43.601799999999997</v>
      </c>
      <c r="AG312" s="14" t="s">
        <v>224</v>
      </c>
      <c r="AH312" s="14" t="s">
        <v>225</v>
      </c>
      <c r="AI312" s="14" t="s">
        <v>224</v>
      </c>
      <c r="AJ312" s="51">
        <v>1.1037414639378E-4</v>
      </c>
      <c r="AK312" s="55">
        <v>9.8674385637214799E-5</v>
      </c>
      <c r="AL312" s="55">
        <v>9.0689379769845805E-5</v>
      </c>
      <c r="AM312" s="55">
        <v>9.1699688144742894E-5</v>
      </c>
      <c r="AN312" s="51">
        <v>0.87247236870119105</v>
      </c>
    </row>
    <row r="313" spans="1:40" x14ac:dyDescent="0.35">
      <c r="A313" s="51" t="s">
        <v>175</v>
      </c>
      <c r="B313" s="14">
        <v>1</v>
      </c>
      <c r="C313" s="51">
        <v>80</v>
      </c>
      <c r="D313" s="14">
        <v>1548</v>
      </c>
      <c r="E313" s="12">
        <f t="shared" si="486"/>
        <v>52.908498759651188</v>
      </c>
      <c r="F313" s="12">
        <f t="shared" si="487"/>
        <v>0.75248331870789487</v>
      </c>
      <c r="G313" s="12">
        <f t="shared" si="488"/>
        <v>1.1076125856995862</v>
      </c>
      <c r="H313" s="12">
        <f t="shared" si="489"/>
        <v>19.659048512326265</v>
      </c>
      <c r="I313" s="12">
        <f t="shared" si="490"/>
        <v>0.88166544192793439</v>
      </c>
      <c r="J313" s="12">
        <f t="shared" si="491"/>
        <v>22.689771002810939</v>
      </c>
      <c r="K313" s="13">
        <f t="shared" si="492"/>
        <v>3.417861676980051E-2</v>
      </c>
      <c r="L313" s="13">
        <f t="shared" si="493"/>
        <v>43.114118315959992</v>
      </c>
      <c r="M313" s="13">
        <f t="shared" si="494"/>
        <v>7.1551200626588252E-4</v>
      </c>
      <c r="N313" s="13">
        <f t="shared" si="495"/>
        <v>1.2699643741812833E-2</v>
      </c>
      <c r="O313" s="13">
        <f t="shared" si="496"/>
        <v>50.515708765007211</v>
      </c>
      <c r="P313" s="13">
        <f t="shared" si="497"/>
        <v>1.4657474808017403E-2</v>
      </c>
      <c r="Q313" s="51">
        <v>1258.43</v>
      </c>
      <c r="R313" s="51">
        <v>90.471599999999995</v>
      </c>
      <c r="S313" s="51">
        <v>1265.3599999999999</v>
      </c>
      <c r="T313" s="51">
        <v>72.0745</v>
      </c>
      <c r="U313" s="51">
        <v>1211.8699999999999</v>
      </c>
      <c r="V313" s="51">
        <v>76.602999999999994</v>
      </c>
      <c r="W313" s="51">
        <v>1219.0899999999999</v>
      </c>
      <c r="X313" s="51">
        <v>55.092599999999997</v>
      </c>
      <c r="Y313" s="51">
        <v>1238.28</v>
      </c>
      <c r="Z313" s="51">
        <v>73.488</v>
      </c>
      <c r="AA313" s="51">
        <v>1238.3800000000001</v>
      </c>
      <c r="AB313" s="51">
        <v>72.968299999999999</v>
      </c>
      <c r="AC313" s="51">
        <v>1238.1099999999999</v>
      </c>
      <c r="AD313" s="51">
        <v>74.042500000000004</v>
      </c>
      <c r="AG313" s="14" t="s">
        <v>224</v>
      </c>
      <c r="AH313" s="14" t="s">
        <v>225</v>
      </c>
      <c r="AI313" s="14" t="s">
        <v>224</v>
      </c>
      <c r="AJ313" s="51">
        <v>1.13841850616617E-4</v>
      </c>
      <c r="AK313" s="51">
        <v>1.0190650122021201E-4</v>
      </c>
      <c r="AL313" s="51">
        <v>1.00807106277E-4</v>
      </c>
      <c r="AM313" s="51">
        <v>1.04228801521008E-4</v>
      </c>
      <c r="AN313" s="51">
        <v>0.95034750463854101</v>
      </c>
    </row>
    <row r="314" spans="1:40" x14ac:dyDescent="0.35">
      <c r="A314" s="51" t="s">
        <v>175</v>
      </c>
      <c r="B314" s="14">
        <v>1</v>
      </c>
      <c r="C314" s="51">
        <v>90</v>
      </c>
      <c r="D314" s="14">
        <v>1548</v>
      </c>
      <c r="E314" s="12">
        <f t="shared" si="486"/>
        <v>55.960709654184996</v>
      </c>
      <c r="F314" s="12">
        <f t="shared" si="487"/>
        <v>0.77342696329722926</v>
      </c>
      <c r="G314" s="12">
        <f t="shared" si="488"/>
        <v>1.6174204771796203</v>
      </c>
      <c r="H314" s="12">
        <f t="shared" si="489"/>
        <v>20.804171312503737</v>
      </c>
      <c r="I314" s="12">
        <f t="shared" si="490"/>
        <v>0.76341346623213024</v>
      </c>
      <c r="J314" s="12">
        <f t="shared" si="491"/>
        <v>21.694248661799758</v>
      </c>
      <c r="K314" s="13">
        <f t="shared" si="492"/>
        <v>3.6150329233969637E-2</v>
      </c>
      <c r="L314" s="13">
        <f t="shared" si="493"/>
        <v>44.314100758550858</v>
      </c>
      <c r="M314" s="13">
        <f t="shared" si="494"/>
        <v>1.0448452694958787E-3</v>
      </c>
      <c r="N314" s="13">
        <f t="shared" si="495"/>
        <v>1.3439387152780192E-2</v>
      </c>
      <c r="O314" s="13">
        <f t="shared" si="496"/>
        <v>43.740369638554057</v>
      </c>
      <c r="P314" s="13">
        <f t="shared" si="497"/>
        <v>1.401437252054248E-2</v>
      </c>
      <c r="Q314" s="51">
        <v>1404.12</v>
      </c>
      <c r="R314" s="51">
        <v>158.17500000000001</v>
      </c>
      <c r="S314" s="51">
        <v>1413.71</v>
      </c>
      <c r="T314" s="51">
        <v>139.71299999999999</v>
      </c>
      <c r="U314" s="51">
        <v>1356.54</v>
      </c>
      <c r="V314" s="51">
        <v>135.27500000000001</v>
      </c>
      <c r="W314" s="51">
        <v>1367.02</v>
      </c>
      <c r="X314" s="51">
        <v>116.28</v>
      </c>
      <c r="Y314" s="51">
        <v>1386.19</v>
      </c>
      <c r="Z314" s="51">
        <v>137.279</v>
      </c>
      <c r="AA314" s="51">
        <v>1386.31</v>
      </c>
      <c r="AB314" s="51">
        <v>136.41200000000001</v>
      </c>
      <c r="AC314" s="51">
        <v>1386.03</v>
      </c>
      <c r="AD314" s="51">
        <v>138.005</v>
      </c>
      <c r="AG314" s="14" t="s">
        <v>224</v>
      </c>
      <c r="AH314" s="14" t="s">
        <v>225</v>
      </c>
      <c r="AI314" s="14" t="s">
        <v>224</v>
      </c>
      <c r="AJ314" s="51">
        <v>1.21896819017955E-4</v>
      </c>
      <c r="AK314" s="51">
        <v>1.1088248819849199E-4</v>
      </c>
      <c r="AL314" s="51">
        <v>1.13806011257337E-4</v>
      </c>
      <c r="AM314" s="51">
        <v>1.0181106195207301E-4</v>
      </c>
      <c r="AN314" s="51">
        <v>0.92627251016311696</v>
      </c>
    </row>
    <row r="315" spans="1:40" x14ac:dyDescent="0.35">
      <c r="A315" s="51" t="s">
        <v>177</v>
      </c>
      <c r="B315" s="14">
        <v>1</v>
      </c>
      <c r="C315" s="51">
        <v>30</v>
      </c>
      <c r="D315" s="14">
        <v>1003</v>
      </c>
      <c r="E315" s="12">
        <f t="shared" ref="E315:E321" si="498">DIST2(Q315,R315,W315,X315)</f>
        <v>24.137456079711477</v>
      </c>
      <c r="F315" s="12">
        <f t="shared" ref="F315:F321" si="499">ACOS((DIST2(Y315,Z315,S315,T315)^2 + DIST2(Y315,Z315,Q315,R315)^2 - DIST2(Q315,R315,S315,T315)^2)/(2*DIST2(Y315,Z315,S315,T315) * DIST2(Y315,Z315,Q315,R315)))</f>
        <v>1.5673820441472686</v>
      </c>
      <c r="G315" s="12">
        <f t="shared" ref="G315:G321" si="500">DIST2(AA315,AB315,AC315,AD315)</f>
        <v>2.9917418020277</v>
      </c>
      <c r="H315" s="12">
        <f t="shared" ref="H315:H321" si="501">DIST2(Q315,R315,S315,T315)</f>
        <v>16.605366894170093</v>
      </c>
      <c r="I315" s="12">
        <f t="shared" ref="I315:I321" si="502">ACOS((DIST2(Y315,Z315,W315,X315)^2 + DIST2(Y315,Z315,U315,V315)^2 - DIST2(U315,V315,W315,X315)^2)/(2*DIST2(Y315,Z315,W315,X315) * DIST2(Y315,Z315,U315,V315)))</f>
        <v>1.6287908581055783</v>
      </c>
      <c r="J315" s="12">
        <f t="shared" ref="J315:J321" si="503">DIST2(U315,V315,W315,X315)</f>
        <v>17.706721603955945</v>
      </c>
      <c r="K315" s="13">
        <f t="shared" ref="K315:K321" si="504">E315/D315</f>
        <v>2.4065260298815033E-2</v>
      </c>
      <c r="L315" s="13">
        <f t="shared" ref="L315:L321" si="505">F315*180/PI()</f>
        <v>89.804376014226165</v>
      </c>
      <c r="M315" s="13">
        <f t="shared" ref="M315:M321" si="506">G315/D315</f>
        <v>2.9827934217624128E-3</v>
      </c>
      <c r="N315" s="13">
        <f t="shared" ref="N315:N321" si="507">H315/D315</f>
        <v>1.6555699794785734E-2</v>
      </c>
      <c r="O315" s="13">
        <f t="shared" ref="O315:O321" si="508">I315*180/PI()</f>
        <v>93.322841878941375</v>
      </c>
      <c r="P315" s="13">
        <f t="shared" ref="P315:P321" si="509">J315/D315</f>
        <v>1.7653760322986985E-2</v>
      </c>
      <c r="Q315" s="51">
        <v>312.86900000000003</v>
      </c>
      <c r="R315" s="51">
        <v>-74.454899999999995</v>
      </c>
      <c r="S315" s="51">
        <v>313.71699999999998</v>
      </c>
      <c r="T315" s="51">
        <v>-91.038600000000002</v>
      </c>
      <c r="U315" s="51">
        <v>296.053</v>
      </c>
      <c r="V315" s="51">
        <v>-75.226299999999995</v>
      </c>
      <c r="W315" s="51">
        <v>297.28800000000001</v>
      </c>
      <c r="X315" s="51">
        <v>-92.889899999999997</v>
      </c>
      <c r="Y315" s="51">
        <v>304.96899999999999</v>
      </c>
      <c r="Z315" s="51">
        <v>-83.090100000000007</v>
      </c>
      <c r="AA315" s="51">
        <v>305.113</v>
      </c>
      <c r="AB315" s="51">
        <v>-84.447599999999994</v>
      </c>
      <c r="AC315" s="51">
        <v>304.79599999999999</v>
      </c>
      <c r="AD315" s="51">
        <v>-81.472700000000003</v>
      </c>
      <c r="AG315" s="14" t="s">
        <v>224</v>
      </c>
      <c r="AH315" s="14" t="s">
        <v>223</v>
      </c>
      <c r="AI315" s="14" t="s">
        <v>224</v>
      </c>
      <c r="AJ315" s="55">
        <v>7.3447088743738801E-5</v>
      </c>
      <c r="AK315" s="55">
        <v>6.8753798226457396E-5</v>
      </c>
      <c r="AL315" s="55">
        <v>5.5558057929899402E-5</v>
      </c>
      <c r="AM315" s="55">
        <v>6.1735095908684699E-5</v>
      </c>
      <c r="AN315" s="51">
        <v>0.82484122523910497</v>
      </c>
    </row>
    <row r="316" spans="1:40" x14ac:dyDescent="0.35">
      <c r="A316" s="51" t="s">
        <v>177</v>
      </c>
      <c r="B316" s="14">
        <v>1</v>
      </c>
      <c r="C316" s="51">
        <v>40</v>
      </c>
      <c r="D316" s="14">
        <v>1003</v>
      </c>
      <c r="E316" s="12">
        <f t="shared" si="498"/>
        <v>22.767133773050993</v>
      </c>
      <c r="F316" s="12">
        <f t="shared" si="499"/>
        <v>1.5328669438525777</v>
      </c>
      <c r="G316" s="12">
        <f t="shared" si="500"/>
        <v>3.491100000000003</v>
      </c>
      <c r="H316" s="12">
        <f t="shared" si="501"/>
        <v>15.65694235922199</v>
      </c>
      <c r="I316" s="12">
        <f t="shared" si="502"/>
        <v>1.4932983875468682</v>
      </c>
      <c r="J316" s="12">
        <f t="shared" si="503"/>
        <v>16.004440524117044</v>
      </c>
      <c r="K316" s="13">
        <f t="shared" si="504"/>
        <v>2.2699036663061809E-2</v>
      </c>
      <c r="L316" s="13">
        <f t="shared" si="505"/>
        <v>87.826806437869635</v>
      </c>
      <c r="M316" s="13">
        <f t="shared" si="506"/>
        <v>3.4806580259222363E-3</v>
      </c>
      <c r="N316" s="13">
        <f t="shared" si="507"/>
        <v>1.5610112023152533E-2</v>
      </c>
      <c r="O316" s="13">
        <f t="shared" si="508"/>
        <v>85.559695160126708</v>
      </c>
      <c r="P316" s="13">
        <f t="shared" si="509"/>
        <v>1.5956570811681999E-2</v>
      </c>
      <c r="Q316" s="51">
        <v>421.512</v>
      </c>
      <c r="R316" s="51">
        <v>-74.888300000000001</v>
      </c>
      <c r="S316" s="51">
        <v>421.25299999999999</v>
      </c>
      <c r="T316" s="51">
        <v>-90.543099999999995</v>
      </c>
      <c r="U316" s="51">
        <v>404.47300000000001</v>
      </c>
      <c r="V316" s="51">
        <v>-74.369399999999999</v>
      </c>
      <c r="W316" s="51">
        <v>404.81900000000002</v>
      </c>
      <c r="X316" s="51">
        <v>-90.370099999999994</v>
      </c>
      <c r="Y316" s="51">
        <v>413.28500000000003</v>
      </c>
      <c r="Z316" s="51">
        <v>-81.985600000000005</v>
      </c>
      <c r="AA316" s="51">
        <v>413.31299999999999</v>
      </c>
      <c r="AB316" s="51">
        <v>-83.647999999999996</v>
      </c>
      <c r="AC316" s="51">
        <v>413.31299999999999</v>
      </c>
      <c r="AD316" s="51">
        <v>-80.156899999999993</v>
      </c>
      <c r="AG316" s="14" t="s">
        <v>224</v>
      </c>
      <c r="AH316" s="14" t="s">
        <v>223</v>
      </c>
      <c r="AI316" s="14" t="s">
        <v>224</v>
      </c>
      <c r="AJ316" s="55">
        <v>6.8768253166721205E-5</v>
      </c>
      <c r="AK316" s="55">
        <v>6.3097764980233505E-5</v>
      </c>
      <c r="AL316" s="55">
        <v>4.6732254134903299E-5</v>
      </c>
      <c r="AM316" s="55">
        <v>5.5635910513722902E-5</v>
      </c>
      <c r="AN316" s="51">
        <v>0.77630435867521697</v>
      </c>
    </row>
    <row r="317" spans="1:40" x14ac:dyDescent="0.35">
      <c r="A317" s="51" t="s">
        <v>177</v>
      </c>
      <c r="B317" s="14">
        <v>1</v>
      </c>
      <c r="C317" s="51">
        <v>50</v>
      </c>
      <c r="D317" s="14">
        <v>1003</v>
      </c>
      <c r="E317" s="12">
        <f t="shared" si="498"/>
        <v>23.487856117789867</v>
      </c>
      <c r="F317" s="12">
        <f t="shared" si="499"/>
        <v>1.6509587493788662</v>
      </c>
      <c r="G317" s="12">
        <f t="shared" si="500"/>
        <v>2.6616011797412518</v>
      </c>
      <c r="H317" s="12">
        <f t="shared" si="501"/>
        <v>17.761484212756542</v>
      </c>
      <c r="I317" s="12">
        <f t="shared" si="502"/>
        <v>1.7216067933023906</v>
      </c>
      <c r="J317" s="12">
        <f t="shared" si="503"/>
        <v>17.285605803673764</v>
      </c>
      <c r="K317" s="13">
        <f t="shared" si="504"/>
        <v>2.3417603307866269E-2</v>
      </c>
      <c r="L317" s="13">
        <f t="shared" si="505"/>
        <v>94.592968489605653</v>
      </c>
      <c r="M317" s="13">
        <f t="shared" si="506"/>
        <v>2.6536402589643587E-3</v>
      </c>
      <c r="N317" s="13">
        <f t="shared" si="507"/>
        <v>1.7708359135350491E-2</v>
      </c>
      <c r="O317" s="13">
        <f t="shared" si="508"/>
        <v>98.640803237278476</v>
      </c>
      <c r="P317" s="13">
        <f t="shared" si="509"/>
        <v>1.7233904091399566E-2</v>
      </c>
      <c r="Q317" s="51">
        <v>522.55999999999995</v>
      </c>
      <c r="R317" s="51">
        <v>-81.528499999999994</v>
      </c>
      <c r="S317" s="51">
        <v>520.476</v>
      </c>
      <c r="T317" s="51">
        <v>-99.167299999999997</v>
      </c>
      <c r="U317" s="51">
        <v>506.60500000000002</v>
      </c>
      <c r="V317" s="51">
        <v>-80.245599999999996</v>
      </c>
      <c r="W317" s="51">
        <v>505.32299999999998</v>
      </c>
      <c r="X317" s="51">
        <v>-97.483599999999996</v>
      </c>
      <c r="Y317" s="51">
        <v>513.36300000000006</v>
      </c>
      <c r="Z317" s="51">
        <v>-89.528899999999993</v>
      </c>
      <c r="AA317" s="51">
        <v>513.30200000000002</v>
      </c>
      <c r="AB317" s="51">
        <v>-90.872799999999998</v>
      </c>
      <c r="AC317" s="51">
        <v>513.45500000000004</v>
      </c>
      <c r="AD317" s="51">
        <v>-88.215599999999995</v>
      </c>
      <c r="AG317" s="14" t="s">
        <v>224</v>
      </c>
      <c r="AH317" s="14" t="s">
        <v>223</v>
      </c>
      <c r="AI317" s="14" t="s">
        <v>224</v>
      </c>
      <c r="AJ317" s="55">
        <v>6.3814336949272299E-5</v>
      </c>
      <c r="AK317" s="55">
        <v>7.2340908480937304E-5</v>
      </c>
      <c r="AL317" s="55">
        <v>5.8833213718763597E-5</v>
      </c>
      <c r="AM317" s="55">
        <v>5.6464551857886103E-5</v>
      </c>
      <c r="AN317" s="51">
        <v>0.84681104435120003</v>
      </c>
    </row>
    <row r="318" spans="1:40" x14ac:dyDescent="0.35">
      <c r="A318" s="51" t="s">
        <v>177</v>
      </c>
      <c r="B318" s="14">
        <v>1</v>
      </c>
      <c r="C318" s="51">
        <v>60</v>
      </c>
      <c r="D318" s="14">
        <v>1003</v>
      </c>
      <c r="E318" s="12">
        <f t="shared" si="498"/>
        <v>23.533436558437415</v>
      </c>
      <c r="F318" s="12">
        <f t="shared" si="499"/>
        <v>1.6134785972234151</v>
      </c>
      <c r="G318" s="12">
        <f t="shared" si="500"/>
        <v>2.9632031654950799</v>
      </c>
      <c r="H318" s="12">
        <f t="shared" si="501"/>
        <v>16.82150133757386</v>
      </c>
      <c r="I318" s="12">
        <f t="shared" si="502"/>
        <v>1.5790290530475071</v>
      </c>
      <c r="J318" s="12">
        <f t="shared" si="503"/>
        <v>16.663380396846261</v>
      </c>
      <c r="K318" s="13">
        <f t="shared" si="504"/>
        <v>2.3463047416188848E-2</v>
      </c>
      <c r="L318" s="13">
        <f t="shared" si="505"/>
        <v>92.445513955590144</v>
      </c>
      <c r="M318" s="13">
        <f t="shared" si="506"/>
        <v>2.9543401450599E-3</v>
      </c>
      <c r="N318" s="13">
        <f t="shared" si="507"/>
        <v>1.6771187774251108E-2</v>
      </c>
      <c r="O318" s="13">
        <f t="shared" si="508"/>
        <v>90.471700468161146</v>
      </c>
      <c r="P318" s="13">
        <f t="shared" si="509"/>
        <v>1.661353977751372E-2</v>
      </c>
      <c r="Q318" s="51">
        <v>623.55999999999995</v>
      </c>
      <c r="R318" s="51">
        <v>-94.542500000000004</v>
      </c>
      <c r="S318" s="51">
        <v>620.50900000000001</v>
      </c>
      <c r="T318" s="51">
        <v>-111.08499999999999</v>
      </c>
      <c r="U318" s="51">
        <v>607.5</v>
      </c>
      <c r="V318" s="51">
        <v>-91.892499999999998</v>
      </c>
      <c r="W318" s="51">
        <v>604.44799999999998</v>
      </c>
      <c r="X318" s="51">
        <v>-108.274</v>
      </c>
      <c r="Y318" s="51">
        <v>614.01800000000003</v>
      </c>
      <c r="Z318" s="51">
        <v>-101.97499999999999</v>
      </c>
      <c r="AA318" s="51">
        <v>613.83399999999995</v>
      </c>
      <c r="AB318" s="51">
        <v>-103.376</v>
      </c>
      <c r="AC318" s="51">
        <v>614.25599999999997</v>
      </c>
      <c r="AD318" s="51">
        <v>-100.443</v>
      </c>
      <c r="AG318" s="14" t="s">
        <v>224</v>
      </c>
      <c r="AH318" s="14" t="s">
        <v>223</v>
      </c>
      <c r="AI318" s="14" t="s">
        <v>224</v>
      </c>
      <c r="AJ318" s="55">
        <v>6.8362413755742105E-5</v>
      </c>
      <c r="AK318" s="55">
        <v>6.7182290367183106E-5</v>
      </c>
      <c r="AL318" s="55">
        <v>5.9352167823548099E-5</v>
      </c>
      <c r="AM318" s="55">
        <v>5.2211672062575999E-5</v>
      </c>
      <c r="AN318" s="51">
        <v>0.82307782224340598</v>
      </c>
    </row>
    <row r="319" spans="1:40" x14ac:dyDescent="0.35">
      <c r="A319" s="51" t="s">
        <v>177</v>
      </c>
      <c r="B319" s="14">
        <v>1</v>
      </c>
      <c r="C319" s="51">
        <v>70</v>
      </c>
      <c r="D319" s="14">
        <v>1003</v>
      </c>
      <c r="E319" s="12">
        <f t="shared" si="498"/>
        <v>22.0559430766404</v>
      </c>
      <c r="F319" s="12">
        <f t="shared" si="499"/>
        <v>1.570686500345025</v>
      </c>
      <c r="G319" s="12">
        <f t="shared" si="500"/>
        <v>3.1912944082300077</v>
      </c>
      <c r="H319" s="12">
        <f t="shared" si="501"/>
        <v>15.527795271705513</v>
      </c>
      <c r="I319" s="12">
        <f t="shared" si="502"/>
        <v>1.4548272264250002</v>
      </c>
      <c r="J319" s="12">
        <f t="shared" si="503"/>
        <v>15.169574614998284</v>
      </c>
      <c r="K319" s="13">
        <f t="shared" si="504"/>
        <v>2.1989973157168892E-2</v>
      </c>
      <c r="L319" s="13">
        <f t="shared" si="505"/>
        <v>89.993707407943461</v>
      </c>
      <c r="M319" s="13">
        <f t="shared" si="506"/>
        <v>3.1817491607477643E-3</v>
      </c>
      <c r="N319" s="13">
        <f t="shared" si="507"/>
        <v>1.5481351218051359E-2</v>
      </c>
      <c r="O319" s="13">
        <f t="shared" si="508"/>
        <v>83.355459994875901</v>
      </c>
      <c r="P319" s="13">
        <f t="shared" si="509"/>
        <v>1.512420200897137E-2</v>
      </c>
      <c r="Q319" s="51">
        <v>708.56299999999999</v>
      </c>
      <c r="R319" s="51">
        <v>-112.009</v>
      </c>
      <c r="S319" s="51">
        <v>705.46199999999999</v>
      </c>
      <c r="T319" s="51">
        <v>-127.224</v>
      </c>
      <c r="U319" s="51">
        <v>692.47500000000002</v>
      </c>
      <c r="V319" s="51">
        <v>-108.616</v>
      </c>
      <c r="W319" s="51">
        <v>689.76199999999994</v>
      </c>
      <c r="X319" s="51">
        <v>-123.541</v>
      </c>
      <c r="Y319" s="51">
        <v>699.45299999999997</v>
      </c>
      <c r="Z319" s="51">
        <v>-117.843</v>
      </c>
      <c r="AA319" s="51">
        <v>699.14</v>
      </c>
      <c r="AB319" s="51">
        <v>-119.28100000000001</v>
      </c>
      <c r="AC319" s="51">
        <v>699.92200000000003</v>
      </c>
      <c r="AD319" s="51">
        <v>-116.187</v>
      </c>
      <c r="AG319" s="14" t="s">
        <v>224</v>
      </c>
      <c r="AH319" s="14" t="s">
        <v>223</v>
      </c>
      <c r="AI319" s="14" t="s">
        <v>224</v>
      </c>
      <c r="AJ319" s="55">
        <v>6.4203948970635507E-5</v>
      </c>
      <c r="AK319" s="55">
        <v>5.9898776253492903E-5</v>
      </c>
      <c r="AL319" s="55">
        <v>4.7978982792400298E-5</v>
      </c>
      <c r="AM319" s="55">
        <v>5.0407687207569801E-5</v>
      </c>
      <c r="AN319" s="51">
        <v>0.79278412155965805</v>
      </c>
    </row>
    <row r="320" spans="1:40" x14ac:dyDescent="0.35">
      <c r="A320" s="51" t="s">
        <v>177</v>
      </c>
      <c r="B320" s="14">
        <v>1</v>
      </c>
      <c r="C320" s="51">
        <v>80</v>
      </c>
      <c r="D320" s="14">
        <v>1003</v>
      </c>
      <c r="E320" s="12">
        <f t="shared" si="498"/>
        <v>23.849145309633183</v>
      </c>
      <c r="F320" s="12">
        <f t="shared" si="499"/>
        <v>1.522074708771554</v>
      </c>
      <c r="G320" s="12">
        <f t="shared" si="500"/>
        <v>2.5888352593396093</v>
      </c>
      <c r="H320" s="12">
        <f t="shared" si="501"/>
        <v>15.257850471150908</v>
      </c>
      <c r="I320" s="12">
        <f t="shared" si="502"/>
        <v>1.3230482277116959</v>
      </c>
      <c r="J320" s="12">
        <f t="shared" si="503"/>
        <v>15.176399111778789</v>
      </c>
      <c r="K320" s="13">
        <f t="shared" si="504"/>
        <v>2.3777811874011151E-2</v>
      </c>
      <c r="L320" s="13">
        <f t="shared" si="505"/>
        <v>87.208456916213947</v>
      </c>
      <c r="M320" s="13">
        <f t="shared" si="506"/>
        <v>2.5810919833894408E-3</v>
      </c>
      <c r="N320" s="13">
        <f t="shared" si="507"/>
        <v>1.5212213829661923E-2</v>
      </c>
      <c r="O320" s="13">
        <f t="shared" si="508"/>
        <v>75.805079540143666</v>
      </c>
      <c r="P320" s="13">
        <f t="shared" si="509"/>
        <v>1.5131006093498295E-2</v>
      </c>
      <c r="Q320" s="51">
        <v>816.58299999999997</v>
      </c>
      <c r="R320" s="51">
        <v>-137.04300000000001</v>
      </c>
      <c r="S320" s="51">
        <v>812.68299999999999</v>
      </c>
      <c r="T320" s="51">
        <v>-151.79400000000001</v>
      </c>
      <c r="U320" s="51">
        <v>799.28800000000001</v>
      </c>
      <c r="V320" s="51">
        <v>-133.31200000000001</v>
      </c>
      <c r="W320" s="51">
        <v>795.38900000000001</v>
      </c>
      <c r="X320" s="51">
        <v>-147.97900000000001</v>
      </c>
      <c r="Y320" s="51">
        <v>806.95799999999997</v>
      </c>
      <c r="Z320" s="51">
        <v>-142.12700000000001</v>
      </c>
      <c r="AA320" s="51">
        <v>806.75800000000004</v>
      </c>
      <c r="AB320" s="51">
        <v>-143.32900000000001</v>
      </c>
      <c r="AC320" s="51">
        <v>807.21600000000001</v>
      </c>
      <c r="AD320" s="51">
        <v>-140.78100000000001</v>
      </c>
      <c r="AG320" s="14" t="s">
        <v>224</v>
      </c>
      <c r="AH320" s="14" t="s">
        <v>223</v>
      </c>
      <c r="AI320" s="14" t="s">
        <v>224</v>
      </c>
      <c r="AJ320" s="55">
        <v>7.2994165559154805E-5</v>
      </c>
      <c r="AK320" s="55">
        <v>6.0710577638967501E-5</v>
      </c>
      <c r="AL320" s="55">
        <v>4.95010417401831E-5</v>
      </c>
      <c r="AM320" s="55">
        <v>6.1525212498098996E-5</v>
      </c>
      <c r="AN320" s="51">
        <v>0.83038381124418703</v>
      </c>
    </row>
    <row r="321" spans="1:40" x14ac:dyDescent="0.35">
      <c r="A321" s="51" t="s">
        <v>177</v>
      </c>
      <c r="B321" s="14">
        <v>1</v>
      </c>
      <c r="C321" s="51">
        <v>90</v>
      </c>
      <c r="D321" s="14">
        <v>1003</v>
      </c>
      <c r="E321" s="12">
        <f t="shared" si="498"/>
        <v>24.771920091103084</v>
      </c>
      <c r="F321" s="12">
        <f t="shared" si="499"/>
        <v>1.3976166197121853</v>
      </c>
      <c r="G321" s="12">
        <f t="shared" si="500"/>
        <v>1.7488433320340788</v>
      </c>
      <c r="H321" s="12">
        <f t="shared" si="501"/>
        <v>14.838379999177784</v>
      </c>
      <c r="I321" s="12">
        <f t="shared" si="502"/>
        <v>1.3004460889320246</v>
      </c>
      <c r="J321" s="12">
        <f t="shared" si="503"/>
        <v>15.710894086588453</v>
      </c>
      <c r="K321" s="13">
        <f t="shared" si="504"/>
        <v>2.4697826611269277E-2</v>
      </c>
      <c r="L321" s="13">
        <f t="shared" si="505"/>
        <v>80.077533686848795</v>
      </c>
      <c r="M321" s="13">
        <f t="shared" si="506"/>
        <v>1.7436124945504276E-3</v>
      </c>
      <c r="N321" s="13">
        <f t="shared" si="507"/>
        <v>1.4793998005162297E-2</v>
      </c>
      <c r="O321" s="13">
        <f t="shared" si="508"/>
        <v>74.51007238009953</v>
      </c>
      <c r="P321" s="13">
        <f t="shared" si="509"/>
        <v>1.5663902379450104E-2</v>
      </c>
      <c r="Q321" s="51">
        <v>913.78599999999994</v>
      </c>
      <c r="R321" s="51">
        <v>-162.71899999999999</v>
      </c>
      <c r="S321" s="51">
        <v>909.54700000000003</v>
      </c>
      <c r="T321" s="51">
        <v>-176.93899999999999</v>
      </c>
      <c r="U321" s="51">
        <v>895.327</v>
      </c>
      <c r="V321" s="51">
        <v>-157.33199999999999</v>
      </c>
      <c r="W321" s="51">
        <v>890.99900000000002</v>
      </c>
      <c r="X321" s="51">
        <v>-172.435</v>
      </c>
      <c r="Y321" s="51">
        <v>903.18499999999995</v>
      </c>
      <c r="Z321" s="51">
        <v>-167.374</v>
      </c>
      <c r="AA321" s="51">
        <v>903.04200000000003</v>
      </c>
      <c r="AB321" s="51">
        <v>-168.19200000000001</v>
      </c>
      <c r="AC321" s="51">
        <v>903.36900000000003</v>
      </c>
      <c r="AD321" s="51">
        <v>-166.47399999999999</v>
      </c>
      <c r="AG321" s="14" t="s">
        <v>224</v>
      </c>
      <c r="AH321" s="14" t="s">
        <v>223</v>
      </c>
      <c r="AI321" s="14" t="s">
        <v>224</v>
      </c>
      <c r="AJ321" s="55">
        <v>8.0586331732618199E-5</v>
      </c>
      <c r="AK321" s="55">
        <v>6.51155581113093E-5</v>
      </c>
      <c r="AL321" s="55">
        <v>6.2340358784066194E-5</v>
      </c>
      <c r="AM321" s="55">
        <v>6.6073383041304705E-5</v>
      </c>
      <c r="AN321" s="51">
        <v>0.88134575305045604</v>
      </c>
    </row>
    <row r="322" spans="1:40" x14ac:dyDescent="0.35">
      <c r="A322" s="51" t="s">
        <v>179</v>
      </c>
      <c r="B322" s="14">
        <v>1</v>
      </c>
      <c r="C322" s="51">
        <v>30</v>
      </c>
      <c r="D322" s="14">
        <v>600</v>
      </c>
      <c r="E322" s="12">
        <f t="shared" ref="E322:E328" si="510">DIST2(Q322,R322,W322,X322)</f>
        <v>17.315664266784566</v>
      </c>
      <c r="F322" s="12">
        <f t="shared" ref="F322:F328" si="511">ACOS((DIST2(Y322,Z322,S322,T322)^2 + DIST2(Y322,Z322,Q322,R322)^2 - DIST2(Q322,R322,S322,T322)^2)/(2*DIST2(Y322,Z322,S322,T322) * DIST2(Y322,Z322,Q322,R322)))</f>
        <v>1.4301126006802984</v>
      </c>
      <c r="G322" s="12">
        <f t="shared" ref="G322:G328" si="512">DIST2(AA322,AB322,AC322,AD322)</f>
        <v>0</v>
      </c>
      <c r="H322" s="12">
        <f t="shared" ref="H322:H328" si="513">DIST2(Q322,R322,S322,T322)</f>
        <v>12.526101548366906</v>
      </c>
      <c r="I322" s="12">
        <f t="shared" ref="I322:I328" si="514">ACOS((DIST2(Y322,Z322,W322,X322)^2 + DIST2(Y322,Z322,U322,V322)^2 - DIST2(U322,V322,W322,X322)^2)/(2*DIST2(Y322,Z322,W322,X322) * DIST2(Y322,Z322,U322,V322)))</f>
        <v>1.859114625998143</v>
      </c>
      <c r="J322" s="12">
        <f t="shared" ref="J322:J328" si="515">DIST2(U322,V322,W322,X322)</f>
        <v>11.254016038730327</v>
      </c>
      <c r="K322" s="13">
        <f t="shared" ref="K322:K328" si="516">E322/D322</f>
        <v>2.8859440444640942E-2</v>
      </c>
      <c r="L322" s="13">
        <f t="shared" ref="L322:L328" si="517">F322*180/PI()</f>
        <v>81.939416247459121</v>
      </c>
      <c r="M322" s="13">
        <f t="shared" ref="M322:M328" si="518">G322/D322</f>
        <v>0</v>
      </c>
      <c r="N322" s="13">
        <f t="shared" ref="N322:N328" si="519">H322/D322</f>
        <v>2.0876835913944843E-2</v>
      </c>
      <c r="O322" s="13">
        <f t="shared" ref="O322:O328" si="520">I322*180/PI()</f>
        <v>106.51942170073612</v>
      </c>
      <c r="P322" s="13">
        <f t="shared" ref="P322:P328" si="521">J322/D322</f>
        <v>1.875669339788388E-2</v>
      </c>
      <c r="Q322" s="51">
        <v>217.923</v>
      </c>
      <c r="R322" s="51">
        <v>396.20600000000002</v>
      </c>
      <c r="S322" s="51">
        <v>213.577</v>
      </c>
      <c r="T322" s="51">
        <v>384.45800000000003</v>
      </c>
      <c r="U322" s="51">
        <v>206.97900000000001</v>
      </c>
      <c r="V322" s="51">
        <v>398.46</v>
      </c>
      <c r="W322" s="51">
        <v>202.63300000000001</v>
      </c>
      <c r="X322" s="51">
        <v>388.07900000000001</v>
      </c>
      <c r="Y322" s="51">
        <v>208.66900000000001</v>
      </c>
      <c r="Z322" s="51">
        <v>391.62</v>
      </c>
      <c r="AA322" s="51">
        <v>208.66900000000001</v>
      </c>
      <c r="AB322" s="51">
        <v>391.62</v>
      </c>
      <c r="AC322" s="51">
        <v>208.66900000000001</v>
      </c>
      <c r="AD322" s="51">
        <v>391.62</v>
      </c>
      <c r="AG322" s="14" t="s">
        <v>226</v>
      </c>
      <c r="AH322" s="14" t="s">
        <v>226</v>
      </c>
      <c r="AI322" s="14" t="s">
        <v>223</v>
      </c>
      <c r="AJ322" s="55">
        <v>6.5653513888888694E-5</v>
      </c>
      <c r="AK322" s="51">
        <v>1.23312827777777E-4</v>
      </c>
      <c r="AL322" s="55">
        <v>9.8677361111110704E-5</v>
      </c>
      <c r="AM322" s="55">
        <v>8.4179249999999701E-5</v>
      </c>
      <c r="AN322" s="51">
        <v>0.96766762534709405</v>
      </c>
    </row>
    <row r="323" spans="1:40" x14ac:dyDescent="0.35">
      <c r="A323" s="51" t="s">
        <v>179</v>
      </c>
      <c r="B323" s="14">
        <v>1</v>
      </c>
      <c r="C323" s="51">
        <v>40</v>
      </c>
      <c r="D323" s="14">
        <v>600</v>
      </c>
      <c r="E323" s="12">
        <f t="shared" si="510"/>
        <v>22.677681649586656</v>
      </c>
      <c r="F323" s="12">
        <f t="shared" si="511"/>
        <v>1.2833805407697152</v>
      </c>
      <c r="G323" s="12">
        <f t="shared" si="512"/>
        <v>0.94872177164856675</v>
      </c>
      <c r="H323" s="12">
        <f t="shared" si="513"/>
        <v>15.835876388757264</v>
      </c>
      <c r="I323" s="12">
        <f t="shared" si="514"/>
        <v>1.700495377146545</v>
      </c>
      <c r="J323" s="12">
        <f t="shared" si="515"/>
        <v>13.395772504786683</v>
      </c>
      <c r="K323" s="13">
        <f t="shared" si="516"/>
        <v>3.7796136082644427E-2</v>
      </c>
      <c r="L323" s="13">
        <f t="shared" si="517"/>
        <v>73.53228849532195</v>
      </c>
      <c r="M323" s="13">
        <f t="shared" si="518"/>
        <v>1.5812029527476111E-3</v>
      </c>
      <c r="N323" s="13">
        <f t="shared" si="519"/>
        <v>2.6393127314595439E-2</v>
      </c>
      <c r="O323" s="13">
        <f t="shared" si="520"/>
        <v>97.43120819200422</v>
      </c>
      <c r="P323" s="13">
        <f t="shared" si="521"/>
        <v>2.2326287507977806E-2</v>
      </c>
      <c r="Q323" s="51">
        <v>277.98200000000003</v>
      </c>
      <c r="R323" s="51">
        <v>375.37599999999998</v>
      </c>
      <c r="S323" s="51">
        <v>272.59100000000001</v>
      </c>
      <c r="T323" s="51">
        <v>360.48599999999999</v>
      </c>
      <c r="U323" s="51">
        <v>261.637</v>
      </c>
      <c r="V323" s="51">
        <v>378.79899999999998</v>
      </c>
      <c r="W323" s="51">
        <v>257.27300000000002</v>
      </c>
      <c r="X323" s="51">
        <v>366.13400000000001</v>
      </c>
      <c r="Y323" s="51">
        <v>265.18599999999998</v>
      </c>
      <c r="Z323" s="51">
        <v>371.12900000000002</v>
      </c>
      <c r="AA323" s="51">
        <v>265.113</v>
      </c>
      <c r="AB323" s="51">
        <v>370.68700000000001</v>
      </c>
      <c r="AC323" s="51">
        <v>265.28500000000003</v>
      </c>
      <c r="AD323" s="51">
        <v>371.62</v>
      </c>
      <c r="AG323" s="14" t="s">
        <v>226</v>
      </c>
      <c r="AH323" s="14" t="s">
        <v>226</v>
      </c>
      <c r="AI323" s="14" t="s">
        <v>223</v>
      </c>
      <c r="AJ323" s="51">
        <v>1.08916618055554E-4</v>
      </c>
      <c r="AK323" s="51">
        <v>2.3282897638888999E-4</v>
      </c>
      <c r="AL323" s="51">
        <v>1.4563007083333299E-4</v>
      </c>
      <c r="AM323" s="51">
        <v>1.5836551944444399E-4</v>
      </c>
      <c r="AN323" s="51">
        <v>0.88953770061605297</v>
      </c>
    </row>
    <row r="324" spans="1:40" x14ac:dyDescent="0.35">
      <c r="A324" s="51" t="s">
        <v>179</v>
      </c>
      <c r="B324" s="14">
        <v>1</v>
      </c>
      <c r="C324" s="51">
        <v>50</v>
      </c>
      <c r="D324" s="14">
        <v>600</v>
      </c>
      <c r="E324" s="12">
        <f t="shared" si="510"/>
        <v>21.530306546819066</v>
      </c>
      <c r="F324" s="12">
        <f t="shared" si="511"/>
        <v>1.3673463903489687</v>
      </c>
      <c r="G324" s="12">
        <f t="shared" si="512"/>
        <v>1.2826223138555299</v>
      </c>
      <c r="H324" s="12">
        <f t="shared" si="513"/>
        <v>15.206089569642852</v>
      </c>
      <c r="I324" s="12">
        <f t="shared" si="514"/>
        <v>1.616117703047748</v>
      </c>
      <c r="J324" s="12">
        <f t="shared" si="515"/>
        <v>14.638316843134685</v>
      </c>
      <c r="K324" s="13">
        <f t="shared" si="516"/>
        <v>3.588384424469844E-2</v>
      </c>
      <c r="L324" s="13">
        <f t="shared" si="517"/>
        <v>78.343177299443511</v>
      </c>
      <c r="M324" s="13">
        <f t="shared" si="518"/>
        <v>2.1377038564258832E-3</v>
      </c>
      <c r="N324" s="13">
        <f t="shared" si="519"/>
        <v>2.534348261607142E-2</v>
      </c>
      <c r="O324" s="13">
        <f t="shared" si="520"/>
        <v>92.596723581012824</v>
      </c>
      <c r="P324" s="13">
        <f t="shared" si="521"/>
        <v>2.4397194738557809E-2</v>
      </c>
      <c r="Q324" s="51">
        <v>346.27699999999999</v>
      </c>
      <c r="R324" s="51">
        <v>353.87200000000001</v>
      </c>
      <c r="S324" s="51">
        <v>343.07900000000001</v>
      </c>
      <c r="T324" s="51">
        <v>339.00599999999997</v>
      </c>
      <c r="U324" s="51">
        <v>331.065</v>
      </c>
      <c r="V324" s="51">
        <v>358.19400000000002</v>
      </c>
      <c r="W324" s="51">
        <v>327.089</v>
      </c>
      <c r="X324" s="51">
        <v>344.10599999999999</v>
      </c>
      <c r="Y324" s="51">
        <v>335.61599999999999</v>
      </c>
      <c r="Z324" s="51">
        <v>348.66300000000001</v>
      </c>
      <c r="AA324" s="51">
        <v>335.41899999999998</v>
      </c>
      <c r="AB324" s="51">
        <v>348.00599999999997</v>
      </c>
      <c r="AC324" s="51">
        <v>335.71499999999997</v>
      </c>
      <c r="AD324" s="51">
        <v>349.25400000000002</v>
      </c>
      <c r="AG324" s="14" t="s">
        <v>226</v>
      </c>
      <c r="AH324" s="14" t="s">
        <v>226</v>
      </c>
      <c r="AI324" s="14" t="s">
        <v>223</v>
      </c>
      <c r="AJ324" s="51">
        <v>1.416802E-4</v>
      </c>
      <c r="AK324" s="51">
        <v>1.9698339444444501E-4</v>
      </c>
      <c r="AL324" s="51">
        <v>1.60969416666667E-4</v>
      </c>
      <c r="AM324" s="51">
        <v>1.4561666666666599E-4</v>
      </c>
      <c r="AN324" s="51">
        <v>0.90528208039682201</v>
      </c>
    </row>
    <row r="325" spans="1:40" x14ac:dyDescent="0.35">
      <c r="A325" s="51" t="s">
        <v>179</v>
      </c>
      <c r="B325" s="14">
        <v>1</v>
      </c>
      <c r="C325" s="51">
        <v>60</v>
      </c>
      <c r="D325" s="14">
        <v>600</v>
      </c>
      <c r="E325" s="12">
        <f t="shared" si="510"/>
        <v>20.78962587445962</v>
      </c>
      <c r="F325" s="12">
        <f t="shared" si="511"/>
        <v>1.3125942590292565</v>
      </c>
      <c r="G325" s="12">
        <f t="shared" si="512"/>
        <v>1.4788238569890315</v>
      </c>
      <c r="H325" s="12">
        <f t="shared" si="513"/>
        <v>13.454623368938982</v>
      </c>
      <c r="I325" s="12">
        <f t="shared" si="514"/>
        <v>1.8593994740433828</v>
      </c>
      <c r="J325" s="12">
        <f t="shared" si="515"/>
        <v>16.605489032244723</v>
      </c>
      <c r="K325" s="13">
        <f t="shared" si="516"/>
        <v>3.4649376457432698E-2</v>
      </c>
      <c r="L325" s="13">
        <f t="shared" si="517"/>
        <v>75.20611125547795</v>
      </c>
      <c r="M325" s="13">
        <f t="shared" si="518"/>
        <v>2.4647064283150524E-3</v>
      </c>
      <c r="N325" s="13">
        <f t="shared" si="519"/>
        <v>2.2424372281564971E-2</v>
      </c>
      <c r="O325" s="13">
        <f t="shared" si="520"/>
        <v>106.53574229153089</v>
      </c>
      <c r="P325" s="13">
        <f t="shared" si="521"/>
        <v>2.7675815053741205E-2</v>
      </c>
      <c r="Q325" s="51">
        <v>397.18900000000002</v>
      </c>
      <c r="R325" s="51">
        <v>337.93599999999998</v>
      </c>
      <c r="S325" s="51">
        <v>394.03199999999998</v>
      </c>
      <c r="T325" s="51">
        <v>324.85700000000003</v>
      </c>
      <c r="U325" s="51">
        <v>383.84</v>
      </c>
      <c r="V325" s="51">
        <v>343.79899999999998</v>
      </c>
      <c r="W325" s="51">
        <v>378.96899999999999</v>
      </c>
      <c r="X325" s="51">
        <v>327.92399999999998</v>
      </c>
      <c r="Y325" s="51">
        <v>387.11900000000003</v>
      </c>
      <c r="Z325" s="51">
        <v>333.44299999999998</v>
      </c>
      <c r="AA325" s="51">
        <v>386.916</v>
      </c>
      <c r="AB325" s="51">
        <v>332.73200000000003</v>
      </c>
      <c r="AC325" s="51">
        <v>387.322</v>
      </c>
      <c r="AD325" s="51">
        <v>334.154</v>
      </c>
      <c r="AG325" s="14" t="s">
        <v>226</v>
      </c>
      <c r="AH325" s="14" t="s">
        <v>226</v>
      </c>
      <c r="AI325" s="14" t="s">
        <v>223</v>
      </c>
      <c r="AJ325" s="51">
        <v>1.42358612500001E-4</v>
      </c>
      <c r="AK325" s="51">
        <v>1.6322379027777699E-4</v>
      </c>
      <c r="AL325" s="51">
        <v>1.5046685972222199E-4</v>
      </c>
      <c r="AM325" s="51">
        <v>1.3443937916666701E-4</v>
      </c>
      <c r="AN325" s="51">
        <v>0.93233849953092995</v>
      </c>
    </row>
    <row r="326" spans="1:40" x14ac:dyDescent="0.35">
      <c r="A326" s="51" t="s">
        <v>179</v>
      </c>
      <c r="B326" s="14">
        <v>1</v>
      </c>
      <c r="C326" s="51">
        <v>70</v>
      </c>
      <c r="D326" s="14">
        <v>600</v>
      </c>
      <c r="E326" s="12">
        <f t="shared" si="510"/>
        <v>20.238837540728472</v>
      </c>
      <c r="F326" s="12">
        <f t="shared" si="511"/>
        <v>1.3931255486777361</v>
      </c>
      <c r="G326" s="12">
        <f t="shared" si="512"/>
        <v>1.0077549305263067</v>
      </c>
      <c r="H326" s="12">
        <f t="shared" si="513"/>
        <v>14.534005813952311</v>
      </c>
      <c r="I326" s="12">
        <f t="shared" si="514"/>
        <v>1.735048891125313</v>
      </c>
      <c r="J326" s="12">
        <f t="shared" si="515"/>
        <v>14.582876430937736</v>
      </c>
      <c r="K326" s="13">
        <f t="shared" si="516"/>
        <v>3.3731395901214122E-2</v>
      </c>
      <c r="L326" s="13">
        <f t="shared" si="517"/>
        <v>79.820214271081412</v>
      </c>
      <c r="M326" s="13">
        <f t="shared" si="518"/>
        <v>1.6795915508771779E-3</v>
      </c>
      <c r="N326" s="13">
        <f t="shared" si="519"/>
        <v>2.4223343023253852E-2</v>
      </c>
      <c r="O326" s="13">
        <f t="shared" si="520"/>
        <v>99.410978710333922</v>
      </c>
      <c r="P326" s="13">
        <f t="shared" si="521"/>
        <v>2.4304794051562894E-2</v>
      </c>
      <c r="Q326" s="51">
        <v>461.35700000000003</v>
      </c>
      <c r="R326" s="51">
        <v>322.20499999999998</v>
      </c>
      <c r="S326" s="51">
        <v>458.53800000000001</v>
      </c>
      <c r="T326" s="51">
        <v>307.947</v>
      </c>
      <c r="U326" s="51">
        <v>447.09899999999999</v>
      </c>
      <c r="V326" s="51">
        <v>325.99099999999999</v>
      </c>
      <c r="W326" s="51">
        <v>444.03800000000001</v>
      </c>
      <c r="X326" s="51">
        <v>311.733</v>
      </c>
      <c r="Y326" s="51">
        <v>451.52199999999999</v>
      </c>
      <c r="Z326" s="51">
        <v>317.18799999999999</v>
      </c>
      <c r="AA326" s="51">
        <v>451.44900000000001</v>
      </c>
      <c r="AB326" s="51">
        <v>316.67399999999998</v>
      </c>
      <c r="AC326" s="51">
        <v>451.63200000000001</v>
      </c>
      <c r="AD326" s="51">
        <v>317.66500000000002</v>
      </c>
      <c r="AG326" s="14" t="s">
        <v>226</v>
      </c>
      <c r="AH326" s="14" t="s">
        <v>226</v>
      </c>
      <c r="AI326" s="14" t="s">
        <v>223</v>
      </c>
      <c r="AJ326" s="51">
        <v>1.2501266250000001E-4</v>
      </c>
      <c r="AK326" s="51">
        <v>1.7511737083333401E-4</v>
      </c>
      <c r="AL326" s="51">
        <v>1.4104190277777699E-4</v>
      </c>
      <c r="AM326" s="51">
        <v>1.38475758333333E-4</v>
      </c>
      <c r="AN326" s="51">
        <v>0.93132186075050205</v>
      </c>
    </row>
    <row r="327" spans="1:40" x14ac:dyDescent="0.35">
      <c r="A327" s="51" t="s">
        <v>179</v>
      </c>
      <c r="B327" s="14">
        <v>1</v>
      </c>
      <c r="C327" s="51">
        <v>80</v>
      </c>
      <c r="D327" s="14">
        <v>600</v>
      </c>
      <c r="E327" s="12">
        <f t="shared" si="510"/>
        <v>20.427693482133531</v>
      </c>
      <c r="F327" s="12">
        <f t="shared" si="511"/>
        <v>1.4462696408576818</v>
      </c>
      <c r="G327" s="12">
        <f t="shared" si="512"/>
        <v>2.4497007980567269</v>
      </c>
      <c r="H327" s="12">
        <f t="shared" si="513"/>
        <v>14.248707730878616</v>
      </c>
      <c r="I327" s="12">
        <f t="shared" si="514"/>
        <v>1.6715548690335471</v>
      </c>
      <c r="J327" s="12">
        <f t="shared" si="515"/>
        <v>14.432257273205735</v>
      </c>
      <c r="K327" s="13">
        <f t="shared" si="516"/>
        <v>3.4046155803555883E-2</v>
      </c>
      <c r="L327" s="13">
        <f t="shared" si="517"/>
        <v>82.8651464590465</v>
      </c>
      <c r="M327" s="13">
        <f t="shared" si="518"/>
        <v>4.0828346634278782E-3</v>
      </c>
      <c r="N327" s="13">
        <f t="shared" si="519"/>
        <v>2.3747846218131027E-2</v>
      </c>
      <c r="O327" s="13">
        <f t="shared" si="520"/>
        <v>95.773039220165316</v>
      </c>
      <c r="P327" s="13">
        <f t="shared" si="521"/>
        <v>2.4053762122009558E-2</v>
      </c>
      <c r="Q327" s="51">
        <v>522.41200000000003</v>
      </c>
      <c r="R327" s="51">
        <v>309.86599999999999</v>
      </c>
      <c r="S327" s="51">
        <v>520.31799999999998</v>
      </c>
      <c r="T327" s="51">
        <v>295.77199999999999</v>
      </c>
      <c r="U327" s="51">
        <v>508.077</v>
      </c>
      <c r="V327" s="51">
        <v>312.202</v>
      </c>
      <c r="W327" s="51">
        <v>505.822</v>
      </c>
      <c r="X327" s="51">
        <v>297.947</v>
      </c>
      <c r="Y327" s="51">
        <v>513.36500000000001</v>
      </c>
      <c r="Z327" s="51">
        <v>303.892</v>
      </c>
      <c r="AA327" s="51">
        <v>513.13400000000001</v>
      </c>
      <c r="AB327" s="51">
        <v>302.73700000000002</v>
      </c>
      <c r="AC327" s="51">
        <v>513.48099999999999</v>
      </c>
      <c r="AD327" s="51">
        <v>305.16199999999998</v>
      </c>
      <c r="AG327" s="14" t="s">
        <v>226</v>
      </c>
      <c r="AH327" s="14" t="s">
        <v>226</v>
      </c>
      <c r="AI327" s="14" t="s">
        <v>223</v>
      </c>
      <c r="AJ327" s="51">
        <v>1.30721513888889E-4</v>
      </c>
      <c r="AK327" s="51">
        <v>1.5972064166666701E-4</v>
      </c>
      <c r="AL327" s="51">
        <v>1.2263146666666701E-4</v>
      </c>
      <c r="AM327" s="51">
        <v>1.18527E-4</v>
      </c>
      <c r="AN327" s="51">
        <v>0.83031495963587498</v>
      </c>
    </row>
    <row r="328" spans="1:40" x14ac:dyDescent="0.35">
      <c r="A328" s="51" t="s">
        <v>179</v>
      </c>
      <c r="B328" s="14">
        <v>1</v>
      </c>
      <c r="C328" s="51">
        <v>90</v>
      </c>
      <c r="D328" s="14">
        <v>600</v>
      </c>
      <c r="E328" s="12">
        <f t="shared" si="510"/>
        <v>18.240144297674846</v>
      </c>
      <c r="F328" s="12">
        <f t="shared" si="511"/>
        <v>1.5941125167514936</v>
      </c>
      <c r="G328" s="12">
        <f t="shared" si="512"/>
        <v>1.5798332190455873</v>
      </c>
      <c r="H328" s="12">
        <f t="shared" si="513"/>
        <v>13.049462709245907</v>
      </c>
      <c r="I328" s="12">
        <f t="shared" si="514"/>
        <v>1.6797076031041842</v>
      </c>
      <c r="J328" s="12">
        <f t="shared" si="515"/>
        <v>13.378735553108154</v>
      </c>
      <c r="K328" s="13">
        <f t="shared" si="516"/>
        <v>3.0400240496124744E-2</v>
      </c>
      <c r="L328" s="13">
        <f t="shared" si="517"/>
        <v>91.335919278838333</v>
      </c>
      <c r="M328" s="13">
        <f t="shared" si="518"/>
        <v>2.6330553650759786E-3</v>
      </c>
      <c r="N328" s="13">
        <f t="shared" si="519"/>
        <v>2.1749104515409845E-2</v>
      </c>
      <c r="O328" s="13">
        <f t="shared" si="520"/>
        <v>96.24015647390533</v>
      </c>
      <c r="P328" s="13">
        <f t="shared" si="521"/>
        <v>2.2297892588513588E-2</v>
      </c>
      <c r="Q328" s="51">
        <v>583.73800000000006</v>
      </c>
      <c r="R328" s="51">
        <v>298.41399999999999</v>
      </c>
      <c r="S328" s="51">
        <v>581.67899999999997</v>
      </c>
      <c r="T328" s="51">
        <v>285.52800000000002</v>
      </c>
      <c r="U328" s="51">
        <v>571.71600000000001</v>
      </c>
      <c r="V328" s="51">
        <v>300.47300000000001</v>
      </c>
      <c r="W328" s="51">
        <v>569.25800000000004</v>
      </c>
      <c r="X328" s="51">
        <v>287.322</v>
      </c>
      <c r="Y328" s="51">
        <v>576.41499999999996</v>
      </c>
      <c r="Z328" s="51">
        <v>292.983</v>
      </c>
      <c r="AA328" s="51">
        <v>576.36</v>
      </c>
      <c r="AB328" s="51">
        <v>292.24</v>
      </c>
      <c r="AC328" s="51">
        <v>576.553</v>
      </c>
      <c r="AD328" s="51">
        <v>293.80799999999999</v>
      </c>
      <c r="AG328" s="14" t="s">
        <v>226</v>
      </c>
      <c r="AH328" s="14" t="s">
        <v>226</v>
      </c>
      <c r="AI328" s="14" t="s">
        <v>223</v>
      </c>
      <c r="AJ328" s="51">
        <v>1.1139856805555499E-4</v>
      </c>
      <c r="AK328" s="51">
        <v>1.1553020694444501E-4</v>
      </c>
      <c r="AL328" s="55">
        <v>9.7454509722222905E-5</v>
      </c>
      <c r="AM328" s="51">
        <v>1.02538147222222E-4</v>
      </c>
      <c r="AN328" s="51">
        <v>0.88130144334690397</v>
      </c>
    </row>
    <row r="329" spans="1:40" x14ac:dyDescent="0.35">
      <c r="A329" s="51" t="s">
        <v>183</v>
      </c>
      <c r="B329" s="14">
        <v>1</v>
      </c>
      <c r="C329" s="51">
        <v>30</v>
      </c>
      <c r="D329" s="14">
        <v>1300</v>
      </c>
      <c r="E329" s="12">
        <f t="shared" ref="E329:E335" si="522">DIST2(Q329,R329,W329,X329)</f>
        <v>29.854329267293902</v>
      </c>
      <c r="F329" s="12">
        <f t="shared" ref="F329:F335" si="523">ACOS((DIST2(Y329,Z329,S329,T329)^2 + DIST2(Y329,Z329,Q329,R329)^2 - DIST2(Q329,R329,S329,T329)^2)/(2*DIST2(Y329,Z329,S329,T329) * DIST2(Y329,Z329,Q329,R329)))</f>
        <v>1.0767400348389522</v>
      </c>
      <c r="G329" s="12">
        <f t="shared" ref="G329:G335" si="524">DIST2(AA329,AB329,AC329,AD329)</f>
        <v>0.19502820308869637</v>
      </c>
      <c r="H329" s="12">
        <f t="shared" ref="H329:H335" si="525">DIST2(Q329,R329,S329,T329)</f>
        <v>15.801256310812745</v>
      </c>
      <c r="I329" s="12">
        <f t="shared" ref="I329:I335" si="526">ACOS((DIST2(Y329,Z329,W329,X329)^2 + DIST2(Y329,Z329,U329,V329)^2 - DIST2(U329,V329,W329,X329)^2)/(2*DIST2(Y329,Z329,W329,X329) * DIST2(Y329,Z329,U329,V329)))</f>
        <v>1.1403163963092622</v>
      </c>
      <c r="J329" s="12">
        <f t="shared" ref="J329:J335" si="527">DIST2(U329,V329,W329,X329)</f>
        <v>15.365940420293196</v>
      </c>
      <c r="K329" s="13">
        <f t="shared" ref="K329:K335" si="528">E329/D329</f>
        <v>2.2964868667149155E-2</v>
      </c>
      <c r="L329" s="13">
        <f t="shared" ref="L329:L335" si="529">F329*180/PI()</f>
        <v>61.692659629041181</v>
      </c>
      <c r="M329" s="13">
        <f t="shared" ref="M329:M335" si="530">G329/D329</f>
        <v>1.500216946836126E-4</v>
      </c>
      <c r="N329" s="13">
        <f t="shared" ref="N329:N335" si="531">H329/D329</f>
        <v>1.2154812546779034E-2</v>
      </c>
      <c r="O329" s="13">
        <f t="shared" ref="O329:O335" si="532">I329*180/PI()</f>
        <v>65.335316818088089</v>
      </c>
      <c r="P329" s="13">
        <f t="shared" ref="P329:P335" si="533">J329/D329</f>
        <v>1.1819954169456304E-2</v>
      </c>
      <c r="Q329" s="51">
        <v>1415.85</v>
      </c>
      <c r="R329" s="51">
        <v>-278.65100000000001</v>
      </c>
      <c r="S329" s="51">
        <v>1415.76</v>
      </c>
      <c r="T329" s="51">
        <v>-294.452</v>
      </c>
      <c r="U329" s="51">
        <v>1440.9</v>
      </c>
      <c r="V329" s="51">
        <v>-279.262</v>
      </c>
      <c r="W329" s="51">
        <v>1441.07</v>
      </c>
      <c r="X329" s="51">
        <v>-294.62700000000001</v>
      </c>
      <c r="Y329" s="51">
        <v>1429.03</v>
      </c>
      <c r="Z329" s="51">
        <v>-286.30700000000002</v>
      </c>
      <c r="AA329" s="51">
        <v>1429.05</v>
      </c>
      <c r="AB329" s="51">
        <v>-286.411</v>
      </c>
      <c r="AC329" s="51">
        <v>1429.03</v>
      </c>
      <c r="AD329" s="51">
        <v>-286.21699999999998</v>
      </c>
      <c r="AG329" s="14" t="s">
        <v>222</v>
      </c>
      <c r="AH329" s="14" t="s">
        <v>222</v>
      </c>
      <c r="AI329" s="14" t="s">
        <v>222</v>
      </c>
      <c r="AJ329" s="55">
        <v>5.4313668639053501E-5</v>
      </c>
      <c r="AK329" s="55">
        <v>6.1818408284023706E-5</v>
      </c>
      <c r="AL329" s="55">
        <v>5.3690923076923298E-5</v>
      </c>
      <c r="AM329" s="55">
        <v>6.09004319526626E-5</v>
      </c>
      <c r="AN329" s="51">
        <v>0.98673302041681499</v>
      </c>
    </row>
    <row r="330" spans="1:40" x14ac:dyDescent="0.35">
      <c r="A330" s="51" t="s">
        <v>183</v>
      </c>
      <c r="B330" s="14">
        <v>1</v>
      </c>
      <c r="C330" s="51">
        <v>40</v>
      </c>
      <c r="D330" s="14">
        <v>1300</v>
      </c>
      <c r="E330" s="12">
        <f t="shared" si="522"/>
        <v>29.465006787713406</v>
      </c>
      <c r="F330" s="12">
        <f t="shared" si="523"/>
        <v>1.1108626532757053</v>
      </c>
      <c r="G330" s="12">
        <f t="shared" si="524"/>
        <v>0.14464093473149248</v>
      </c>
      <c r="H330" s="12">
        <f t="shared" si="525"/>
        <v>15.77869389398246</v>
      </c>
      <c r="I330" s="12">
        <f t="shared" si="526"/>
        <v>1.1427851202373009</v>
      </c>
      <c r="J330" s="12">
        <f t="shared" si="527"/>
        <v>15.825169225003563</v>
      </c>
      <c r="K330" s="13">
        <f t="shared" si="528"/>
        <v>2.2665389836702621E-2</v>
      </c>
      <c r="L330" s="13">
        <f t="shared" si="529"/>
        <v>63.647741651402427</v>
      </c>
      <c r="M330" s="13">
        <f t="shared" si="530"/>
        <v>1.1126225748576344E-4</v>
      </c>
      <c r="N330" s="13">
        <f t="shared" si="531"/>
        <v>1.2137456841524969E-2</v>
      </c>
      <c r="O330" s="13">
        <f t="shared" si="532"/>
        <v>65.476764279947659</v>
      </c>
      <c r="P330" s="13">
        <f t="shared" si="533"/>
        <v>1.2173207096156586E-2</v>
      </c>
      <c r="Q330" s="51">
        <v>1306.99</v>
      </c>
      <c r="R330" s="51">
        <v>-273.678</v>
      </c>
      <c r="S330" s="51">
        <v>1305.9000000000001</v>
      </c>
      <c r="T330" s="51">
        <v>-289.41899999999998</v>
      </c>
      <c r="U330" s="51">
        <v>1332.18</v>
      </c>
      <c r="V330" s="51">
        <v>-275.63200000000001</v>
      </c>
      <c r="W330" s="51">
        <v>1330.55</v>
      </c>
      <c r="X330" s="51">
        <v>-291.37299999999999</v>
      </c>
      <c r="Y330" s="51">
        <v>1319.08</v>
      </c>
      <c r="Z330" s="51">
        <v>-282.911</v>
      </c>
      <c r="AA330" s="51">
        <v>1319.07</v>
      </c>
      <c r="AB330" s="51">
        <v>-282.98099999999999</v>
      </c>
      <c r="AC330" s="51">
        <v>1319.11</v>
      </c>
      <c r="AD330" s="51">
        <v>-282.84199999999998</v>
      </c>
      <c r="AG330" s="14" t="s">
        <v>222</v>
      </c>
      <c r="AH330" s="14" t="s">
        <v>222</v>
      </c>
      <c r="AI330" s="14" t="s">
        <v>222</v>
      </c>
      <c r="AJ330" s="55">
        <v>5.74977307692311E-5</v>
      </c>
      <c r="AK330" s="55">
        <v>5.9281852071005303E-5</v>
      </c>
      <c r="AL330" s="55">
        <v>6.1289550295858105E-5</v>
      </c>
      <c r="AM330" s="55">
        <v>5.4565349112425597E-5</v>
      </c>
      <c r="AN330" s="51">
        <v>0.99208180565931903</v>
      </c>
    </row>
    <row r="331" spans="1:40" x14ac:dyDescent="0.35">
      <c r="A331" s="51" t="s">
        <v>183</v>
      </c>
      <c r="B331" s="14">
        <v>1</v>
      </c>
      <c r="C331" s="51">
        <v>50</v>
      </c>
      <c r="D331" s="14">
        <v>1300</v>
      </c>
      <c r="E331" s="12">
        <f t="shared" si="522"/>
        <v>30.347198701033403</v>
      </c>
      <c r="F331" s="12">
        <f t="shared" si="523"/>
        <v>1.1897470308792939</v>
      </c>
      <c r="G331" s="12">
        <f t="shared" si="524"/>
        <v>0.16589454481687313</v>
      </c>
      <c r="H331" s="12">
        <f t="shared" si="525"/>
        <v>16.887931075179083</v>
      </c>
      <c r="I331" s="12">
        <f t="shared" si="526"/>
        <v>1.1493521746218911</v>
      </c>
      <c r="J331" s="12">
        <f t="shared" si="527"/>
        <v>16.216744926155826</v>
      </c>
      <c r="K331" s="13">
        <f t="shared" si="528"/>
        <v>2.3343999000794924E-2</v>
      </c>
      <c r="L331" s="13">
        <f t="shared" si="529"/>
        <v>68.167483557604371</v>
      </c>
      <c r="M331" s="13">
        <f t="shared" si="530"/>
        <v>1.2761118832067163E-4</v>
      </c>
      <c r="N331" s="13">
        <f t="shared" si="531"/>
        <v>1.2990716211676218E-2</v>
      </c>
      <c r="O331" s="13">
        <f t="shared" si="532"/>
        <v>65.853028780017567</v>
      </c>
      <c r="P331" s="13">
        <f t="shared" si="533"/>
        <v>1.2474419173966021E-2</v>
      </c>
      <c r="Q331" s="51">
        <v>1171.58</v>
      </c>
      <c r="R331" s="51">
        <v>-258.27100000000002</v>
      </c>
      <c r="S331" s="51">
        <v>1170.51</v>
      </c>
      <c r="T331" s="51">
        <v>-275.125</v>
      </c>
      <c r="U331" s="51">
        <v>1196.33</v>
      </c>
      <c r="V331" s="51">
        <v>-260.738</v>
      </c>
      <c r="W331" s="51">
        <v>1195.51</v>
      </c>
      <c r="X331" s="51">
        <v>-276.93400000000003</v>
      </c>
      <c r="Y331" s="51">
        <v>1183.51</v>
      </c>
      <c r="Z331" s="51">
        <v>-267.28199999999998</v>
      </c>
      <c r="AA331" s="51">
        <v>1183.51</v>
      </c>
      <c r="AB331" s="51">
        <v>-267.35599999999999</v>
      </c>
      <c r="AC331" s="51">
        <v>1183.55</v>
      </c>
      <c r="AD331" s="51">
        <v>-267.19499999999999</v>
      </c>
      <c r="AG331" s="14" t="s">
        <v>222</v>
      </c>
      <c r="AH331" s="14" t="s">
        <v>222</v>
      </c>
      <c r="AI331" s="14" t="s">
        <v>222</v>
      </c>
      <c r="AJ331" s="55">
        <v>5.98422011834319E-5</v>
      </c>
      <c r="AK331" s="55">
        <v>6.2340233727810695E-5</v>
      </c>
      <c r="AL331" s="55">
        <v>5.6609174556212901E-5</v>
      </c>
      <c r="AM331" s="55">
        <v>6.4420710059171694E-5</v>
      </c>
      <c r="AN331" s="51">
        <v>0.99056697227637303</v>
      </c>
    </row>
    <row r="332" spans="1:40" x14ac:dyDescent="0.35">
      <c r="A332" s="51" t="s">
        <v>183</v>
      </c>
      <c r="B332" s="14">
        <v>1</v>
      </c>
      <c r="C332" s="51">
        <v>60</v>
      </c>
      <c r="D332" s="14">
        <v>1300</v>
      </c>
      <c r="E332" s="12">
        <f t="shared" si="522"/>
        <v>29.272932617009985</v>
      </c>
      <c r="F332" s="12">
        <f t="shared" si="523"/>
        <v>1.2297720494807194</v>
      </c>
      <c r="G332" s="12">
        <f t="shared" si="524"/>
        <v>0.22756098083807461</v>
      </c>
      <c r="H332" s="12">
        <f t="shared" si="525"/>
        <v>16.417685616432067</v>
      </c>
      <c r="I332" s="12">
        <f t="shared" si="526"/>
        <v>1.1849780396486618</v>
      </c>
      <c r="J332" s="12">
        <f t="shared" si="527"/>
        <v>16.673046542248972</v>
      </c>
      <c r="K332" s="13">
        <f t="shared" si="528"/>
        <v>2.2517640474623065E-2</v>
      </c>
      <c r="L332" s="13">
        <f t="shared" si="529"/>
        <v>70.460748198398662</v>
      </c>
      <c r="M332" s="13">
        <f t="shared" si="530"/>
        <v>1.7504690833698047E-4</v>
      </c>
      <c r="N332" s="13">
        <f t="shared" si="531"/>
        <v>1.2628988935716975E-2</v>
      </c>
      <c r="O332" s="13">
        <f t="shared" si="532"/>
        <v>67.894240487554242</v>
      </c>
      <c r="P332" s="13">
        <f t="shared" si="533"/>
        <v>1.2825420417114593E-2</v>
      </c>
      <c r="Q332" s="51">
        <v>1038.8399999999999</v>
      </c>
      <c r="R332" s="51">
        <v>-249.19499999999999</v>
      </c>
      <c r="S332" s="51">
        <v>1038.0999999999999</v>
      </c>
      <c r="T332" s="51">
        <v>-265.596</v>
      </c>
      <c r="U332" s="51">
        <v>1063.1300000000001</v>
      </c>
      <c r="V332" s="51">
        <v>-250.90799999999999</v>
      </c>
      <c r="W332" s="51">
        <v>1061.67</v>
      </c>
      <c r="X332" s="51">
        <v>-267.517</v>
      </c>
      <c r="Y332" s="51">
        <v>1050.08</v>
      </c>
      <c r="Z332" s="51">
        <v>-257.959</v>
      </c>
      <c r="AA332" s="51">
        <v>1050.08</v>
      </c>
      <c r="AB332" s="51">
        <v>-258.04899999999998</v>
      </c>
      <c r="AC332" s="51">
        <v>1050.03</v>
      </c>
      <c r="AD332" s="51">
        <v>-257.827</v>
      </c>
      <c r="AG332" s="14" t="s">
        <v>222</v>
      </c>
      <c r="AH332" s="14" t="s">
        <v>222</v>
      </c>
      <c r="AI332" s="14" t="s">
        <v>222</v>
      </c>
      <c r="AJ332" s="55">
        <v>6.1080766272190196E-5</v>
      </c>
      <c r="AK332" s="55">
        <v>5.6459349112426098E-5</v>
      </c>
      <c r="AL332" s="55">
        <v>5.6361778106509398E-5</v>
      </c>
      <c r="AM332" s="55">
        <v>5.9436795857988701E-5</v>
      </c>
      <c r="AN332" s="51">
        <v>0.98518342938136905</v>
      </c>
    </row>
    <row r="333" spans="1:40" x14ac:dyDescent="0.35">
      <c r="A333" s="51" t="s">
        <v>183</v>
      </c>
      <c r="B333" s="14">
        <v>1</v>
      </c>
      <c r="C333" s="51">
        <v>70</v>
      </c>
      <c r="D333" s="14">
        <v>1300</v>
      </c>
      <c r="E333" s="12">
        <f t="shared" si="522"/>
        <v>28.332452064726102</v>
      </c>
      <c r="F333" s="12">
        <f t="shared" si="523"/>
        <v>1.2120483828679458</v>
      </c>
      <c r="G333" s="12">
        <f t="shared" si="524"/>
        <v>0.41800000000000637</v>
      </c>
      <c r="H333" s="12">
        <f t="shared" si="525"/>
        <v>16.095352403722035</v>
      </c>
      <c r="I333" s="12">
        <f t="shared" si="526"/>
        <v>1.2100754792915631</v>
      </c>
      <c r="J333" s="12">
        <f t="shared" si="527"/>
        <v>15.825711990302375</v>
      </c>
      <c r="K333" s="13">
        <f t="shared" si="528"/>
        <v>2.1794193895943156E-2</v>
      </c>
      <c r="L333" s="13">
        <f t="shared" si="529"/>
        <v>69.445256903989815</v>
      </c>
      <c r="M333" s="13">
        <f t="shared" si="530"/>
        <v>3.2153846153846642E-4</v>
      </c>
      <c r="N333" s="13">
        <f t="shared" si="531"/>
        <v>1.2381040310555412E-2</v>
      </c>
      <c r="O333" s="13">
        <f t="shared" si="532"/>
        <v>69.332217855676816</v>
      </c>
      <c r="P333" s="13">
        <f t="shared" si="533"/>
        <v>1.2173624607924904E-2</v>
      </c>
      <c r="Q333" s="51">
        <v>912.15899999999999</v>
      </c>
      <c r="R333" s="51">
        <v>-239.42</v>
      </c>
      <c r="S333" s="51">
        <v>911.17100000000005</v>
      </c>
      <c r="T333" s="51">
        <v>-255.48500000000001</v>
      </c>
      <c r="U333" s="51">
        <v>934.89700000000005</v>
      </c>
      <c r="V333" s="51">
        <v>-241.15</v>
      </c>
      <c r="W333" s="51">
        <v>934.40300000000002</v>
      </c>
      <c r="X333" s="51">
        <v>-256.96800000000002</v>
      </c>
      <c r="Y333" s="51">
        <v>923.21699999999998</v>
      </c>
      <c r="Z333" s="51">
        <v>-248.607</v>
      </c>
      <c r="AA333" s="51">
        <v>923.23599999999999</v>
      </c>
      <c r="AB333" s="51">
        <v>-248.797</v>
      </c>
      <c r="AC333" s="51">
        <v>923.23599999999999</v>
      </c>
      <c r="AD333" s="51">
        <v>-248.37899999999999</v>
      </c>
      <c r="AG333" s="14" t="s">
        <v>222</v>
      </c>
      <c r="AH333" s="14" t="s">
        <v>222</v>
      </c>
      <c r="AI333" s="14" t="s">
        <v>222</v>
      </c>
      <c r="AJ333" s="55">
        <v>5.3571148520710303E-5</v>
      </c>
      <c r="AK333" s="55">
        <v>5.5243646745561998E-5</v>
      </c>
      <c r="AL333" s="55">
        <v>5.4599565680473502E-5</v>
      </c>
      <c r="AM333" s="55">
        <v>5.1262725147929E-5</v>
      </c>
      <c r="AN333" s="51">
        <v>0.97286670042759404</v>
      </c>
    </row>
    <row r="334" spans="1:40" x14ac:dyDescent="0.35">
      <c r="A334" s="51" t="s">
        <v>183</v>
      </c>
      <c r="B334" s="14">
        <v>1</v>
      </c>
      <c r="C334" s="51">
        <v>80</v>
      </c>
      <c r="D334" s="14">
        <v>1300</v>
      </c>
      <c r="E334" s="12">
        <f t="shared" si="522"/>
        <v>28.119903716051372</v>
      </c>
      <c r="F334" s="12">
        <f t="shared" si="523"/>
        <v>1.4954281371808746</v>
      </c>
      <c r="G334" s="12">
        <f t="shared" si="524"/>
        <v>0</v>
      </c>
      <c r="H334" s="12">
        <f t="shared" si="525"/>
        <v>16.676816992459898</v>
      </c>
      <c r="I334" s="12">
        <f t="shared" si="526"/>
        <v>1.2821124049192505</v>
      </c>
      <c r="J334" s="12">
        <f t="shared" si="527"/>
        <v>17.949507987685909</v>
      </c>
      <c r="K334" s="13">
        <f t="shared" si="528"/>
        <v>2.1630695166193363E-2</v>
      </c>
      <c r="L334" s="13">
        <f t="shared" si="529"/>
        <v>85.681720825574828</v>
      </c>
      <c r="M334" s="13">
        <f t="shared" si="530"/>
        <v>0</v>
      </c>
      <c r="N334" s="13">
        <f t="shared" si="531"/>
        <v>1.2828320763430691E-2</v>
      </c>
      <c r="O334" s="13">
        <f t="shared" si="532"/>
        <v>73.459629663241103</v>
      </c>
      <c r="P334" s="13">
        <f t="shared" si="533"/>
        <v>1.3807313836681469E-2</v>
      </c>
      <c r="Q334" s="51">
        <v>772.51</v>
      </c>
      <c r="R334" s="51">
        <v>-229.05600000000001</v>
      </c>
      <c r="S334" s="51">
        <v>771.67700000000002</v>
      </c>
      <c r="T334" s="51">
        <v>-245.71199999999999</v>
      </c>
      <c r="U334" s="51">
        <v>793.53800000000001</v>
      </c>
      <c r="V334" s="51">
        <v>-231.13800000000001</v>
      </c>
      <c r="W334" s="51">
        <v>792.28899999999999</v>
      </c>
      <c r="X334" s="51">
        <v>-249.04400000000001</v>
      </c>
      <c r="Y334" s="51">
        <v>781.04600000000005</v>
      </c>
      <c r="Z334" s="51">
        <v>-238.21700000000001</v>
      </c>
      <c r="AA334" s="51">
        <v>781.04600000000005</v>
      </c>
      <c r="AB334" s="51">
        <v>-238.21700000000001</v>
      </c>
      <c r="AC334" s="51">
        <v>781.04600000000005</v>
      </c>
      <c r="AD334" s="51">
        <v>-238.21700000000001</v>
      </c>
      <c r="AG334" s="14" t="s">
        <v>222</v>
      </c>
      <c r="AH334" s="14" t="s">
        <v>222</v>
      </c>
      <c r="AI334" s="14" t="s">
        <v>222</v>
      </c>
      <c r="AJ334" s="55">
        <v>6.3562154142011599E-5</v>
      </c>
      <c r="AK334" s="55">
        <v>4.43215174556214E-5</v>
      </c>
      <c r="AL334" s="55">
        <v>5.1735371597633203E-5</v>
      </c>
      <c r="AM334" s="55">
        <v>5.4942144378698101E-5</v>
      </c>
      <c r="AN334" s="51">
        <v>0.98881985009000894</v>
      </c>
    </row>
    <row r="335" spans="1:40" x14ac:dyDescent="0.35">
      <c r="A335" s="51" t="s">
        <v>183</v>
      </c>
      <c r="B335" s="14">
        <v>1</v>
      </c>
      <c r="C335" s="51">
        <v>90</v>
      </c>
      <c r="D335" s="14">
        <v>1300</v>
      </c>
      <c r="E335" s="12">
        <f t="shared" si="522"/>
        <v>28.532561276548574</v>
      </c>
      <c r="F335" s="12">
        <f t="shared" si="523"/>
        <v>1.40679187792216</v>
      </c>
      <c r="G335" s="12">
        <f t="shared" si="524"/>
        <v>0</v>
      </c>
      <c r="H335" s="12">
        <f t="shared" si="525"/>
        <v>18.494203686560827</v>
      </c>
      <c r="I335" s="12">
        <f t="shared" si="526"/>
        <v>1.3160556647767299</v>
      </c>
      <c r="J335" s="12">
        <f t="shared" si="527"/>
        <v>17.508921154657131</v>
      </c>
      <c r="K335" s="13">
        <f t="shared" si="528"/>
        <v>2.1948124058883519E-2</v>
      </c>
      <c r="L335" s="13">
        <f t="shared" si="529"/>
        <v>80.603237258223103</v>
      </c>
      <c r="M335" s="13">
        <f t="shared" si="530"/>
        <v>0</v>
      </c>
      <c r="N335" s="13">
        <f t="shared" si="531"/>
        <v>1.4226310528123712E-2</v>
      </c>
      <c r="O335" s="13">
        <f t="shared" si="532"/>
        <v>75.404435195990501</v>
      </c>
      <c r="P335" s="13">
        <f t="shared" si="533"/>
        <v>1.3468400888197793E-2</v>
      </c>
      <c r="Q335" s="51">
        <v>661.81299999999999</v>
      </c>
      <c r="R335" s="51">
        <v>-214.006</v>
      </c>
      <c r="S335" s="51">
        <v>659.53200000000004</v>
      </c>
      <c r="T335" s="51">
        <v>-232.35900000000001</v>
      </c>
      <c r="U335" s="51">
        <v>684.00199999999995</v>
      </c>
      <c r="V335" s="51">
        <v>-217.428</v>
      </c>
      <c r="W335" s="51">
        <v>681.41</v>
      </c>
      <c r="X335" s="51">
        <v>-234.744</v>
      </c>
      <c r="Y335" s="51">
        <v>671.45600000000002</v>
      </c>
      <c r="Z335" s="51">
        <v>-224.79</v>
      </c>
      <c r="AA335" s="51">
        <v>671.56</v>
      </c>
      <c r="AB335" s="51">
        <v>-224.79</v>
      </c>
      <c r="AC335" s="51">
        <v>671.56</v>
      </c>
      <c r="AD335" s="51">
        <v>-224.79</v>
      </c>
      <c r="AG335" s="14" t="s">
        <v>222</v>
      </c>
      <c r="AH335" s="14" t="s">
        <v>222</v>
      </c>
      <c r="AI335" s="14" t="s">
        <v>222</v>
      </c>
      <c r="AJ335" s="55">
        <v>5.8628471005916901E-5</v>
      </c>
      <c r="AK335" s="55">
        <v>5.9637953550295898E-5</v>
      </c>
      <c r="AL335" s="55">
        <v>6.09266100591715E-5</v>
      </c>
      <c r="AM335" s="55">
        <v>5.7479692899408101E-5</v>
      </c>
      <c r="AN335" s="51">
        <v>1.0011827397580699</v>
      </c>
    </row>
    <row r="336" spans="1:40" x14ac:dyDescent="0.35">
      <c r="A336" s="51" t="s">
        <v>184</v>
      </c>
      <c r="B336" s="14">
        <v>1</v>
      </c>
      <c r="C336" s="51">
        <v>30</v>
      </c>
      <c r="D336" s="14">
        <v>1822</v>
      </c>
      <c r="E336" s="12">
        <f t="shared" ref="E336:E342" si="534">DIST2(Q336,R336,W336,X336)</f>
        <v>63.209683981174933</v>
      </c>
      <c r="F336" s="12">
        <f t="shared" ref="F336:F342" si="535">ACOS((DIST2(Y336,Z336,S336,T336)^2 + DIST2(Y336,Z336,Q336,R336)^2 - DIST2(Q336,R336,S336,T336)^2)/(2*DIST2(Y336,Z336,S336,T336) * DIST2(Y336,Z336,Q336,R336)))</f>
        <v>0.85733266890885551</v>
      </c>
      <c r="G336" s="12">
        <f t="shared" ref="G336:G342" si="536">DIST2(AA336,AB336,AC336,AD336)</f>
        <v>0.69399207488272108</v>
      </c>
      <c r="H336" s="12">
        <f t="shared" ref="H336:H342" si="537">DIST2(Q336,R336,S336,T336)</f>
        <v>26.207843577829905</v>
      </c>
      <c r="I336" s="12">
        <f t="shared" ref="I336:I342" si="538">ACOS((DIST2(Y336,Z336,W336,X336)^2 + DIST2(Y336,Z336,U336,V336)^2 - DIST2(U336,V336,W336,X336)^2)/(2*DIST2(Y336,Z336,W336,X336) * DIST2(Y336,Z336,U336,V336)))</f>
        <v>0.88337652934575384</v>
      </c>
      <c r="J336" s="12">
        <f t="shared" ref="J336:J342" si="539">DIST2(U336,V336,W336,X336)</f>
        <v>27.116062416951333</v>
      </c>
      <c r="K336" s="13">
        <f t="shared" ref="K336:K342" si="540">E336/D336</f>
        <v>3.4692471998449471E-2</v>
      </c>
      <c r="L336" s="13">
        <f t="shared" ref="L336:L342" si="541">F336*180/PI()</f>
        <v>49.121543567164196</v>
      </c>
      <c r="M336" s="13">
        <f t="shared" ref="M336:M342" si="542">G336/D336</f>
        <v>3.8089576008930906E-4</v>
      </c>
      <c r="N336" s="13">
        <f t="shared" ref="N336:N342" si="543">H336/D336</f>
        <v>1.4384107342387435E-2</v>
      </c>
      <c r="O336" s="13">
        <f t="shared" ref="O336:O342" si="544">I336*180/PI()</f>
        <v>50.613746852426203</v>
      </c>
      <c r="P336" s="13">
        <f t="shared" ref="P336:P342" si="545">J336/D336</f>
        <v>1.4882580909413466E-2</v>
      </c>
      <c r="Q336" s="51">
        <v>611.71299999999997</v>
      </c>
      <c r="R336" s="51">
        <v>188.48400000000001</v>
      </c>
      <c r="S336" s="51">
        <v>614.18499999999995</v>
      </c>
      <c r="T336" s="51">
        <v>162.393</v>
      </c>
      <c r="U336" s="51">
        <v>554.31200000000001</v>
      </c>
      <c r="V336" s="51">
        <v>182.71700000000001</v>
      </c>
      <c r="W336" s="51">
        <v>557.60799999999995</v>
      </c>
      <c r="X336" s="51">
        <v>155.80199999999999</v>
      </c>
      <c r="Y336" s="51">
        <v>584.50400000000002</v>
      </c>
      <c r="Z336" s="51">
        <v>171.893</v>
      </c>
      <c r="AA336" s="51">
        <v>584.50400000000002</v>
      </c>
      <c r="AB336" s="51">
        <v>171.48</v>
      </c>
      <c r="AC336" s="51">
        <v>584.41300000000001</v>
      </c>
      <c r="AD336" s="51">
        <v>172.16800000000001</v>
      </c>
      <c r="AG336" s="14" t="s">
        <v>226</v>
      </c>
      <c r="AH336" s="14" t="s">
        <v>226</v>
      </c>
      <c r="AI336" s="14" t="s">
        <v>222</v>
      </c>
      <c r="AJ336" s="51">
        <v>1.1702044170469301E-4</v>
      </c>
      <c r="AK336" s="51">
        <v>1.13101573975113E-4</v>
      </c>
      <c r="AL336" s="51">
        <v>1.1734785841062E-4</v>
      </c>
      <c r="AM336" s="51">
        <v>1.06899131061872E-4</v>
      </c>
      <c r="AN336" s="51">
        <v>0.97446995156044303</v>
      </c>
    </row>
    <row r="337" spans="1:40" x14ac:dyDescent="0.35">
      <c r="A337" s="51" t="s">
        <v>184</v>
      </c>
      <c r="B337" s="14">
        <v>1</v>
      </c>
      <c r="C337" s="51">
        <v>40</v>
      </c>
      <c r="D337" s="14">
        <v>1822</v>
      </c>
      <c r="E337" s="12">
        <f t="shared" si="534"/>
        <v>67.35590317856331</v>
      </c>
      <c r="F337" s="12">
        <f t="shared" si="535"/>
        <v>0.87451861998481639</v>
      </c>
      <c r="G337" s="12">
        <f t="shared" si="536"/>
        <v>0.86217515621825891</v>
      </c>
      <c r="H337" s="12">
        <f t="shared" si="537"/>
        <v>29.885347329418821</v>
      </c>
      <c r="I337" s="12">
        <f t="shared" si="538"/>
        <v>0.92248873096175987</v>
      </c>
      <c r="J337" s="12">
        <f t="shared" si="539"/>
        <v>28.605491518238257</v>
      </c>
      <c r="K337" s="13">
        <f t="shared" si="540"/>
        <v>3.696811370942004E-2</v>
      </c>
      <c r="L337" s="13">
        <f t="shared" si="541"/>
        <v>50.106226030735066</v>
      </c>
      <c r="M337" s="13">
        <f t="shared" si="542"/>
        <v>4.7320261043812235E-4</v>
      </c>
      <c r="N337" s="13">
        <f t="shared" si="543"/>
        <v>1.6402495790021305E-2</v>
      </c>
      <c r="O337" s="13">
        <f t="shared" si="544"/>
        <v>52.854710932488111</v>
      </c>
      <c r="P337" s="13">
        <f t="shared" si="545"/>
        <v>1.5700050229548988E-2</v>
      </c>
      <c r="Q337" s="51">
        <v>798.30799999999999</v>
      </c>
      <c r="R337" s="51">
        <v>212.679</v>
      </c>
      <c r="S337" s="51">
        <v>801.48500000000001</v>
      </c>
      <c r="T337" s="51">
        <v>182.96299999999999</v>
      </c>
      <c r="U337" s="51">
        <v>737.94200000000001</v>
      </c>
      <c r="V337" s="51">
        <v>205.203</v>
      </c>
      <c r="W337" s="51">
        <v>741.30600000000004</v>
      </c>
      <c r="X337" s="51">
        <v>176.79599999999999</v>
      </c>
      <c r="Y337" s="51">
        <v>768.02200000000005</v>
      </c>
      <c r="Z337" s="51">
        <v>195.56800000000001</v>
      </c>
      <c r="AA337" s="51">
        <v>768.06700000000001</v>
      </c>
      <c r="AB337" s="51">
        <v>195.16</v>
      </c>
      <c r="AC337" s="51">
        <v>768.02200000000005</v>
      </c>
      <c r="AD337" s="51">
        <v>196.02099999999999</v>
      </c>
      <c r="AG337" s="14" t="s">
        <v>226</v>
      </c>
      <c r="AH337" s="14" t="s">
        <v>226</v>
      </c>
      <c r="AI337" s="14" t="s">
        <v>222</v>
      </c>
      <c r="AJ337" s="51">
        <v>1.2381757119051101E-4</v>
      </c>
      <c r="AK337" s="51">
        <v>1.4373964856293501E-4</v>
      </c>
      <c r="AL337" s="51">
        <v>1.1735434637754699E-4</v>
      </c>
      <c r="AM337" s="51">
        <v>1.4159360785544599E-4</v>
      </c>
      <c r="AN337" s="51">
        <v>0.96782271273267695</v>
      </c>
    </row>
    <row r="338" spans="1:40" x14ac:dyDescent="0.35">
      <c r="A338" s="51" t="s">
        <v>184</v>
      </c>
      <c r="B338" s="14">
        <v>1</v>
      </c>
      <c r="C338" s="51">
        <v>50</v>
      </c>
      <c r="D338" s="14">
        <v>1822</v>
      </c>
      <c r="E338" s="12">
        <f t="shared" si="534"/>
        <v>68.376099515839584</v>
      </c>
      <c r="F338" s="12">
        <f t="shared" si="535"/>
        <v>0.89086659614323693</v>
      </c>
      <c r="G338" s="12">
        <f t="shared" si="536"/>
        <v>1.195999999999998</v>
      </c>
      <c r="H338" s="12">
        <f t="shared" si="537"/>
        <v>31.367526599972766</v>
      </c>
      <c r="I338" s="12">
        <f t="shared" si="538"/>
        <v>0.96890208659700172</v>
      </c>
      <c r="J338" s="12">
        <f t="shared" si="539"/>
        <v>29.833006033586358</v>
      </c>
      <c r="K338" s="13">
        <f t="shared" si="540"/>
        <v>3.7528045837453117E-2</v>
      </c>
      <c r="L338" s="13">
        <f t="shared" si="541"/>
        <v>51.042896068193066</v>
      </c>
      <c r="M338" s="13">
        <f t="shared" si="542"/>
        <v>6.5642151481887928E-4</v>
      </c>
      <c r="N338" s="13">
        <f t="shared" si="543"/>
        <v>1.7215986059260575E-2</v>
      </c>
      <c r="O338" s="13">
        <f t="shared" si="544"/>
        <v>55.514000323427204</v>
      </c>
      <c r="P338" s="13">
        <f t="shared" si="545"/>
        <v>1.637376840482237E-2</v>
      </c>
      <c r="Q338" s="51">
        <v>927.40800000000002</v>
      </c>
      <c r="R338" s="51">
        <v>225.27799999999999</v>
      </c>
      <c r="S338" s="51">
        <v>930.02700000000004</v>
      </c>
      <c r="T338" s="51">
        <v>194.02</v>
      </c>
      <c r="U338" s="51">
        <v>866.29100000000005</v>
      </c>
      <c r="V338" s="51">
        <v>218.99100000000001</v>
      </c>
      <c r="W338" s="51">
        <v>869.25900000000001</v>
      </c>
      <c r="X338" s="51">
        <v>189.30600000000001</v>
      </c>
      <c r="Y338" s="51">
        <v>895.97500000000002</v>
      </c>
      <c r="Z338" s="51">
        <v>206.994</v>
      </c>
      <c r="AA338" s="51">
        <v>896.01</v>
      </c>
      <c r="AB338" s="51">
        <v>206.43100000000001</v>
      </c>
      <c r="AC338" s="51">
        <v>896.01</v>
      </c>
      <c r="AD338" s="51">
        <v>207.62700000000001</v>
      </c>
      <c r="AG338" s="14" t="s">
        <v>226</v>
      </c>
      <c r="AH338" s="14" t="s">
        <v>226</v>
      </c>
      <c r="AI338" s="14" t="s">
        <v>222</v>
      </c>
      <c r="AJ338" s="51">
        <v>1.2735586338940701E-4</v>
      </c>
      <c r="AK338" s="51">
        <v>1.5519828242688201E-4</v>
      </c>
      <c r="AL338" s="51">
        <v>1.32750126367449E-4</v>
      </c>
      <c r="AM338" s="51">
        <v>1.3774621108515199E-4</v>
      </c>
      <c r="AN338" s="51">
        <v>0.957325671761591</v>
      </c>
    </row>
    <row r="339" spans="1:40" x14ac:dyDescent="0.35">
      <c r="A339" s="51" t="s">
        <v>184</v>
      </c>
      <c r="B339" s="14">
        <v>1</v>
      </c>
      <c r="C339" s="51">
        <v>60</v>
      </c>
      <c r="D339" s="14">
        <v>1822</v>
      </c>
      <c r="E339" s="12">
        <f t="shared" si="534"/>
        <v>72.12671300565421</v>
      </c>
      <c r="F339" s="12">
        <f t="shared" si="535"/>
        <v>0.88781198649621695</v>
      </c>
      <c r="G339" s="12">
        <f t="shared" si="536"/>
        <v>0.83580859052772227</v>
      </c>
      <c r="H339" s="12">
        <f t="shared" si="537"/>
        <v>32.381646406568024</v>
      </c>
      <c r="I339" s="12">
        <f t="shared" si="538"/>
        <v>1.0029390245221363</v>
      </c>
      <c r="J339" s="12">
        <f t="shared" si="539"/>
        <v>32.941538959192535</v>
      </c>
      <c r="K339" s="13">
        <f t="shared" si="540"/>
        <v>3.9586560376319545E-2</v>
      </c>
      <c r="L339" s="13">
        <f t="shared" si="541"/>
        <v>50.86787982735887</v>
      </c>
      <c r="M339" s="13">
        <f t="shared" si="542"/>
        <v>4.5873138887361266E-4</v>
      </c>
      <c r="N339" s="13">
        <f t="shared" si="543"/>
        <v>1.7772583099104292E-2</v>
      </c>
      <c r="O339" s="13">
        <f t="shared" si="544"/>
        <v>57.464173214086188</v>
      </c>
      <c r="P339" s="13">
        <f t="shared" si="545"/>
        <v>1.8079878682323015E-2</v>
      </c>
      <c r="Q339" s="51">
        <v>1129.29</v>
      </c>
      <c r="R339" s="51">
        <v>227.583</v>
      </c>
      <c r="S339" s="51">
        <v>1128.3499999999999</v>
      </c>
      <c r="T339" s="51">
        <v>195.215</v>
      </c>
      <c r="U339" s="51">
        <v>1065.1199999999999</v>
      </c>
      <c r="V339" s="51">
        <v>229.089</v>
      </c>
      <c r="W339" s="51">
        <v>1064.3699999999999</v>
      </c>
      <c r="X339" s="51">
        <v>196.15600000000001</v>
      </c>
      <c r="Y339" s="51">
        <v>1094.78</v>
      </c>
      <c r="Z339" s="51">
        <v>211.86799999999999</v>
      </c>
      <c r="AA339" s="51">
        <v>1094.72</v>
      </c>
      <c r="AB339" s="51">
        <v>211.483</v>
      </c>
      <c r="AC339" s="51">
        <v>1094.8599999999999</v>
      </c>
      <c r="AD339" s="51">
        <v>212.30699999999999</v>
      </c>
      <c r="AG339" s="14" t="s">
        <v>226</v>
      </c>
      <c r="AH339" s="14" t="s">
        <v>226</v>
      </c>
      <c r="AI339" s="14" t="s">
        <v>222</v>
      </c>
      <c r="AJ339" s="51">
        <v>1.4906667773197701E-4</v>
      </c>
      <c r="AK339" s="51">
        <v>1.6601694317892901E-4</v>
      </c>
      <c r="AL339" s="51">
        <v>1.55453425687505E-4</v>
      </c>
      <c r="AM339" s="51">
        <v>1.5199952917205399E-4</v>
      </c>
      <c r="AN339" s="51">
        <v>0.97578209229255797</v>
      </c>
    </row>
    <row r="340" spans="1:40" x14ac:dyDescent="0.35">
      <c r="A340" s="51" t="s">
        <v>184</v>
      </c>
      <c r="B340" s="14">
        <v>1</v>
      </c>
      <c r="C340" s="51">
        <v>70</v>
      </c>
      <c r="D340" s="14">
        <v>1822</v>
      </c>
      <c r="E340" s="12">
        <f t="shared" si="534"/>
        <v>68.301941414574728</v>
      </c>
      <c r="F340" s="12">
        <f t="shared" si="535"/>
        <v>1.001799774018334</v>
      </c>
      <c r="G340" s="12">
        <f t="shared" si="536"/>
        <v>1.5142971967219454</v>
      </c>
      <c r="H340" s="12">
        <f t="shared" si="537"/>
        <v>32.710230525020748</v>
      </c>
      <c r="I340" s="12">
        <f t="shared" si="538"/>
        <v>1.0252420340384876</v>
      </c>
      <c r="J340" s="12">
        <f t="shared" si="539"/>
        <v>33.048796891868847</v>
      </c>
      <c r="K340" s="13">
        <f t="shared" si="540"/>
        <v>3.7487344354870875E-2</v>
      </c>
      <c r="L340" s="13">
        <f t="shared" si="541"/>
        <v>57.398898968410165</v>
      </c>
      <c r="M340" s="13">
        <f t="shared" si="542"/>
        <v>8.3111811016572197E-4</v>
      </c>
      <c r="N340" s="13">
        <f t="shared" si="543"/>
        <v>1.7952925644907105E-2</v>
      </c>
      <c r="O340" s="13">
        <f t="shared" si="544"/>
        <v>58.742041529813228</v>
      </c>
      <c r="P340" s="13">
        <f t="shared" si="545"/>
        <v>1.8138746921991682E-2</v>
      </c>
      <c r="Q340" s="51">
        <v>1319.71</v>
      </c>
      <c r="R340" s="51">
        <v>219.255</v>
      </c>
      <c r="S340" s="51">
        <v>1317.88</v>
      </c>
      <c r="T340" s="51">
        <v>186.596</v>
      </c>
      <c r="U340" s="51">
        <v>1260.23</v>
      </c>
      <c r="V340" s="51">
        <v>221.08</v>
      </c>
      <c r="W340" s="51">
        <v>1258.95</v>
      </c>
      <c r="X340" s="51">
        <v>188.05600000000001</v>
      </c>
      <c r="Y340" s="51">
        <v>1288.94</v>
      </c>
      <c r="Z340" s="51">
        <v>203.82400000000001</v>
      </c>
      <c r="AA340" s="51">
        <v>1288.98</v>
      </c>
      <c r="AB340" s="51">
        <v>203.06200000000001</v>
      </c>
      <c r="AC340" s="51">
        <v>1289.01</v>
      </c>
      <c r="AD340" s="51">
        <v>204.57599999999999</v>
      </c>
      <c r="AG340" s="14" t="s">
        <v>226</v>
      </c>
      <c r="AH340" s="14" t="s">
        <v>226</v>
      </c>
      <c r="AI340" s="14" t="s">
        <v>222</v>
      </c>
      <c r="AJ340" s="51">
        <v>1.46129378579407E-4</v>
      </c>
      <c r="AK340" s="51">
        <v>1.4710416714362E-4</v>
      </c>
      <c r="AL340" s="51">
        <v>1.3994320242529101E-4</v>
      </c>
      <c r="AM340" s="51">
        <v>1.3979453767286299E-4</v>
      </c>
      <c r="AN340" s="51">
        <v>0.95397591502842605</v>
      </c>
    </row>
    <row r="341" spans="1:40" x14ac:dyDescent="0.35">
      <c r="A341" s="51" t="s">
        <v>184</v>
      </c>
      <c r="B341" s="14">
        <v>1</v>
      </c>
      <c r="C341" s="51">
        <v>80</v>
      </c>
      <c r="D341" s="14">
        <v>1822</v>
      </c>
      <c r="E341" s="12">
        <f t="shared" si="534"/>
        <v>64.419995063644535</v>
      </c>
      <c r="F341" s="12">
        <f t="shared" si="535"/>
        <v>1.0684145578974698</v>
      </c>
      <c r="G341" s="12">
        <f t="shared" si="536"/>
        <v>1.3095098319599991</v>
      </c>
      <c r="H341" s="12">
        <f t="shared" si="537"/>
        <v>32.324558403789538</v>
      </c>
      <c r="I341" s="12">
        <f t="shared" si="538"/>
        <v>1.0799577964958842</v>
      </c>
      <c r="J341" s="12">
        <f t="shared" si="539"/>
        <v>33.089728935124285</v>
      </c>
      <c r="K341" s="13">
        <f t="shared" si="540"/>
        <v>3.5356748113965164E-2</v>
      </c>
      <c r="L341" s="13">
        <f t="shared" si="541"/>
        <v>61.215644937860759</v>
      </c>
      <c r="M341" s="13">
        <f t="shared" si="542"/>
        <v>7.1872109328210716E-4</v>
      </c>
      <c r="N341" s="13">
        <f t="shared" si="543"/>
        <v>1.7741250496042558E-2</v>
      </c>
      <c r="O341" s="13">
        <f t="shared" si="544"/>
        <v>61.877023791462406</v>
      </c>
      <c r="P341" s="13">
        <f t="shared" si="545"/>
        <v>1.8161212368344833E-2</v>
      </c>
      <c r="Q341" s="51">
        <v>1496.36</v>
      </c>
      <c r="R341" s="51">
        <v>214.67500000000001</v>
      </c>
      <c r="S341" s="51">
        <v>1496.17</v>
      </c>
      <c r="T341" s="51">
        <v>182.351</v>
      </c>
      <c r="U341" s="51">
        <v>1441.73</v>
      </c>
      <c r="V341" s="51">
        <v>214.864</v>
      </c>
      <c r="W341" s="51">
        <v>1440.97</v>
      </c>
      <c r="X341" s="51">
        <v>181.78299999999999</v>
      </c>
      <c r="Y341" s="51">
        <v>1468.95</v>
      </c>
      <c r="Z341" s="51">
        <v>198.125</v>
      </c>
      <c r="AA341" s="51">
        <v>1468.89</v>
      </c>
      <c r="AB341" s="51">
        <v>197.35400000000001</v>
      </c>
      <c r="AC341" s="51">
        <v>1469.01</v>
      </c>
      <c r="AD341" s="51">
        <v>198.65799999999999</v>
      </c>
      <c r="AG341" s="14" t="s">
        <v>226</v>
      </c>
      <c r="AH341" s="14" t="s">
        <v>226</v>
      </c>
      <c r="AI341" s="14" t="s">
        <v>222</v>
      </c>
      <c r="AJ341" s="51">
        <v>1.3754117259353601E-4</v>
      </c>
      <c r="AK341" s="51">
        <v>1.3297294863005E-4</v>
      </c>
      <c r="AL341" s="51">
        <v>1.3256952468969899E-4</v>
      </c>
      <c r="AM341" s="51">
        <v>1.2706941986044499E-4</v>
      </c>
      <c r="AN341" s="51">
        <v>0.95979811839673401</v>
      </c>
    </row>
    <row r="342" spans="1:40" x14ac:dyDescent="0.35">
      <c r="A342" s="51" t="s">
        <v>184</v>
      </c>
      <c r="B342" s="14">
        <v>1</v>
      </c>
      <c r="C342" s="51">
        <v>90</v>
      </c>
      <c r="D342" s="14">
        <v>1822</v>
      </c>
      <c r="E342" s="12">
        <f t="shared" si="534"/>
        <v>62.185480210415712</v>
      </c>
      <c r="F342" s="12">
        <f t="shared" si="535"/>
        <v>1.0250638821609241</v>
      </c>
      <c r="G342" s="12">
        <f t="shared" si="536"/>
        <v>0.93941258241522285</v>
      </c>
      <c r="H342" s="12">
        <f t="shared" si="537"/>
        <v>29.810576462054538</v>
      </c>
      <c r="I342" s="12">
        <f t="shared" si="538"/>
        <v>1.0880304089735928</v>
      </c>
      <c r="J342" s="12">
        <f t="shared" si="539"/>
        <v>32.559009137257256</v>
      </c>
      <c r="K342" s="13">
        <f t="shared" si="540"/>
        <v>3.4130340400886777E-2</v>
      </c>
      <c r="L342" s="13">
        <f t="shared" si="541"/>
        <v>58.731834179116511</v>
      </c>
      <c r="M342" s="13">
        <f t="shared" si="542"/>
        <v>5.1559417256598404E-4</v>
      </c>
      <c r="N342" s="13">
        <f t="shared" si="543"/>
        <v>1.6361457992346069E-2</v>
      </c>
      <c r="O342" s="13">
        <f t="shared" si="544"/>
        <v>62.33955041607976</v>
      </c>
      <c r="P342" s="13">
        <f t="shared" si="545"/>
        <v>1.7869928176321215E-2</v>
      </c>
      <c r="Q342" s="51">
        <v>1668.99</v>
      </c>
      <c r="R342" s="51">
        <v>224.63399999999999</v>
      </c>
      <c r="S342" s="51">
        <v>1671.4</v>
      </c>
      <c r="T342" s="51">
        <v>194.92099999999999</v>
      </c>
      <c r="U342" s="51">
        <v>1615.6</v>
      </c>
      <c r="V342" s="51">
        <v>220.703</v>
      </c>
      <c r="W342" s="51">
        <v>1618.54</v>
      </c>
      <c r="X342" s="51">
        <v>188.27699999999999</v>
      </c>
      <c r="Y342" s="51">
        <v>1643.79</v>
      </c>
      <c r="Z342" s="51">
        <v>207.66399999999999</v>
      </c>
      <c r="AA342" s="51">
        <v>1643.91</v>
      </c>
      <c r="AB342" s="51">
        <v>207.196</v>
      </c>
      <c r="AC342" s="51">
        <v>1643.83</v>
      </c>
      <c r="AD342" s="51">
        <v>208.13200000000001</v>
      </c>
      <c r="AG342" s="14" t="s">
        <v>226</v>
      </c>
      <c r="AH342" s="14" t="s">
        <v>226</v>
      </c>
      <c r="AI342" s="14" t="s">
        <v>222</v>
      </c>
      <c r="AJ342" s="51">
        <v>1.3190325946686499E-4</v>
      </c>
      <c r="AK342" s="51">
        <v>1.18936817480218E-4</v>
      </c>
      <c r="AL342" s="51">
        <v>1.17803052941184E-4</v>
      </c>
      <c r="AM342" s="51">
        <v>1.25237832878069E-4</v>
      </c>
      <c r="AN342" s="51">
        <v>0.96890771513566498</v>
      </c>
    </row>
    <row r="343" spans="1:40" x14ac:dyDescent="0.35">
      <c r="A343" s="51" t="s">
        <v>185</v>
      </c>
      <c r="B343" s="14">
        <v>1</v>
      </c>
      <c r="C343" s="51">
        <v>30</v>
      </c>
      <c r="D343" s="14">
        <v>1993</v>
      </c>
      <c r="E343" s="12">
        <f t="shared" ref="E343:E349" si="546">DIST2(Q343,R343,W343,X343)</f>
        <v>45.535400305696257</v>
      </c>
      <c r="F343" s="12">
        <f t="shared" ref="F343:F349" si="547">ACOS((DIST2(Y343,Z343,S343,T343)^2 + DIST2(Y343,Z343,Q343,R343)^2 - DIST2(Q343,R343,S343,T343)^2)/(2*DIST2(Y343,Z343,S343,T343) * DIST2(Y343,Z343,Q343,R343)))</f>
        <v>1.4595310026579942</v>
      </c>
      <c r="G343" s="12">
        <f t="shared" ref="G343:G349" si="548">DIST2(AA343,AB343,AC343,AD343)</f>
        <v>0.60332744011854933</v>
      </c>
      <c r="H343" s="12">
        <f t="shared" ref="H343:H349" si="549">DIST2(Q343,R343,S343,T343)</f>
        <v>33.163882100863887</v>
      </c>
      <c r="I343" s="12">
        <f t="shared" ref="I343:I349" si="550">ACOS((DIST2(Y343,Z343,W343,X343)^2 + DIST2(Y343,Z343,U343,V343)^2 - DIST2(U343,V343,W343,X343)^2)/(2*DIST2(Y343,Z343,W343,X343) * DIST2(Y343,Z343,U343,V343)))</f>
        <v>1.6559883266732949</v>
      </c>
      <c r="J343" s="12">
        <f t="shared" ref="J343:J349" si="551">DIST2(U343,V343,W343,X343)</f>
        <v>32.720051955948975</v>
      </c>
      <c r="K343" s="13">
        <f t="shared" ref="K343:K349" si="552">E343/D343</f>
        <v>2.2847666987303693E-2</v>
      </c>
      <c r="L343" s="13">
        <f t="shared" ref="L343:L349" si="553">F343*180/PI()</f>
        <v>83.624966520800399</v>
      </c>
      <c r="M343" s="13">
        <f t="shared" ref="M343:M349" si="554">G343/D343</f>
        <v>3.0272325143931226E-4</v>
      </c>
      <c r="N343" s="13">
        <f t="shared" ref="N343:N349" si="555">H343/D343</f>
        <v>1.6640181686334111E-2</v>
      </c>
      <c r="O343" s="13">
        <f t="shared" ref="O343:O349" si="556">I343*180/PI()</f>
        <v>94.88114204131125</v>
      </c>
      <c r="P343" s="13">
        <f t="shared" ref="P343:P349" si="557">J343/D343</f>
        <v>1.6417487183115392E-2</v>
      </c>
      <c r="Q343" s="51">
        <v>1790.91</v>
      </c>
      <c r="R343" s="51">
        <v>-189.12799999999999</v>
      </c>
      <c r="S343" s="51">
        <v>1793.35</v>
      </c>
      <c r="T343" s="51">
        <v>-222.202</v>
      </c>
      <c r="U343" s="51">
        <v>1823.76</v>
      </c>
      <c r="V343" s="51">
        <v>-184.46700000000001</v>
      </c>
      <c r="W343" s="51">
        <v>1826.89</v>
      </c>
      <c r="X343" s="51">
        <v>-217.03700000000001</v>
      </c>
      <c r="Y343" s="51">
        <v>1810.49</v>
      </c>
      <c r="Z343" s="51">
        <v>-203.13399999999999</v>
      </c>
      <c r="AA343" s="51">
        <v>1810.45</v>
      </c>
      <c r="AB343" s="51">
        <v>-203.41499999999999</v>
      </c>
      <c r="AC343" s="51">
        <v>1810.49</v>
      </c>
      <c r="AD343" s="51">
        <v>-202.81299999999999</v>
      </c>
      <c r="AG343" s="14" t="s">
        <v>225</v>
      </c>
      <c r="AH343" s="14" t="s">
        <v>225</v>
      </c>
      <c r="AI343" s="14" t="s">
        <v>223</v>
      </c>
      <c r="AJ343" s="55">
        <v>6.1760518311833697E-5</v>
      </c>
      <c r="AK343" s="55">
        <v>7.7216353574691593E-5</v>
      </c>
      <c r="AL343" s="55">
        <v>6.8077537563106298E-5</v>
      </c>
      <c r="AM343" s="55">
        <v>6.8200880704140805E-5</v>
      </c>
      <c r="AN343" s="51">
        <v>0.98058343390056002</v>
      </c>
    </row>
    <row r="344" spans="1:40" x14ac:dyDescent="0.35">
      <c r="A344" s="51" t="s">
        <v>185</v>
      </c>
      <c r="B344" s="14">
        <v>1</v>
      </c>
      <c r="C344" s="51">
        <v>40</v>
      </c>
      <c r="D344" s="14">
        <v>1993</v>
      </c>
      <c r="E344" s="12">
        <f t="shared" si="546"/>
        <v>68.137575213680705</v>
      </c>
      <c r="F344" s="12">
        <f t="shared" si="547"/>
        <v>0.69726623232800988</v>
      </c>
      <c r="G344" s="12">
        <f t="shared" si="548"/>
        <v>1.8483259993842853</v>
      </c>
      <c r="H344" s="12">
        <f t="shared" si="549"/>
        <v>26.826400224405788</v>
      </c>
      <c r="I344" s="12">
        <f t="shared" si="550"/>
        <v>1.1345339657665741</v>
      </c>
      <c r="J344" s="12">
        <f t="shared" si="551"/>
        <v>31.103739662619361</v>
      </c>
      <c r="K344" s="13">
        <f t="shared" si="552"/>
        <v>3.4188447171942152E-2</v>
      </c>
      <c r="L344" s="13">
        <f t="shared" si="553"/>
        <v>39.950412309383289</v>
      </c>
      <c r="M344" s="13">
        <f t="shared" si="554"/>
        <v>9.2740893095046928E-4</v>
      </c>
      <c r="N344" s="13">
        <f t="shared" si="555"/>
        <v>1.3460311201407822E-2</v>
      </c>
      <c r="O344" s="13">
        <f t="shared" si="556"/>
        <v>65.004007952664509</v>
      </c>
      <c r="P344" s="13">
        <f t="shared" si="557"/>
        <v>1.5606492555253067E-2</v>
      </c>
      <c r="Q344" s="51">
        <v>1584.16</v>
      </c>
      <c r="R344" s="51">
        <v>-207.89500000000001</v>
      </c>
      <c r="S344" s="51">
        <v>1587.17</v>
      </c>
      <c r="T344" s="51">
        <v>-234.55199999999999</v>
      </c>
      <c r="U344" s="51">
        <v>1645.81</v>
      </c>
      <c r="V344" s="51">
        <v>-202.1</v>
      </c>
      <c r="W344" s="51">
        <v>1647.44</v>
      </c>
      <c r="X344" s="51">
        <v>-233.161</v>
      </c>
      <c r="Y344" s="51">
        <v>1622.43</v>
      </c>
      <c r="Z344" s="51">
        <v>-220.65299999999999</v>
      </c>
      <c r="AA344" s="51">
        <v>1622.22</v>
      </c>
      <c r="AB344" s="51">
        <v>-221.47399999999999</v>
      </c>
      <c r="AC344" s="51">
        <v>1622.29</v>
      </c>
      <c r="AD344" s="51">
        <v>-219.62700000000001</v>
      </c>
      <c r="AG344" s="14" t="s">
        <v>225</v>
      </c>
      <c r="AH344" s="14" t="s">
        <v>225</v>
      </c>
      <c r="AI344" s="14" t="s">
        <v>223</v>
      </c>
      <c r="AJ344" s="55">
        <v>9.5221329092365001E-5</v>
      </c>
      <c r="AK344" s="51">
        <v>1.2358379894105001E-4</v>
      </c>
      <c r="AL344" s="51">
        <v>1.18860712695135E-4</v>
      </c>
      <c r="AM344" s="55">
        <v>9.3082500996337204E-5</v>
      </c>
      <c r="AN344" s="51">
        <v>0.96863915209110196</v>
      </c>
    </row>
    <row r="345" spans="1:40" x14ac:dyDescent="0.35">
      <c r="A345" s="51" t="s">
        <v>185</v>
      </c>
      <c r="B345" s="14">
        <v>1</v>
      </c>
      <c r="C345" s="51">
        <v>50</v>
      </c>
      <c r="D345" s="14">
        <v>1993</v>
      </c>
      <c r="E345" s="12">
        <f t="shared" si="546"/>
        <v>71.476427694730319</v>
      </c>
      <c r="F345" s="12">
        <f t="shared" si="547"/>
        <v>0.4429531341398274</v>
      </c>
      <c r="G345" s="12">
        <f t="shared" si="548"/>
        <v>1.5975371670167744</v>
      </c>
      <c r="H345" s="12">
        <f t="shared" si="549"/>
        <v>17.219388519921363</v>
      </c>
      <c r="I345" s="12">
        <f t="shared" si="550"/>
        <v>0.73315719477877805</v>
      </c>
      <c r="J345" s="12">
        <f t="shared" si="551"/>
        <v>24.139173556689965</v>
      </c>
      <c r="K345" s="13">
        <f t="shared" si="552"/>
        <v>3.586373692660829E-2</v>
      </c>
      <c r="L345" s="13">
        <f t="shared" si="553"/>
        <v>25.379345108304328</v>
      </c>
      <c r="M345" s="13">
        <f t="shared" si="554"/>
        <v>8.0157409283330375E-4</v>
      </c>
      <c r="N345" s="13">
        <f t="shared" si="555"/>
        <v>8.6399340290624002E-3</v>
      </c>
      <c r="O345" s="13">
        <f t="shared" si="556"/>
        <v>42.00681298047482</v>
      </c>
      <c r="P345" s="13">
        <f t="shared" si="557"/>
        <v>1.2111978703808311E-2</v>
      </c>
      <c r="Q345" s="51">
        <v>1426.47</v>
      </c>
      <c r="R345" s="51">
        <v>-212.917</v>
      </c>
      <c r="S345" s="51">
        <v>1427.76</v>
      </c>
      <c r="T345" s="51">
        <v>-230.08799999999999</v>
      </c>
      <c r="U345" s="51">
        <v>1357.02</v>
      </c>
      <c r="V345" s="51">
        <v>-211.12299999999999</v>
      </c>
      <c r="W345" s="51">
        <v>1358.56</v>
      </c>
      <c r="X345" s="51">
        <v>-235.21299999999999</v>
      </c>
      <c r="Y345" s="51">
        <v>1389.09</v>
      </c>
      <c r="Z345" s="51">
        <v>-220.32900000000001</v>
      </c>
      <c r="AA345" s="51">
        <v>1389.27</v>
      </c>
      <c r="AB345" s="51">
        <v>-221.17400000000001</v>
      </c>
      <c r="AC345" s="51">
        <v>1389.18</v>
      </c>
      <c r="AD345" s="51">
        <v>-219.57900000000001</v>
      </c>
      <c r="AG345" s="14" t="s">
        <v>225</v>
      </c>
      <c r="AH345" s="14" t="s">
        <v>225</v>
      </c>
      <c r="AI345" s="14" t="s">
        <v>223</v>
      </c>
      <c r="AJ345" s="55">
        <v>9.5465723106638296E-5</v>
      </c>
      <c r="AK345" s="55">
        <v>8.1999675734111202E-5</v>
      </c>
      <c r="AL345" s="55">
        <v>6.6662591523921404E-5</v>
      </c>
      <c r="AM345" s="51">
        <v>1.02479859890953E-4</v>
      </c>
      <c r="AN345" s="51">
        <v>0.95310101304117401</v>
      </c>
    </row>
    <row r="346" spans="1:40" x14ac:dyDescent="0.35">
      <c r="A346" s="51" t="s">
        <v>185</v>
      </c>
      <c r="B346" s="14">
        <v>1</v>
      </c>
      <c r="C346" s="51">
        <v>60</v>
      </c>
      <c r="D346" s="14">
        <v>1993</v>
      </c>
      <c r="E346" s="12">
        <f t="shared" si="546"/>
        <v>82.190115129497059</v>
      </c>
      <c r="F346" s="12">
        <f t="shared" si="547"/>
        <v>0.74419352865533517</v>
      </c>
      <c r="G346" s="12">
        <f t="shared" si="548"/>
        <v>3.9131891086427313</v>
      </c>
      <c r="H346" s="12">
        <f t="shared" si="549"/>
        <v>27.212042113740747</v>
      </c>
      <c r="I346" s="12">
        <f t="shared" si="550"/>
        <v>0.67770184325647997</v>
      </c>
      <c r="J346" s="12">
        <f t="shared" si="551"/>
        <v>28.551954766705546</v>
      </c>
      <c r="K346" s="13">
        <f t="shared" si="552"/>
        <v>4.1239395448819396E-2</v>
      </c>
      <c r="L346" s="13">
        <f t="shared" si="553"/>
        <v>42.639148332898799</v>
      </c>
      <c r="M346" s="13">
        <f t="shared" si="554"/>
        <v>1.9634666877284151E-3</v>
      </c>
      <c r="N346" s="13">
        <f t="shared" si="555"/>
        <v>1.3653809389734444E-2</v>
      </c>
      <c r="O346" s="13">
        <f t="shared" si="556"/>
        <v>38.829455386832748</v>
      </c>
      <c r="P346" s="13">
        <f t="shared" si="557"/>
        <v>1.4326118799149797E-2</v>
      </c>
      <c r="Q346" s="51">
        <v>1153.96</v>
      </c>
      <c r="R346" s="51">
        <v>-200.16900000000001</v>
      </c>
      <c r="S346" s="51">
        <v>1162.17</v>
      </c>
      <c r="T346" s="51">
        <v>-226.113</v>
      </c>
      <c r="U346" s="51">
        <v>1232.44</v>
      </c>
      <c r="V346" s="51">
        <v>-198.655</v>
      </c>
      <c r="W346" s="51">
        <v>1231.58</v>
      </c>
      <c r="X346" s="51">
        <v>-227.19399999999999</v>
      </c>
      <c r="Y346" s="51">
        <v>1191.56</v>
      </c>
      <c r="Z346" s="51">
        <v>-213.86099999999999</v>
      </c>
      <c r="AA346" s="51">
        <v>1191.6300000000001</v>
      </c>
      <c r="AB346" s="51">
        <v>-215.483</v>
      </c>
      <c r="AC346" s="51">
        <v>1191.4100000000001</v>
      </c>
      <c r="AD346" s="51">
        <v>-211.57599999999999</v>
      </c>
      <c r="AG346" s="14" t="s">
        <v>225</v>
      </c>
      <c r="AH346" s="14" t="s">
        <v>225</v>
      </c>
      <c r="AI346" s="14" t="s">
        <v>223</v>
      </c>
      <c r="AJ346" s="51">
        <v>1.4521436669084401E-4</v>
      </c>
      <c r="AK346" s="51">
        <v>1.08644566066531E-4</v>
      </c>
      <c r="AL346" s="51">
        <v>1.19827406459487E-4</v>
      </c>
      <c r="AM346" s="55">
        <v>9.6886337504899605E-5</v>
      </c>
      <c r="AN346" s="51">
        <v>0.85367783441959999</v>
      </c>
    </row>
    <row r="347" spans="1:40" x14ac:dyDescent="0.35">
      <c r="A347" s="51" t="s">
        <v>185</v>
      </c>
      <c r="B347" s="14">
        <v>1</v>
      </c>
      <c r="C347" s="51">
        <v>70</v>
      </c>
      <c r="D347" s="14">
        <v>1993</v>
      </c>
      <c r="E347" s="12">
        <f t="shared" si="546"/>
        <v>82.206798727355846</v>
      </c>
      <c r="F347" s="12">
        <f t="shared" si="547"/>
        <v>0.70586860247354244</v>
      </c>
      <c r="G347" s="12">
        <f t="shared" si="548"/>
        <v>0</v>
      </c>
      <c r="H347" s="12">
        <f t="shared" si="549"/>
        <v>26.517409564284389</v>
      </c>
      <c r="I347" s="12">
        <f t="shared" si="550"/>
        <v>0.74253651746812444</v>
      </c>
      <c r="J347" s="12">
        <f t="shared" si="551"/>
        <v>30.886446234554082</v>
      </c>
      <c r="K347" s="13">
        <f t="shared" si="552"/>
        <v>4.1247766546590993E-2</v>
      </c>
      <c r="L347" s="13">
        <f t="shared" si="553"/>
        <v>40.443291812531648</v>
      </c>
      <c r="M347" s="13">
        <f t="shared" si="554"/>
        <v>0</v>
      </c>
      <c r="N347" s="13">
        <f t="shared" si="555"/>
        <v>1.3305273238476863E-2</v>
      </c>
      <c r="O347" s="13">
        <f t="shared" si="556"/>
        <v>42.544208585265665</v>
      </c>
      <c r="P347" s="13">
        <f t="shared" si="557"/>
        <v>1.5497464242124477E-2</v>
      </c>
      <c r="Q347" s="51">
        <v>937.096</v>
      </c>
      <c r="R347" s="51">
        <v>-180.00899999999999</v>
      </c>
      <c r="S347" s="51">
        <v>937.67899999999997</v>
      </c>
      <c r="T347" s="51">
        <v>-206.52</v>
      </c>
      <c r="U347" s="51">
        <v>1013.13</v>
      </c>
      <c r="V347" s="51">
        <v>-181.75700000000001</v>
      </c>
      <c r="W347" s="51">
        <v>1012.55</v>
      </c>
      <c r="X347" s="51">
        <v>-212.63800000000001</v>
      </c>
      <c r="Y347" s="51">
        <v>973.221</v>
      </c>
      <c r="Z347" s="51">
        <v>-195.45</v>
      </c>
      <c r="AA347" s="51">
        <v>973.221</v>
      </c>
      <c r="AB347" s="51">
        <v>-195.45</v>
      </c>
      <c r="AC347" s="51">
        <v>973.221</v>
      </c>
      <c r="AD347" s="51">
        <v>-195.45</v>
      </c>
      <c r="AG347" s="14" t="s">
        <v>225</v>
      </c>
      <c r="AH347" s="14" t="s">
        <v>225</v>
      </c>
      <c r="AI347" s="14" t="s">
        <v>223</v>
      </c>
      <c r="AJ347" s="51">
        <v>1.5413806438440201E-4</v>
      </c>
      <c r="AK347" s="51">
        <v>1.1942296935410399E-4</v>
      </c>
      <c r="AL347" s="51">
        <v>1.39838971523262E-4</v>
      </c>
      <c r="AM347" s="51">
        <v>1.31703804006446E-4</v>
      </c>
      <c r="AN347" s="51">
        <v>0.99262227452054497</v>
      </c>
    </row>
    <row r="348" spans="1:40" x14ac:dyDescent="0.35">
      <c r="A348" s="51" t="s">
        <v>185</v>
      </c>
      <c r="B348" s="14">
        <v>1</v>
      </c>
      <c r="C348" s="51">
        <v>80</v>
      </c>
      <c r="D348" s="14">
        <v>1993</v>
      </c>
      <c r="E348" s="12">
        <f t="shared" si="546"/>
        <v>82.639226037033978</v>
      </c>
      <c r="F348" s="12">
        <f t="shared" si="547"/>
        <v>0.69873757277155923</v>
      </c>
      <c r="G348" s="12">
        <f t="shared" si="548"/>
        <v>0</v>
      </c>
      <c r="H348" s="12">
        <f t="shared" si="549"/>
        <v>28.462948898524193</v>
      </c>
      <c r="I348" s="12">
        <f t="shared" si="550"/>
        <v>0.73651870879841863</v>
      </c>
      <c r="J348" s="12">
        <f t="shared" si="551"/>
        <v>30.273342762238862</v>
      </c>
      <c r="K348" s="13">
        <f t="shared" si="552"/>
        <v>4.1464739607141983E-2</v>
      </c>
      <c r="L348" s="13">
        <f t="shared" si="553"/>
        <v>40.034713907025569</v>
      </c>
      <c r="M348" s="13">
        <f t="shared" si="554"/>
        <v>0</v>
      </c>
      <c r="N348" s="13">
        <f t="shared" si="555"/>
        <v>1.4281459557714095E-2</v>
      </c>
      <c r="O348" s="13">
        <f t="shared" si="556"/>
        <v>42.199413546574284</v>
      </c>
      <c r="P348" s="13">
        <f t="shared" si="557"/>
        <v>1.5189835806441978E-2</v>
      </c>
      <c r="Q348" s="51">
        <v>778.11099999999999</v>
      </c>
      <c r="R348" s="51">
        <v>-161.24700000000001</v>
      </c>
      <c r="S348" s="51">
        <v>773.54300000000001</v>
      </c>
      <c r="T348" s="51">
        <v>-189.34100000000001</v>
      </c>
      <c r="U348" s="51">
        <v>855.08399999999995</v>
      </c>
      <c r="V348" s="51">
        <v>-167.41399999999999</v>
      </c>
      <c r="W348" s="51">
        <v>852.34299999999996</v>
      </c>
      <c r="X348" s="51">
        <v>-197.56299999999999</v>
      </c>
      <c r="Y348" s="51">
        <v>814.65599999999995</v>
      </c>
      <c r="Z348" s="51">
        <v>-178.834</v>
      </c>
      <c r="AA348" s="51">
        <v>814.65599999999995</v>
      </c>
      <c r="AB348" s="51">
        <v>-178.834</v>
      </c>
      <c r="AC348" s="51">
        <v>814.65599999999995</v>
      </c>
      <c r="AD348" s="51">
        <v>-178.834</v>
      </c>
      <c r="AG348" s="14" t="s">
        <v>225</v>
      </c>
      <c r="AH348" s="14" t="s">
        <v>225</v>
      </c>
      <c r="AI348" s="14" t="s">
        <v>223</v>
      </c>
      <c r="AJ348" s="51">
        <v>1.4948979128907999E-4</v>
      </c>
      <c r="AK348" s="51">
        <v>1.39352843582745E-4</v>
      </c>
      <c r="AL348" s="51">
        <v>1.4203640690233201E-4</v>
      </c>
      <c r="AM348" s="51">
        <v>1.4677345193878501E-4</v>
      </c>
      <c r="AN348" s="51">
        <v>0.99988652634081099</v>
      </c>
    </row>
    <row r="349" spans="1:40" x14ac:dyDescent="0.35">
      <c r="A349" s="51" t="s">
        <v>185</v>
      </c>
      <c r="B349" s="14">
        <v>1</v>
      </c>
      <c r="C349" s="51">
        <v>90</v>
      </c>
      <c r="D349" s="14">
        <v>1993</v>
      </c>
      <c r="E349" s="12">
        <f t="shared" si="546"/>
        <v>82.473803944040355</v>
      </c>
      <c r="F349" s="12">
        <f t="shared" si="547"/>
        <v>0.7464717225694123</v>
      </c>
      <c r="G349" s="12">
        <f t="shared" si="548"/>
        <v>1.1028386101329646</v>
      </c>
      <c r="H349" s="12">
        <f t="shared" si="549"/>
        <v>29.520275489906933</v>
      </c>
      <c r="I349" s="12">
        <f t="shared" si="550"/>
        <v>0.70853932539563214</v>
      </c>
      <c r="J349" s="12">
        <f t="shared" si="551"/>
        <v>29.018370474580404</v>
      </c>
      <c r="K349" s="13">
        <f t="shared" si="552"/>
        <v>4.1381738055213425E-2</v>
      </c>
      <c r="L349" s="13">
        <f t="shared" si="553"/>
        <v>42.769679229087799</v>
      </c>
      <c r="M349" s="13">
        <f t="shared" si="554"/>
        <v>5.5335605124584271E-4</v>
      </c>
      <c r="N349" s="13">
        <f t="shared" si="555"/>
        <v>1.4811979673811808E-2</v>
      </c>
      <c r="O349" s="13">
        <f t="shared" si="556"/>
        <v>40.596312964216231</v>
      </c>
      <c r="P349" s="13">
        <f t="shared" si="557"/>
        <v>1.4560145747406123E-2</v>
      </c>
      <c r="Q349" s="51">
        <v>614.69799999999998</v>
      </c>
      <c r="R349" s="51">
        <v>-143.06700000000001</v>
      </c>
      <c r="S349" s="51">
        <v>611.94899999999996</v>
      </c>
      <c r="T349" s="51">
        <v>-172.459</v>
      </c>
      <c r="U349" s="51">
        <v>690.82100000000003</v>
      </c>
      <c r="V349" s="51">
        <v>-149.62200000000001</v>
      </c>
      <c r="W349" s="51">
        <v>689.12900000000002</v>
      </c>
      <c r="X349" s="51">
        <v>-178.59100000000001</v>
      </c>
      <c r="Y349" s="51">
        <v>650.86099999999999</v>
      </c>
      <c r="Z349" s="51">
        <v>-161.18</v>
      </c>
      <c r="AA349" s="51">
        <v>650.86099999999999</v>
      </c>
      <c r="AB349" s="51">
        <v>-161.72200000000001</v>
      </c>
      <c r="AC349" s="51">
        <v>650.904</v>
      </c>
      <c r="AD349" s="51">
        <v>-160.62</v>
      </c>
      <c r="AG349" s="14" t="s">
        <v>225</v>
      </c>
      <c r="AH349" s="14" t="s">
        <v>225</v>
      </c>
      <c r="AI349" s="14" t="s">
        <v>223</v>
      </c>
      <c r="AJ349" s="51">
        <v>1.4325667986472501E-4</v>
      </c>
      <c r="AK349" s="51">
        <v>1.4006568561968899E-4</v>
      </c>
      <c r="AL349" s="51">
        <v>1.38323657261026E-4</v>
      </c>
      <c r="AM349" s="51">
        <v>1.34350060132692E-4</v>
      </c>
      <c r="AN349" s="51">
        <v>0.962415081236213</v>
      </c>
    </row>
    <row r="350" spans="1:40" x14ac:dyDescent="0.35">
      <c r="A350" s="51" t="s">
        <v>187</v>
      </c>
      <c r="B350" s="14">
        <v>1</v>
      </c>
      <c r="C350" s="51">
        <v>30</v>
      </c>
      <c r="D350" s="14">
        <v>1806</v>
      </c>
      <c r="E350" s="12">
        <f t="shared" ref="E350:E356" si="558">DIST2(Q350,R350,W350,X350)</f>
        <v>46.027557867542825</v>
      </c>
      <c r="F350" s="12">
        <f t="shared" ref="F350:F356" si="559">ACOS((DIST2(Y350,Z350,S350,T350)^2 + DIST2(Y350,Z350,Q350,R350)^2 - DIST2(Q350,R350,S350,T350)^2)/(2*DIST2(Y350,Z350,S350,T350) * DIST2(Y350,Z350,Q350,R350)))</f>
        <v>1.2555733257669759</v>
      </c>
      <c r="G350" s="12">
        <f t="shared" ref="G350:G356" si="560">DIST2(AA350,AB350,AC350,AD350)</f>
        <v>5.7155014653134337</v>
      </c>
      <c r="H350" s="12">
        <f t="shared" ref="H350:H356" si="561">DIST2(Q350,R350,S350,T350)</f>
        <v>28.804409832697495</v>
      </c>
      <c r="I350" s="12">
        <f t="shared" ref="I350:I356" si="562">ACOS((DIST2(Y350,Z350,W350,X350)^2 + DIST2(Y350,Z350,U350,V350)^2 - DIST2(U350,V350,W350,X350)^2)/(2*DIST2(Y350,Z350,W350,X350) * DIST2(Y350,Z350,U350,V350)))</f>
        <v>1.3852488052756065</v>
      </c>
      <c r="J350" s="12">
        <f t="shared" ref="J350:J356" si="563">DIST2(U350,V350,W350,X350)</f>
        <v>26.656912447806107</v>
      </c>
      <c r="K350" s="13">
        <f t="shared" ref="K350:K356" si="564">E350/D350</f>
        <v>2.5485912440499903E-2</v>
      </c>
      <c r="L350" s="13">
        <f t="shared" ref="L350:L356" si="565">F350*180/PI()</f>
        <v>71.93905243565213</v>
      </c>
      <c r="M350" s="13">
        <f t="shared" ref="M350:M356" si="566">G350/D350</f>
        <v>3.164729493529033E-3</v>
      </c>
      <c r="N350" s="13">
        <f t="shared" ref="N350:N356" si="567">H350/D350</f>
        <v>1.5949285621648667E-2</v>
      </c>
      <c r="O350" s="13">
        <f t="shared" ref="O350:O356" si="568">I350*180/PI()</f>
        <v>79.368910117831859</v>
      </c>
      <c r="P350" s="13">
        <f t="shared" ref="P350:P356" si="569">J350/D350</f>
        <v>1.476019515382398E-2</v>
      </c>
      <c r="Q350" s="51">
        <v>641.423</v>
      </c>
      <c r="R350" s="51">
        <v>124.083</v>
      </c>
      <c r="S350" s="51">
        <v>643.09400000000005</v>
      </c>
      <c r="T350" s="51">
        <v>95.327100000000002</v>
      </c>
      <c r="U350" s="51">
        <v>606.20899999999995</v>
      </c>
      <c r="V350" s="51">
        <v>120.529</v>
      </c>
      <c r="W350" s="51">
        <v>606.69399999999996</v>
      </c>
      <c r="X350" s="51">
        <v>93.876499999999993</v>
      </c>
      <c r="Y350" s="51">
        <v>622.49800000000005</v>
      </c>
      <c r="Z350" s="51">
        <v>107.91</v>
      </c>
      <c r="AA350" s="51">
        <v>622.54100000000005</v>
      </c>
      <c r="AB350" s="51">
        <v>105.16200000000001</v>
      </c>
      <c r="AC350" s="51">
        <v>622.41</v>
      </c>
      <c r="AD350" s="51">
        <v>110.876</v>
      </c>
      <c r="AG350" s="14" t="s">
        <v>223</v>
      </c>
      <c r="AH350" s="14" t="s">
        <v>223</v>
      </c>
      <c r="AI350" s="14" t="s">
        <v>223</v>
      </c>
      <c r="AJ350" s="55">
        <v>6.5614672743985301E-5</v>
      </c>
      <c r="AK350" s="55">
        <v>8.7568093205372903E-5</v>
      </c>
      <c r="AL350" s="55">
        <v>6.0935539097557202E-5</v>
      </c>
      <c r="AM350" s="55">
        <v>5.9449390091353099E-5</v>
      </c>
      <c r="AN350" s="51">
        <v>0.78589081769622304</v>
      </c>
    </row>
    <row r="351" spans="1:40" x14ac:dyDescent="0.35">
      <c r="A351" s="51" t="s">
        <v>187</v>
      </c>
      <c r="B351" s="14">
        <v>1</v>
      </c>
      <c r="C351" s="51">
        <v>40</v>
      </c>
      <c r="D351" s="14">
        <v>1806</v>
      </c>
      <c r="E351" s="12">
        <f t="shared" si="558"/>
        <v>47.397621090092699</v>
      </c>
      <c r="F351" s="12">
        <f t="shared" si="559"/>
        <v>1.0529677088122469</v>
      </c>
      <c r="G351" s="12">
        <f t="shared" si="560"/>
        <v>4.3701990801335278</v>
      </c>
      <c r="H351" s="12">
        <f t="shared" si="561"/>
        <v>28.30298676818402</v>
      </c>
      <c r="I351" s="12">
        <f t="shared" si="562"/>
        <v>1.438520690557034</v>
      </c>
      <c r="J351" s="12">
        <f t="shared" si="563"/>
        <v>25.601626706129426</v>
      </c>
      <c r="K351" s="13">
        <f t="shared" si="564"/>
        <v>2.6244529950217442E-2</v>
      </c>
      <c r="L351" s="13">
        <f t="shared" si="565"/>
        <v>60.330605678501968</v>
      </c>
      <c r="M351" s="13">
        <f t="shared" si="566"/>
        <v>2.4198223035069369E-3</v>
      </c>
      <c r="N351" s="13">
        <f t="shared" si="567"/>
        <v>1.5671642728784064E-2</v>
      </c>
      <c r="O351" s="13">
        <f t="shared" si="568"/>
        <v>82.421164311162755</v>
      </c>
      <c r="P351" s="13">
        <f t="shared" si="569"/>
        <v>1.4175873037723935E-2</v>
      </c>
      <c r="Q351" s="51">
        <v>796.42499999999995</v>
      </c>
      <c r="R351" s="51">
        <v>138.315</v>
      </c>
      <c r="S351" s="51">
        <v>799.60299999999995</v>
      </c>
      <c r="T351" s="51">
        <v>110.191</v>
      </c>
      <c r="U351" s="51">
        <v>757.81500000000005</v>
      </c>
      <c r="V351" s="51">
        <v>132.43600000000001</v>
      </c>
      <c r="W351" s="51">
        <v>760.83399999999995</v>
      </c>
      <c r="X351" s="51">
        <v>107.01300000000001</v>
      </c>
      <c r="Y351" s="51">
        <v>773.88199999999995</v>
      </c>
      <c r="Z351" s="51">
        <v>121.03100000000001</v>
      </c>
      <c r="AA351" s="51">
        <v>774.01400000000001</v>
      </c>
      <c r="AB351" s="51">
        <v>119.051</v>
      </c>
      <c r="AC351" s="51">
        <v>773.66200000000003</v>
      </c>
      <c r="AD351" s="51">
        <v>123.407</v>
      </c>
      <c r="AG351" s="14" t="s">
        <v>223</v>
      </c>
      <c r="AH351" s="14" t="s">
        <v>223</v>
      </c>
      <c r="AI351" s="14" t="s">
        <v>223</v>
      </c>
      <c r="AJ351" s="55">
        <v>5.7339268698284903E-5</v>
      </c>
      <c r="AK351" s="51">
        <v>1.0561078612083E-4</v>
      </c>
      <c r="AL351" s="55">
        <v>6.7722793561267899E-5</v>
      </c>
      <c r="AM351" s="55">
        <v>6.5123021391718698E-5</v>
      </c>
      <c r="AN351" s="51">
        <v>0.81525480369094605</v>
      </c>
    </row>
    <row r="352" spans="1:40" x14ac:dyDescent="0.35">
      <c r="A352" s="51" t="s">
        <v>187</v>
      </c>
      <c r="B352" s="14">
        <v>1</v>
      </c>
      <c r="C352" s="51">
        <v>50</v>
      </c>
      <c r="D352" s="14">
        <v>1806</v>
      </c>
      <c r="E352" s="12">
        <f t="shared" si="558"/>
        <v>46.690504013128823</v>
      </c>
      <c r="F352" s="12">
        <f t="shared" si="559"/>
        <v>1.1010296971501623</v>
      </c>
      <c r="G352" s="12">
        <f t="shared" si="560"/>
        <v>4.5800000000000125</v>
      </c>
      <c r="H352" s="12">
        <f t="shared" si="561"/>
        <v>29.510614581875458</v>
      </c>
      <c r="I352" s="12">
        <f t="shared" si="562"/>
        <v>1.4678622844979217</v>
      </c>
      <c r="J352" s="12">
        <f t="shared" si="563"/>
        <v>25.844609360561037</v>
      </c>
      <c r="K352" s="13">
        <f t="shared" si="564"/>
        <v>2.5852992255331574E-2</v>
      </c>
      <c r="L352" s="13">
        <f t="shared" si="565"/>
        <v>63.084354765271506</v>
      </c>
      <c r="M352" s="13">
        <f t="shared" si="566"/>
        <v>2.5359911406423103E-3</v>
      </c>
      <c r="N352" s="13">
        <f t="shared" si="567"/>
        <v>1.6340318151647541E-2</v>
      </c>
      <c r="O352" s="13">
        <f t="shared" si="568"/>
        <v>84.102313808162236</v>
      </c>
      <c r="P352" s="13">
        <f t="shared" si="569"/>
        <v>1.4310414928328371E-2</v>
      </c>
      <c r="Q352" s="51">
        <v>991.40800000000002</v>
      </c>
      <c r="R352" s="51">
        <v>151.67500000000001</v>
      </c>
      <c r="S352" s="51">
        <v>992.12099999999998</v>
      </c>
      <c r="T352" s="51">
        <v>122.173</v>
      </c>
      <c r="U352" s="51">
        <v>952.64200000000005</v>
      </c>
      <c r="V352" s="51">
        <v>149.25299999999999</v>
      </c>
      <c r="W352" s="51">
        <v>954.21</v>
      </c>
      <c r="X352" s="51">
        <v>123.456</v>
      </c>
      <c r="Y352" s="51">
        <v>967.73199999999997</v>
      </c>
      <c r="Z352" s="51">
        <v>137.10900000000001</v>
      </c>
      <c r="AA352" s="51">
        <v>967.63400000000001</v>
      </c>
      <c r="AB352" s="51">
        <v>134.84399999999999</v>
      </c>
      <c r="AC352" s="51">
        <v>967.63400000000001</v>
      </c>
      <c r="AD352" s="51">
        <v>139.42400000000001</v>
      </c>
      <c r="AG352" s="14" t="s">
        <v>223</v>
      </c>
      <c r="AH352" s="14" t="s">
        <v>223</v>
      </c>
      <c r="AI352" s="14" t="s">
        <v>223</v>
      </c>
      <c r="AJ352" s="55">
        <v>5.6756017225710899E-5</v>
      </c>
      <c r="AK352" s="51">
        <v>1.08668611396244E-4</v>
      </c>
      <c r="AL352" s="55">
        <v>6.3977347257633795E-5</v>
      </c>
      <c r="AM352" s="55">
        <v>6.88233542921404E-5</v>
      </c>
      <c r="AN352" s="51">
        <v>0.80278675948104095</v>
      </c>
    </row>
    <row r="353" spans="1:40" x14ac:dyDescent="0.35">
      <c r="A353" s="51" t="s">
        <v>187</v>
      </c>
      <c r="B353" s="14">
        <v>1</v>
      </c>
      <c r="C353" s="51">
        <v>60</v>
      </c>
      <c r="D353" s="14">
        <v>1806</v>
      </c>
      <c r="E353" s="12">
        <f t="shared" si="558"/>
        <v>48.681202162641839</v>
      </c>
      <c r="F353" s="12">
        <f t="shared" si="559"/>
        <v>1.0333008020459988</v>
      </c>
      <c r="G353" s="12">
        <f t="shared" si="560"/>
        <v>6.1502926759626719</v>
      </c>
      <c r="H353" s="12">
        <f t="shared" si="561"/>
        <v>28.768647326560217</v>
      </c>
      <c r="I353" s="12">
        <f t="shared" si="562"/>
        <v>1.508326435337993</v>
      </c>
      <c r="J353" s="12">
        <f t="shared" si="563"/>
        <v>26.896437477851979</v>
      </c>
      <c r="K353" s="13">
        <f t="shared" si="564"/>
        <v>2.6955261441108439E-2</v>
      </c>
      <c r="L353" s="13">
        <f t="shared" si="565"/>
        <v>59.203774924718672</v>
      </c>
      <c r="M353" s="13">
        <f t="shared" si="566"/>
        <v>3.4054776721830961E-3</v>
      </c>
      <c r="N353" s="13">
        <f t="shared" si="567"/>
        <v>1.5929483569523929E-2</v>
      </c>
      <c r="O353" s="13">
        <f t="shared" si="568"/>
        <v>86.42073887287907</v>
      </c>
      <c r="P353" s="13">
        <f t="shared" si="569"/>
        <v>1.4892822523727563E-2</v>
      </c>
      <c r="Q353" s="51">
        <v>1154.76</v>
      </c>
      <c r="R353" s="51">
        <v>154.119</v>
      </c>
      <c r="S353" s="51">
        <v>1154.19</v>
      </c>
      <c r="T353" s="51">
        <v>125.35599999999999</v>
      </c>
      <c r="U353" s="51">
        <v>1114.6400000000001</v>
      </c>
      <c r="V353" s="51">
        <v>152.82400000000001</v>
      </c>
      <c r="W353" s="51">
        <v>1115.07</v>
      </c>
      <c r="X353" s="51">
        <v>125.931</v>
      </c>
      <c r="Y353" s="51">
        <v>1129.17</v>
      </c>
      <c r="Z353" s="51">
        <v>139.26400000000001</v>
      </c>
      <c r="AA353" s="51">
        <v>1129.17</v>
      </c>
      <c r="AB353" s="51">
        <v>136.524</v>
      </c>
      <c r="AC353" s="51">
        <v>1129.1099999999999</v>
      </c>
      <c r="AD353" s="51">
        <v>142.67400000000001</v>
      </c>
      <c r="AG353" s="14" t="s">
        <v>223</v>
      </c>
      <c r="AH353" s="14" t="s">
        <v>223</v>
      </c>
      <c r="AI353" s="14" t="s">
        <v>223</v>
      </c>
      <c r="AJ353" s="55">
        <v>5.9007885919827E-5</v>
      </c>
      <c r="AK353" s="51">
        <v>1.1153571704506601E-4</v>
      </c>
      <c r="AL353" s="55">
        <v>6.5298005356820697E-5</v>
      </c>
      <c r="AM353" s="55">
        <v>6.4768977899434701E-5</v>
      </c>
      <c r="AN353" s="51">
        <v>0.76266116696872299</v>
      </c>
    </row>
    <row r="354" spans="1:40" x14ac:dyDescent="0.35">
      <c r="A354" s="51" t="s">
        <v>187</v>
      </c>
      <c r="B354" s="14">
        <v>1</v>
      </c>
      <c r="C354" s="51">
        <v>70</v>
      </c>
      <c r="D354" s="14">
        <v>1806</v>
      </c>
      <c r="E354" s="12">
        <f t="shared" si="558"/>
        <v>45.863607152076412</v>
      </c>
      <c r="F354" s="12">
        <f t="shared" si="559"/>
        <v>1.2117027450084596</v>
      </c>
      <c r="G354" s="12">
        <f t="shared" si="560"/>
        <v>6.3421970956443925</v>
      </c>
      <c r="H354" s="12">
        <f t="shared" si="561"/>
        <v>27.57580042355977</v>
      </c>
      <c r="I354" s="12">
        <f t="shared" si="562"/>
        <v>1.3219895696785364</v>
      </c>
      <c r="J354" s="12">
        <f t="shared" si="563"/>
        <v>26.952256751522654</v>
      </c>
      <c r="K354" s="13">
        <f t="shared" si="564"/>
        <v>2.539513131344209E-2</v>
      </c>
      <c r="L354" s="13">
        <f t="shared" si="565"/>
        <v>69.42545331340132</v>
      </c>
      <c r="M354" s="13">
        <f t="shared" si="566"/>
        <v>3.5117370407776261E-3</v>
      </c>
      <c r="N354" s="13">
        <f t="shared" si="567"/>
        <v>1.5268992482591235E-2</v>
      </c>
      <c r="O354" s="13">
        <f t="shared" si="568"/>
        <v>75.744422902896005</v>
      </c>
      <c r="P354" s="13">
        <f t="shared" si="569"/>
        <v>1.4923730205715755E-2</v>
      </c>
      <c r="Q354" s="51">
        <v>1352.05</v>
      </c>
      <c r="R354" s="51">
        <v>158.74199999999999</v>
      </c>
      <c r="S354" s="51">
        <v>1353.91</v>
      </c>
      <c r="T354" s="51">
        <v>131.22900000000001</v>
      </c>
      <c r="U354" s="51">
        <v>1314.88</v>
      </c>
      <c r="V354" s="51">
        <v>156.36099999999999</v>
      </c>
      <c r="W354" s="51">
        <v>1316.74</v>
      </c>
      <c r="X354" s="51">
        <v>129.47300000000001</v>
      </c>
      <c r="Y354" s="51">
        <v>1333.12</v>
      </c>
      <c r="Z354" s="51">
        <v>143.68100000000001</v>
      </c>
      <c r="AA354" s="51">
        <v>1333.23</v>
      </c>
      <c r="AB354" s="51">
        <v>140.70599999999999</v>
      </c>
      <c r="AC354" s="51">
        <v>1333.18</v>
      </c>
      <c r="AD354" s="51">
        <v>147.048</v>
      </c>
      <c r="AG354" s="14" t="s">
        <v>223</v>
      </c>
      <c r="AH354" s="14" t="s">
        <v>223</v>
      </c>
      <c r="AI354" s="14" t="s">
        <v>223</v>
      </c>
      <c r="AJ354" s="55">
        <v>7.1567201245018603E-5</v>
      </c>
      <c r="AK354" s="55">
        <v>8.4134855943459507E-5</v>
      </c>
      <c r="AL354" s="55">
        <v>5.97455556046104E-5</v>
      </c>
      <c r="AM354" s="55">
        <v>5.9567372018214202E-5</v>
      </c>
      <c r="AN354" s="51">
        <v>0.766289988567047</v>
      </c>
    </row>
    <row r="355" spans="1:40" x14ac:dyDescent="0.35">
      <c r="A355" s="51" t="s">
        <v>187</v>
      </c>
      <c r="B355" s="14">
        <v>1</v>
      </c>
      <c r="C355" s="51">
        <v>80</v>
      </c>
      <c r="D355" s="14">
        <v>1806</v>
      </c>
      <c r="E355" s="12">
        <f t="shared" si="558"/>
        <v>44.118497356550911</v>
      </c>
      <c r="F355" s="12">
        <f t="shared" si="559"/>
        <v>1.3961331033546736</v>
      </c>
      <c r="G355" s="12">
        <f t="shared" si="560"/>
        <v>6.1640730041101754</v>
      </c>
      <c r="H355" s="12">
        <f t="shared" si="561"/>
        <v>26.506553604721994</v>
      </c>
      <c r="I355" s="12">
        <f t="shared" si="562"/>
        <v>1.0711335473490697</v>
      </c>
      <c r="J355" s="12">
        <f t="shared" si="563"/>
        <v>24.665415544847395</v>
      </c>
      <c r="K355" s="13">
        <f t="shared" si="564"/>
        <v>2.4428846819795631E-2</v>
      </c>
      <c r="L355" s="13">
        <f t="shared" si="565"/>
        <v>79.992534460724755</v>
      </c>
      <c r="M355" s="13">
        <f t="shared" si="566"/>
        <v>3.4131079756977716E-3</v>
      </c>
      <c r="N355" s="13">
        <f t="shared" si="567"/>
        <v>1.467693998046622E-2</v>
      </c>
      <c r="O355" s="13">
        <f t="shared" si="568"/>
        <v>61.371431557978021</v>
      </c>
      <c r="P355" s="13">
        <f t="shared" si="569"/>
        <v>1.3657483690391692E-2</v>
      </c>
      <c r="Q355" s="51">
        <v>1543.6</v>
      </c>
      <c r="R355" s="51">
        <v>170.47800000000001</v>
      </c>
      <c r="S355" s="51">
        <v>1544.83</v>
      </c>
      <c r="T355" s="51">
        <v>144</v>
      </c>
      <c r="U355" s="51">
        <v>1506.75</v>
      </c>
      <c r="V355" s="51">
        <v>167.749</v>
      </c>
      <c r="W355" s="51">
        <v>1508.94</v>
      </c>
      <c r="X355" s="51">
        <v>143.18100000000001</v>
      </c>
      <c r="Y355" s="51">
        <v>1528.57</v>
      </c>
      <c r="Z355" s="51">
        <v>155.13200000000001</v>
      </c>
      <c r="AA355" s="51">
        <v>1528.57</v>
      </c>
      <c r="AB355" s="51">
        <v>152.16200000000001</v>
      </c>
      <c r="AC355" s="51">
        <v>1528.6</v>
      </c>
      <c r="AD355" s="51">
        <v>158.32599999999999</v>
      </c>
      <c r="AG355" s="14" t="s">
        <v>223</v>
      </c>
      <c r="AH355" s="14" t="s">
        <v>223</v>
      </c>
      <c r="AI355" s="14" t="s">
        <v>223</v>
      </c>
      <c r="AJ355" s="55">
        <v>7.7942868241581394E-5</v>
      </c>
      <c r="AK355" s="55">
        <v>6.3900435241700694E-5</v>
      </c>
      <c r="AL355" s="55">
        <v>6.2371490871452104E-5</v>
      </c>
      <c r="AM355" s="55">
        <v>4.6947470533192402E-5</v>
      </c>
      <c r="AN355" s="51">
        <v>0.77070230825192898</v>
      </c>
    </row>
    <row r="356" spans="1:40" x14ac:dyDescent="0.35">
      <c r="A356" s="51" t="s">
        <v>187</v>
      </c>
      <c r="B356" s="14">
        <v>1</v>
      </c>
      <c r="C356" s="51">
        <v>90</v>
      </c>
      <c r="D356" s="14">
        <v>1806</v>
      </c>
      <c r="E356" s="12">
        <f t="shared" si="558"/>
        <v>42.555471610593173</v>
      </c>
      <c r="F356" s="12">
        <f t="shared" si="559"/>
        <v>1.3509233587353109</v>
      </c>
      <c r="G356" s="12">
        <f t="shared" si="560"/>
        <v>6.4917698665309969</v>
      </c>
      <c r="H356" s="12">
        <f t="shared" si="561"/>
        <v>25.391202984498413</v>
      </c>
      <c r="I356" s="12">
        <f t="shared" si="562"/>
        <v>1.2794163801638496</v>
      </c>
      <c r="J356" s="12">
        <f t="shared" si="563"/>
        <v>26.827797691946287</v>
      </c>
      <c r="K356" s="13">
        <f t="shared" si="564"/>
        <v>2.356338405902169E-2</v>
      </c>
      <c r="L356" s="13">
        <f t="shared" si="565"/>
        <v>77.402206901170985</v>
      </c>
      <c r="M356" s="13">
        <f t="shared" si="566"/>
        <v>3.5945569582120692E-3</v>
      </c>
      <c r="N356" s="13">
        <f t="shared" si="567"/>
        <v>1.4059359349113185E-2</v>
      </c>
      <c r="O356" s="13">
        <f t="shared" si="568"/>
        <v>73.305158823293837</v>
      </c>
      <c r="P356" s="13">
        <f t="shared" si="569"/>
        <v>1.4854815997755419E-2</v>
      </c>
      <c r="Q356" s="51">
        <v>1722.09</v>
      </c>
      <c r="R356" s="51">
        <v>190.69200000000001</v>
      </c>
      <c r="S356" s="51">
        <v>1724.92</v>
      </c>
      <c r="T356" s="51">
        <v>165.459</v>
      </c>
      <c r="U356" s="51">
        <v>1687.75</v>
      </c>
      <c r="V356" s="51">
        <v>186.661</v>
      </c>
      <c r="W356" s="51">
        <v>1692.37</v>
      </c>
      <c r="X356" s="51">
        <v>160.23400000000001</v>
      </c>
      <c r="Y356" s="51">
        <v>1708.01</v>
      </c>
      <c r="Z356" s="51">
        <v>174.833</v>
      </c>
      <c r="AA356" s="51">
        <v>1708.15</v>
      </c>
      <c r="AB356" s="51">
        <v>172.012</v>
      </c>
      <c r="AC356" s="51">
        <v>1707.67</v>
      </c>
      <c r="AD356" s="51">
        <v>178.48599999999999</v>
      </c>
      <c r="AG356" s="14" t="s">
        <v>223</v>
      </c>
      <c r="AH356" s="14" t="s">
        <v>223</v>
      </c>
      <c r="AI356" s="14" t="s">
        <v>223</v>
      </c>
      <c r="AJ356" s="55">
        <v>7.3700078733494594E-5</v>
      </c>
      <c r="AK356" s="55">
        <v>6.1343695311187504E-5</v>
      </c>
      <c r="AL356" s="55">
        <v>5.5344468236185797E-5</v>
      </c>
      <c r="AM356" s="55">
        <v>4.6130745429594401E-5</v>
      </c>
      <c r="AN356" s="51">
        <v>0.75142459830991504</v>
      </c>
    </row>
    <row r="357" spans="1:40" x14ac:dyDescent="0.35">
      <c r="A357" s="51" t="s">
        <v>189</v>
      </c>
      <c r="B357" s="14">
        <v>1</v>
      </c>
      <c r="C357" s="51">
        <v>30</v>
      </c>
      <c r="D357" s="14">
        <v>1207</v>
      </c>
      <c r="E357" s="12">
        <f t="shared" ref="E357:E363" si="570">DIST2(Q357,R357,W357,X357)</f>
        <v>20.659102110208007</v>
      </c>
      <c r="F357" s="12">
        <f t="shared" ref="F357:F363" si="571">ACOS((DIST2(Y357,Z357,S357,T357)^2 + DIST2(Y357,Z357,Q357,R357)^2 - DIST2(Q357,R357,S357,T357)^2)/(2*DIST2(Y357,Z357,S357,T357) * DIST2(Y357,Z357,Q357,R357)))</f>
        <v>2.0875128051815102</v>
      </c>
      <c r="G357" s="12">
        <f t="shared" ref="G357:G363" si="572">DIST2(AA357,AB357,AC357,AD357)</f>
        <v>9.3647998376900716</v>
      </c>
      <c r="H357" s="12">
        <f t="shared" ref="H357:H363" si="573">DIST2(Q357,R357,S357,T357)</f>
        <v>17.538777152355838</v>
      </c>
      <c r="I357" s="12">
        <f t="shared" ref="I357:I363" si="574">ACOS((DIST2(Y357,Z357,W357,X357)^2 + DIST2(Y357,Z357,U357,V357)^2 - DIST2(U357,V357,W357,X357)^2)/(2*DIST2(Y357,Z357,W357,X357) * DIST2(Y357,Z357,U357,V357)))</f>
        <v>2.0965809294281379</v>
      </c>
      <c r="J357" s="12">
        <f t="shared" ref="J357:J363" si="575">DIST2(U357,V357,W357,X357)</f>
        <v>17.638625484997423</v>
      </c>
      <c r="K357" s="13">
        <f t="shared" ref="K357:K363" si="576">E357/D357</f>
        <v>1.7116074656344661E-2</v>
      </c>
      <c r="L357" s="13">
        <f t="shared" ref="L357:L363" si="577">F357*180/PI()</f>
        <v>119.60567341641578</v>
      </c>
      <c r="M357" s="13">
        <f t="shared" ref="M357:M363" si="578">G357/D357</f>
        <v>7.7587405448964969E-3</v>
      </c>
      <c r="N357" s="13">
        <f t="shared" ref="N357:N363" si="579">H357/D357</f>
        <v>1.4530884136168879E-2</v>
      </c>
      <c r="O357" s="13">
        <f t="shared" ref="O357:O363" si="580">I357*180/PI()</f>
        <v>120.12523866384781</v>
      </c>
      <c r="P357" s="13">
        <f t="shared" ref="P357:P363" si="581">J357/D357</f>
        <v>1.4613608521124626E-2</v>
      </c>
      <c r="Q357" s="51">
        <v>1221.5999999999999</v>
      </c>
      <c r="R357" s="51">
        <v>298.726</v>
      </c>
      <c r="S357" s="51">
        <v>1217.48</v>
      </c>
      <c r="T357" s="51">
        <v>281.678</v>
      </c>
      <c r="U357" s="51">
        <v>1231.57</v>
      </c>
      <c r="V357" s="51">
        <v>295.84300000000002</v>
      </c>
      <c r="W357" s="51">
        <v>1227.04</v>
      </c>
      <c r="X357" s="51">
        <v>278.79599999999999</v>
      </c>
      <c r="Y357" s="51">
        <v>1224.3599999999999</v>
      </c>
      <c r="Z357" s="51">
        <v>288.483</v>
      </c>
      <c r="AA357" s="51">
        <v>1223.1500000000001</v>
      </c>
      <c r="AB357" s="51">
        <v>284.22199999999998</v>
      </c>
      <c r="AC357" s="51">
        <v>1225.26</v>
      </c>
      <c r="AD357" s="51">
        <v>293.346</v>
      </c>
      <c r="AG357" s="14" t="s">
        <v>222</v>
      </c>
      <c r="AH357" s="14" t="s">
        <v>225</v>
      </c>
      <c r="AI357" s="14" t="s">
        <v>222</v>
      </c>
      <c r="AJ357" s="55">
        <v>3.0740340968762401E-5</v>
      </c>
      <c r="AK357" s="55">
        <v>3.0632426558963499E-5</v>
      </c>
      <c r="AL357" s="55">
        <v>1.4787675318444101E-5</v>
      </c>
      <c r="AM357" s="55">
        <v>1.3955317263491301E-5</v>
      </c>
      <c r="AN357" s="51">
        <v>0.46833463341783299</v>
      </c>
    </row>
    <row r="358" spans="1:40" x14ac:dyDescent="0.35">
      <c r="A358" s="51" t="s">
        <v>189</v>
      </c>
      <c r="B358" s="14">
        <v>1</v>
      </c>
      <c r="C358" s="51">
        <v>40</v>
      </c>
      <c r="D358" s="14">
        <v>1207</v>
      </c>
      <c r="E358" s="12">
        <f t="shared" si="570"/>
        <v>21.19831174881628</v>
      </c>
      <c r="F358" s="12">
        <f t="shared" si="571"/>
        <v>2.2118198666305422</v>
      </c>
      <c r="G358" s="12">
        <f t="shared" si="572"/>
        <v>9.6675654122431194</v>
      </c>
      <c r="H358" s="12">
        <f t="shared" si="573"/>
        <v>18.649871313228939</v>
      </c>
      <c r="I358" s="12">
        <f t="shared" si="574"/>
        <v>2.1486535905865498</v>
      </c>
      <c r="J358" s="12">
        <f t="shared" si="575"/>
        <v>18.91936616274447</v>
      </c>
      <c r="K358" s="13">
        <f t="shared" si="576"/>
        <v>1.756281006529932E-2</v>
      </c>
      <c r="L358" s="13">
        <f t="shared" si="577"/>
        <v>126.72794340111869</v>
      </c>
      <c r="M358" s="13">
        <f t="shared" si="578"/>
        <v>8.0095819488343982E-3</v>
      </c>
      <c r="N358" s="13">
        <f t="shared" si="579"/>
        <v>1.5451426108723231E-2</v>
      </c>
      <c r="O358" s="13">
        <f t="shared" si="580"/>
        <v>123.10878237623962</v>
      </c>
      <c r="P358" s="13">
        <f t="shared" si="581"/>
        <v>1.5674702703185144E-2</v>
      </c>
      <c r="Q358" s="51">
        <v>1100.6099999999999</v>
      </c>
      <c r="R358" s="51">
        <v>338.33499999999998</v>
      </c>
      <c r="S358" s="51">
        <v>1097.82</v>
      </c>
      <c r="T358" s="51">
        <v>319.89499999999998</v>
      </c>
      <c r="U358" s="51">
        <v>1110.5999999999999</v>
      </c>
      <c r="V358" s="51">
        <v>336.77800000000002</v>
      </c>
      <c r="W358" s="51">
        <v>1107.1600000000001</v>
      </c>
      <c r="X358" s="51">
        <v>318.17399999999998</v>
      </c>
      <c r="Y358" s="51">
        <v>1103.8</v>
      </c>
      <c r="Z358" s="51">
        <v>328.173</v>
      </c>
      <c r="AA358" s="51">
        <v>1103.3900000000001</v>
      </c>
      <c r="AB358" s="51">
        <v>323.41899999999998</v>
      </c>
      <c r="AC358" s="51">
        <v>1104.6199999999999</v>
      </c>
      <c r="AD358" s="51">
        <v>333.00799999999998</v>
      </c>
      <c r="AG358" s="14" t="s">
        <v>222</v>
      </c>
      <c r="AH358" s="14" t="s">
        <v>225</v>
      </c>
      <c r="AI358" s="14" t="s">
        <v>222</v>
      </c>
      <c r="AJ358" s="55">
        <v>3.3258766008008E-5</v>
      </c>
      <c r="AK358" s="55">
        <v>2.99192229256431E-5</v>
      </c>
      <c r="AL358" s="55">
        <v>1.6121492344093399E-5</v>
      </c>
      <c r="AM358" s="55">
        <v>1.4586319515612401E-5</v>
      </c>
      <c r="AN358" s="51">
        <v>0.48605237960256698</v>
      </c>
    </row>
    <row r="359" spans="1:40" x14ac:dyDescent="0.35">
      <c r="A359" s="51" t="s">
        <v>189</v>
      </c>
      <c r="B359" s="14">
        <v>1</v>
      </c>
      <c r="C359" s="51">
        <v>50</v>
      </c>
      <c r="D359" s="14">
        <v>1207</v>
      </c>
      <c r="E359" s="12">
        <f t="shared" si="570"/>
        <v>21.480585932418155</v>
      </c>
      <c r="F359" s="12">
        <f t="shared" si="571"/>
        <v>2.1739340574020503</v>
      </c>
      <c r="G359" s="12">
        <f t="shared" si="572"/>
        <v>10.00552497373325</v>
      </c>
      <c r="H359" s="12">
        <f t="shared" si="573"/>
        <v>19.270575108179813</v>
      </c>
      <c r="I359" s="12">
        <f t="shared" si="574"/>
        <v>2.0584309403672201</v>
      </c>
      <c r="J359" s="12">
        <f t="shared" si="575"/>
        <v>19.629711485398847</v>
      </c>
      <c r="K359" s="13">
        <f t="shared" si="576"/>
        <v>1.7796674343345614E-2</v>
      </c>
      <c r="L359" s="13">
        <f t="shared" si="577"/>
        <v>124.55724642888832</v>
      </c>
      <c r="M359" s="13">
        <f t="shared" si="578"/>
        <v>8.2895815855287911E-3</v>
      </c>
      <c r="N359" s="13">
        <f t="shared" si="579"/>
        <v>1.5965679459966704E-2</v>
      </c>
      <c r="O359" s="13">
        <f t="shared" si="580"/>
        <v>117.93940530218694</v>
      </c>
      <c r="P359" s="13">
        <f t="shared" si="581"/>
        <v>1.6263224097264994E-2</v>
      </c>
      <c r="Q359" s="51">
        <v>975.01199999999994</v>
      </c>
      <c r="R359" s="51">
        <v>330.73599999999999</v>
      </c>
      <c r="S359" s="51">
        <v>978.80799999999999</v>
      </c>
      <c r="T359" s="51">
        <v>311.84300000000002</v>
      </c>
      <c r="U359" s="51">
        <v>984.995</v>
      </c>
      <c r="V359" s="51">
        <v>334.11799999999999</v>
      </c>
      <c r="W359" s="51">
        <v>989.69799999999998</v>
      </c>
      <c r="X359" s="51">
        <v>315.06</v>
      </c>
      <c r="Y359" s="51">
        <v>981.87599999999998</v>
      </c>
      <c r="Z359" s="51">
        <v>322.27699999999999</v>
      </c>
      <c r="AA359" s="51">
        <v>982.73299999999995</v>
      </c>
      <c r="AB359" s="51">
        <v>317.791</v>
      </c>
      <c r="AC359" s="51">
        <v>980.61599999999999</v>
      </c>
      <c r="AD359" s="51">
        <v>327.57</v>
      </c>
      <c r="AG359" s="14" t="s">
        <v>222</v>
      </c>
      <c r="AH359" s="14" t="s">
        <v>225</v>
      </c>
      <c r="AI359" s="14" t="s">
        <v>222</v>
      </c>
      <c r="AJ359" s="55">
        <v>3.9513403585409401E-5</v>
      </c>
      <c r="AK359" s="55">
        <v>3.3487062832181E-5</v>
      </c>
      <c r="AL359" s="55">
        <v>1.73521435646386E-5</v>
      </c>
      <c r="AM359" s="55">
        <v>1.7897185981525798E-5</v>
      </c>
      <c r="AN359" s="51">
        <v>0.482864442872528</v>
      </c>
    </row>
    <row r="360" spans="1:40" x14ac:dyDescent="0.35">
      <c r="A360" s="51" t="s">
        <v>189</v>
      </c>
      <c r="B360" s="14">
        <v>1</v>
      </c>
      <c r="C360" s="51">
        <v>60</v>
      </c>
      <c r="D360" s="14">
        <v>1207</v>
      </c>
      <c r="E360" s="12">
        <f t="shared" si="570"/>
        <v>22.647317412885791</v>
      </c>
      <c r="F360" s="12">
        <f t="shared" si="571"/>
        <v>2.2117734998658047</v>
      </c>
      <c r="G360" s="12">
        <f t="shared" si="572"/>
        <v>10.949327148277225</v>
      </c>
      <c r="H360" s="12">
        <f t="shared" si="573"/>
        <v>19.559341502208067</v>
      </c>
      <c r="I360" s="12">
        <f t="shared" si="574"/>
        <v>1.9579699843373759</v>
      </c>
      <c r="J360" s="12">
        <f t="shared" si="575"/>
        <v>20.021014384890663</v>
      </c>
      <c r="K360" s="13">
        <f t="shared" si="576"/>
        <v>1.8763311858231806E-2</v>
      </c>
      <c r="L360" s="13">
        <f t="shared" si="577"/>
        <v>126.72528678118957</v>
      </c>
      <c r="M360" s="13">
        <f t="shared" si="578"/>
        <v>9.0715220781087211E-3</v>
      </c>
      <c r="N360" s="13">
        <f t="shared" si="579"/>
        <v>1.6204922537040652E-2</v>
      </c>
      <c r="O360" s="13">
        <f t="shared" si="580"/>
        <v>112.18341651582755</v>
      </c>
      <c r="P360" s="13">
        <f t="shared" si="581"/>
        <v>1.6587418711591268E-2</v>
      </c>
      <c r="Q360" s="51">
        <v>859.12099999999998</v>
      </c>
      <c r="R360" s="51">
        <v>298.916</v>
      </c>
      <c r="S360" s="51">
        <v>864.66899999999998</v>
      </c>
      <c r="T360" s="51">
        <v>280.16000000000003</v>
      </c>
      <c r="U360" s="51">
        <v>869.6</v>
      </c>
      <c r="V360" s="51">
        <v>302.87799999999999</v>
      </c>
      <c r="W360" s="51">
        <v>876.11599999999999</v>
      </c>
      <c r="X360" s="51">
        <v>283.947</v>
      </c>
      <c r="Y360" s="51">
        <v>866.59</v>
      </c>
      <c r="Z360" s="51">
        <v>290.959</v>
      </c>
      <c r="AA360" s="51">
        <v>867.69799999999998</v>
      </c>
      <c r="AB360" s="51">
        <v>286.12299999999999</v>
      </c>
      <c r="AC360" s="51">
        <v>865.28</v>
      </c>
      <c r="AD360" s="51">
        <v>296.80200000000002</v>
      </c>
      <c r="AG360" s="14" t="s">
        <v>222</v>
      </c>
      <c r="AH360" s="14" t="s">
        <v>225</v>
      </c>
      <c r="AI360" s="14" t="s">
        <v>222</v>
      </c>
      <c r="AJ360" s="55">
        <v>4.6211554526241001E-5</v>
      </c>
      <c r="AK360" s="55">
        <v>3.29283021095531E-5</v>
      </c>
      <c r="AL360" s="55">
        <v>1.59778274893279E-5</v>
      </c>
      <c r="AM360" s="55">
        <v>1.94898846757625E-5</v>
      </c>
      <c r="AN360" s="51">
        <v>0.44816497872007399</v>
      </c>
    </row>
    <row r="361" spans="1:40" x14ac:dyDescent="0.35">
      <c r="A361" s="51" t="s">
        <v>189</v>
      </c>
      <c r="B361" s="14">
        <v>1</v>
      </c>
      <c r="C361" s="51">
        <v>70</v>
      </c>
      <c r="D361" s="14">
        <v>1207</v>
      </c>
      <c r="E361" s="12">
        <f t="shared" si="570"/>
        <v>22.398191712725371</v>
      </c>
      <c r="F361" s="12">
        <f t="shared" si="571"/>
        <v>2.038397402833926</v>
      </c>
      <c r="G361" s="12">
        <f t="shared" si="572"/>
        <v>7.956609390940347</v>
      </c>
      <c r="H361" s="12">
        <f t="shared" si="573"/>
        <v>19.167487680966435</v>
      </c>
      <c r="I361" s="12">
        <f t="shared" si="574"/>
        <v>2.1183196113394005</v>
      </c>
      <c r="J361" s="12">
        <f t="shared" si="575"/>
        <v>20.598436372695847</v>
      </c>
      <c r="K361" s="13">
        <f t="shared" si="576"/>
        <v>1.8556911112448525E-2</v>
      </c>
      <c r="L361" s="13">
        <f t="shared" si="577"/>
        <v>116.79156815281227</v>
      </c>
      <c r="M361" s="13">
        <f t="shared" si="578"/>
        <v>6.5920541764211658E-3</v>
      </c>
      <c r="N361" s="13">
        <f t="shared" si="579"/>
        <v>1.5880271483816433E-2</v>
      </c>
      <c r="O361" s="13">
        <f t="shared" si="580"/>
        <v>121.37077338954053</v>
      </c>
      <c r="P361" s="13">
        <f t="shared" si="581"/>
        <v>1.7065813067685044E-2</v>
      </c>
      <c r="Q361" s="51">
        <v>734.68799999999999</v>
      </c>
      <c r="R361" s="51">
        <v>263.41800000000001</v>
      </c>
      <c r="S361" s="51">
        <v>740.31799999999998</v>
      </c>
      <c r="T361" s="51">
        <v>245.096</v>
      </c>
      <c r="U361" s="51">
        <v>745.53800000000001</v>
      </c>
      <c r="V361" s="51">
        <v>268.22899999999998</v>
      </c>
      <c r="W361" s="51">
        <v>751.37199999999996</v>
      </c>
      <c r="X361" s="51">
        <v>248.47399999999999</v>
      </c>
      <c r="Y361" s="51">
        <v>743.06399999999996</v>
      </c>
      <c r="Z361" s="51">
        <v>256.226</v>
      </c>
      <c r="AA361" s="51">
        <v>743.81399999999996</v>
      </c>
      <c r="AB361" s="51">
        <v>252.52500000000001</v>
      </c>
      <c r="AC361" s="51">
        <v>742.36199999999997</v>
      </c>
      <c r="AD361" s="51">
        <v>260.34800000000001</v>
      </c>
      <c r="AG361" s="14" t="s">
        <v>222</v>
      </c>
      <c r="AH361" s="14" t="s">
        <v>225</v>
      </c>
      <c r="AI361" s="14" t="s">
        <v>222</v>
      </c>
      <c r="AJ361" s="55">
        <v>4.0807033536076901E-5</v>
      </c>
      <c r="AK361" s="55">
        <v>3.8773445978272097E-5</v>
      </c>
      <c r="AL361" s="55">
        <v>2.41030861812033E-5</v>
      </c>
      <c r="AM361" s="55">
        <v>2.4131079473576201E-5</v>
      </c>
      <c r="AN361" s="51">
        <v>0.60610549156194105</v>
      </c>
    </row>
    <row r="362" spans="1:40" x14ac:dyDescent="0.35">
      <c r="A362" s="51" t="s">
        <v>189</v>
      </c>
      <c r="B362" s="14">
        <v>1</v>
      </c>
      <c r="C362" s="51">
        <v>80</v>
      </c>
      <c r="D362" s="14">
        <v>1207</v>
      </c>
      <c r="E362" s="12">
        <f t="shared" si="570"/>
        <v>21.227179652511492</v>
      </c>
      <c r="F362" s="12">
        <f t="shared" si="571"/>
        <v>2.1033219902806177</v>
      </c>
      <c r="G362" s="12">
        <f t="shared" si="572"/>
        <v>9.3953283071960882</v>
      </c>
      <c r="H362" s="12">
        <f t="shared" si="573"/>
        <v>18.453450680021898</v>
      </c>
      <c r="I362" s="12">
        <f t="shared" si="574"/>
        <v>2.048613857673228</v>
      </c>
      <c r="J362" s="12">
        <f t="shared" si="575"/>
        <v>18.723197616860215</v>
      </c>
      <c r="K362" s="13">
        <f t="shared" si="576"/>
        <v>1.7586727135469337E-2</v>
      </c>
      <c r="L362" s="13">
        <f t="shared" si="577"/>
        <v>120.51147300013575</v>
      </c>
      <c r="M362" s="13">
        <f t="shared" si="578"/>
        <v>7.7840333945286564E-3</v>
      </c>
      <c r="N362" s="13">
        <f t="shared" si="579"/>
        <v>1.528869153274391E-2</v>
      </c>
      <c r="O362" s="13">
        <f t="shared" si="580"/>
        <v>117.37692789669029</v>
      </c>
      <c r="P362" s="13">
        <f t="shared" si="581"/>
        <v>1.551217698165718E-2</v>
      </c>
      <c r="Q362" s="51">
        <v>621.09900000000005</v>
      </c>
      <c r="R362" s="51">
        <v>229.352</v>
      </c>
      <c r="S362" s="51">
        <v>624.98800000000006</v>
      </c>
      <c r="T362" s="51">
        <v>211.31299999999999</v>
      </c>
      <c r="U362" s="51">
        <v>632.43499999999995</v>
      </c>
      <c r="V362" s="51">
        <v>231.917</v>
      </c>
      <c r="W362" s="51">
        <v>635.08299999999997</v>
      </c>
      <c r="X362" s="51">
        <v>213.38200000000001</v>
      </c>
      <c r="Y362" s="51">
        <v>628.298</v>
      </c>
      <c r="Z362" s="51">
        <v>220.91200000000001</v>
      </c>
      <c r="AA362" s="51">
        <v>628.87699999999995</v>
      </c>
      <c r="AB362" s="51">
        <v>216.94</v>
      </c>
      <c r="AC362" s="51">
        <v>627.81399999999996</v>
      </c>
      <c r="AD362" s="51">
        <v>226.27500000000001</v>
      </c>
      <c r="AG362" s="14" t="s">
        <v>222</v>
      </c>
      <c r="AH362" s="14" t="s">
        <v>225</v>
      </c>
      <c r="AI362" s="14" t="s">
        <v>222</v>
      </c>
      <c r="AJ362" s="55">
        <v>3.6318292081059602E-5</v>
      </c>
      <c r="AK362" s="55">
        <v>3.3304618735366299E-5</v>
      </c>
      <c r="AL362" s="55">
        <v>1.78827205153037E-5</v>
      </c>
      <c r="AM362" s="55">
        <v>1.67341378550556E-5</v>
      </c>
      <c r="AN362" s="51">
        <v>0.497204985606438</v>
      </c>
    </row>
    <row r="363" spans="1:40" x14ac:dyDescent="0.35">
      <c r="A363" s="51" t="s">
        <v>189</v>
      </c>
      <c r="B363" s="14">
        <v>1</v>
      </c>
      <c r="C363" s="51">
        <v>90</v>
      </c>
      <c r="D363" s="14">
        <v>1207</v>
      </c>
      <c r="E363" s="12">
        <f t="shared" si="570"/>
        <v>21.563351246965325</v>
      </c>
      <c r="F363" s="12">
        <f t="shared" si="571"/>
        <v>2.0685132330851119</v>
      </c>
      <c r="G363" s="12">
        <f t="shared" si="572"/>
        <v>9.7250251413556885</v>
      </c>
      <c r="H363" s="12">
        <f t="shared" si="573"/>
        <v>17.718672664734235</v>
      </c>
      <c r="I363" s="12">
        <f t="shared" si="574"/>
        <v>2.0333977126616269</v>
      </c>
      <c r="J363" s="12">
        <f t="shared" si="575"/>
        <v>18.135121560110921</v>
      </c>
      <c r="K363" s="13">
        <f t="shared" si="576"/>
        <v>1.7865245440733493E-2</v>
      </c>
      <c r="L363" s="13">
        <f t="shared" si="577"/>
        <v>118.51707812273764</v>
      </c>
      <c r="M363" s="13">
        <f t="shared" si="578"/>
        <v>8.0571873582068673E-3</v>
      </c>
      <c r="N363" s="13">
        <f t="shared" si="579"/>
        <v>1.4679927642696135E-2</v>
      </c>
      <c r="O363" s="13">
        <f t="shared" si="580"/>
        <v>116.5051070070665</v>
      </c>
      <c r="P363" s="13">
        <f t="shared" si="581"/>
        <v>1.502495572502976E-2</v>
      </c>
      <c r="Q363" s="51">
        <v>502.12099999999998</v>
      </c>
      <c r="R363" s="51">
        <v>213.672</v>
      </c>
      <c r="S363" s="51">
        <v>503.74599999999998</v>
      </c>
      <c r="T363" s="51">
        <v>196.02799999999999</v>
      </c>
      <c r="U363" s="51">
        <v>512.83199999999999</v>
      </c>
      <c r="V363" s="51">
        <v>214.21799999999999</v>
      </c>
      <c r="W363" s="51">
        <v>514.73500000000001</v>
      </c>
      <c r="X363" s="51">
        <v>196.18299999999999</v>
      </c>
      <c r="Y363" s="51">
        <v>508.14800000000002</v>
      </c>
      <c r="Z363" s="51">
        <v>205.63399999999999</v>
      </c>
      <c r="AA363" s="51">
        <v>508.46699999999998</v>
      </c>
      <c r="AB363" s="51">
        <v>200.98099999999999</v>
      </c>
      <c r="AC363" s="51">
        <v>508.072</v>
      </c>
      <c r="AD363" s="51">
        <v>210.69800000000001</v>
      </c>
      <c r="AG363" s="14" t="s">
        <v>222</v>
      </c>
      <c r="AH363" s="14" t="s">
        <v>225</v>
      </c>
      <c r="AI363" s="14" t="s">
        <v>222</v>
      </c>
      <c r="AJ363" s="55">
        <v>3.4599087482642202E-5</v>
      </c>
      <c r="AK363" s="55">
        <v>3.2013831907081898E-5</v>
      </c>
      <c r="AL363" s="55">
        <v>1.20478374903644E-5</v>
      </c>
      <c r="AM363" s="55">
        <v>1.84290760401387E-5</v>
      </c>
      <c r="AN363" s="51">
        <v>0.45752256183512402</v>
      </c>
    </row>
    <row r="364" spans="1:40" x14ac:dyDescent="0.35">
      <c r="A364" s="51" t="s">
        <v>191</v>
      </c>
      <c r="B364" s="14">
        <v>1</v>
      </c>
      <c r="C364" s="51">
        <v>30</v>
      </c>
      <c r="D364" s="14">
        <v>1143</v>
      </c>
      <c r="E364" s="12">
        <f t="shared" ref="E364:E370" si="582">DIST2(Q364,R364,W364,X364)</f>
        <v>32.493352197026397</v>
      </c>
      <c r="F364" s="12">
        <f t="shared" ref="F364:F370" si="583">ACOS((DIST2(Y364,Z364,S364,T364)^2 + DIST2(Y364,Z364,Q364,R364)^2 - DIST2(Q364,R364,S364,T364)^2)/(2*DIST2(Y364,Z364,S364,T364) * DIST2(Y364,Z364,Q364,R364)))</f>
        <v>1.5300724477957046</v>
      </c>
      <c r="G364" s="12">
        <f t="shared" ref="G364:G370" si="584">DIST2(AA364,AB364,AC364,AD364)</f>
        <v>1.6998976439774434</v>
      </c>
      <c r="H364" s="12">
        <f t="shared" ref="H364:H370" si="585">DIST2(Q364,R364,S364,T364)</f>
        <v>23.417014604769733</v>
      </c>
      <c r="I364" s="12">
        <f t="shared" ref="I364:I370" si="586">ACOS((DIST2(Y364,Z364,W364,X364)^2 + DIST2(Y364,Z364,U364,V364)^2 - DIST2(U364,V364,W364,X364)^2)/(2*DIST2(Y364,Z364,W364,X364) * DIST2(Y364,Z364,U364,V364)))</f>
        <v>1.4092572235621574</v>
      </c>
      <c r="J364" s="12">
        <f t="shared" ref="J364:J370" si="587">DIST2(U364,V364,W364,X364)</f>
        <v>19.647138468489512</v>
      </c>
      <c r="K364" s="13">
        <f t="shared" ref="K364:K370" si="588">E364/D364</f>
        <v>2.8428129656191074E-2</v>
      </c>
      <c r="L364" s="13">
        <f t="shared" ref="L364:L370" si="589">F364*180/PI()</f>
        <v>87.66669360794485</v>
      </c>
      <c r="M364" s="13">
        <f t="shared" ref="M364:M370" si="590">G364/D364</f>
        <v>1.4872245354133364E-3</v>
      </c>
      <c r="N364" s="13">
        <f t="shared" ref="N364:N370" si="591">H364/D364</f>
        <v>2.0487326863315603E-2</v>
      </c>
      <c r="O364" s="13">
        <f t="shared" ref="O364:O370" si="592">I364*180/PI()</f>
        <v>80.744491158435935</v>
      </c>
      <c r="P364" s="13">
        <f t="shared" ref="P364:P370" si="593">J364/D364</f>
        <v>1.7189097522737982E-2</v>
      </c>
      <c r="Q364" s="51">
        <v>477.625</v>
      </c>
      <c r="R364" s="51">
        <v>298.95299999999997</v>
      </c>
      <c r="S364" s="51">
        <v>470.18299999999999</v>
      </c>
      <c r="T364" s="51">
        <v>276.75</v>
      </c>
      <c r="U364" s="51">
        <v>455.17500000000001</v>
      </c>
      <c r="V364" s="51">
        <v>304.16199999999998</v>
      </c>
      <c r="W364" s="51">
        <v>447.85599999999999</v>
      </c>
      <c r="X364" s="51">
        <v>285.92899999999997</v>
      </c>
      <c r="Y364" s="51">
        <v>461.90499999999997</v>
      </c>
      <c r="Z364" s="51">
        <v>290.00099999999998</v>
      </c>
      <c r="AA364" s="51">
        <v>461.57100000000003</v>
      </c>
      <c r="AB364" s="51">
        <v>289.298</v>
      </c>
      <c r="AC364" s="51">
        <v>462.23700000000002</v>
      </c>
      <c r="AD364" s="51">
        <v>290.86200000000002</v>
      </c>
      <c r="AG364" s="14" t="s">
        <v>222</v>
      </c>
      <c r="AH364" s="14" t="s">
        <v>222</v>
      </c>
      <c r="AI364" s="14" t="s">
        <v>222</v>
      </c>
      <c r="AJ364" s="55">
        <v>8.6628888307159206E-5</v>
      </c>
      <c r="AK364" s="51">
        <v>1.08083199573807E-4</v>
      </c>
      <c r="AL364" s="51">
        <v>1.0019489547621E-4</v>
      </c>
      <c r="AM364" s="55">
        <v>7.6968043911396694E-5</v>
      </c>
      <c r="AN364" s="51">
        <v>0.90987129415361601</v>
      </c>
    </row>
    <row r="365" spans="1:40" x14ac:dyDescent="0.35">
      <c r="A365" s="51" t="s">
        <v>191</v>
      </c>
      <c r="B365" s="14">
        <v>1</v>
      </c>
      <c r="C365" s="51">
        <v>40</v>
      </c>
      <c r="D365" s="14">
        <v>1143</v>
      </c>
      <c r="E365" s="12">
        <f t="shared" si="582"/>
        <v>40.085836214304003</v>
      </c>
      <c r="F365" s="12">
        <f t="shared" si="583"/>
        <v>1.2149929448450478</v>
      </c>
      <c r="G365" s="12">
        <f t="shared" si="584"/>
        <v>4.5738120862142893</v>
      </c>
      <c r="H365" s="12">
        <f t="shared" si="585"/>
        <v>23.59478891619931</v>
      </c>
      <c r="I365" s="12">
        <f t="shared" si="586"/>
        <v>1.363234168449255</v>
      </c>
      <c r="J365" s="12">
        <f t="shared" si="587"/>
        <v>24.132453605052255</v>
      </c>
      <c r="K365" s="13">
        <f t="shared" si="588"/>
        <v>3.5070722847160105E-2</v>
      </c>
      <c r="L365" s="13">
        <f t="shared" si="589"/>
        <v>69.613967877792462</v>
      </c>
      <c r="M365" s="13">
        <f t="shared" si="590"/>
        <v>4.001585377265345E-3</v>
      </c>
      <c r="N365" s="13">
        <f t="shared" si="591"/>
        <v>2.0642859944181375E-2</v>
      </c>
      <c r="O365" s="13">
        <f t="shared" si="592"/>
        <v>78.107564340168651</v>
      </c>
      <c r="P365" s="13">
        <f t="shared" si="593"/>
        <v>2.1113257747202324E-2</v>
      </c>
      <c r="Q365" s="51">
        <v>594.79100000000005</v>
      </c>
      <c r="R365" s="51">
        <v>250.166</v>
      </c>
      <c r="S365" s="51">
        <v>587.19899999999996</v>
      </c>
      <c r="T365" s="51">
        <v>227.82599999999999</v>
      </c>
      <c r="U365" s="51">
        <v>565.29600000000005</v>
      </c>
      <c r="V365" s="51">
        <v>260.67899999999997</v>
      </c>
      <c r="W365" s="51">
        <v>556.53499999999997</v>
      </c>
      <c r="X365" s="51">
        <v>238.19300000000001</v>
      </c>
      <c r="Y365" s="51">
        <v>574.93299999999999</v>
      </c>
      <c r="Z365" s="51">
        <v>244.47200000000001</v>
      </c>
      <c r="AA365" s="51">
        <v>574.05700000000002</v>
      </c>
      <c r="AB365" s="51">
        <v>242.42699999999999</v>
      </c>
      <c r="AC365" s="51">
        <v>575.37099999999998</v>
      </c>
      <c r="AD365" s="51">
        <v>246.80799999999999</v>
      </c>
      <c r="AG365" s="14" t="s">
        <v>222</v>
      </c>
      <c r="AH365" s="14" t="s">
        <v>222</v>
      </c>
      <c r="AI365" s="14" t="s">
        <v>222</v>
      </c>
      <c r="AJ365" s="51">
        <v>1.3727558787216299E-4</v>
      </c>
      <c r="AK365" s="51">
        <v>1.5323938094789801E-4</v>
      </c>
      <c r="AL365" s="51">
        <v>1.16042290973471E-4</v>
      </c>
      <c r="AM365" s="51">
        <v>1.19209379776784E-4</v>
      </c>
      <c r="AN365" s="51">
        <v>0.80977469665587198</v>
      </c>
    </row>
    <row r="366" spans="1:40" x14ac:dyDescent="0.35">
      <c r="A366" s="51" t="s">
        <v>191</v>
      </c>
      <c r="B366" s="14">
        <v>1</v>
      </c>
      <c r="C366" s="51">
        <v>50</v>
      </c>
      <c r="D366" s="14">
        <v>1143</v>
      </c>
      <c r="E366" s="12">
        <f t="shared" si="582"/>
        <v>41.711626244969217</v>
      </c>
      <c r="F366" s="12">
        <f t="shared" si="583"/>
        <v>1.0342512856402588</v>
      </c>
      <c r="G366" s="12">
        <f t="shared" si="584"/>
        <v>2.011598866573554</v>
      </c>
      <c r="H366" s="12">
        <f t="shared" si="585"/>
        <v>21.55772058915321</v>
      </c>
      <c r="I366" s="12">
        <f t="shared" si="586"/>
        <v>1.1009446149221116</v>
      </c>
      <c r="J366" s="12">
        <f t="shared" si="587"/>
        <v>21.105291516584163</v>
      </c>
      <c r="K366" s="13">
        <f t="shared" si="588"/>
        <v>3.6493111325432384E-2</v>
      </c>
      <c r="L366" s="13">
        <f t="shared" si="589"/>
        <v>59.258233623166191</v>
      </c>
      <c r="M366" s="13">
        <f t="shared" si="590"/>
        <v>1.7599290171247191E-3</v>
      </c>
      <c r="N366" s="13">
        <f t="shared" si="591"/>
        <v>1.8860647934517243E-2</v>
      </c>
      <c r="O366" s="13">
        <f t="shared" si="592"/>
        <v>63.079479912692634</v>
      </c>
      <c r="P366" s="13">
        <f t="shared" si="593"/>
        <v>1.8464821974264359E-2</v>
      </c>
      <c r="Q366" s="51">
        <v>738.23900000000003</v>
      </c>
      <c r="R366" s="51">
        <v>208.267</v>
      </c>
      <c r="S366" s="51">
        <v>732.19799999999998</v>
      </c>
      <c r="T366" s="51">
        <v>187.57300000000001</v>
      </c>
      <c r="U366" s="51">
        <v>703.15</v>
      </c>
      <c r="V366" s="51">
        <v>218.16399999999999</v>
      </c>
      <c r="W366" s="51">
        <v>697.88099999999997</v>
      </c>
      <c r="X366" s="51">
        <v>197.727</v>
      </c>
      <c r="Y366" s="51">
        <v>716.904</v>
      </c>
      <c r="Z366" s="51">
        <v>202.78200000000001</v>
      </c>
      <c r="AA366" s="51">
        <v>716.67600000000004</v>
      </c>
      <c r="AB366" s="51">
        <v>201.83500000000001</v>
      </c>
      <c r="AC366" s="51">
        <v>717.13300000000004</v>
      </c>
      <c r="AD366" s="51">
        <v>203.79400000000001</v>
      </c>
      <c r="AG366" s="14" t="s">
        <v>222</v>
      </c>
      <c r="AH366" s="14" t="s">
        <v>222</v>
      </c>
      <c r="AI366" s="14" t="s">
        <v>222</v>
      </c>
      <c r="AJ366" s="51">
        <v>1.3859639985946601E-4</v>
      </c>
      <c r="AK366" s="51">
        <v>1.56290679927039E-4</v>
      </c>
      <c r="AL366" s="51">
        <v>1.4001280532190699E-4</v>
      </c>
      <c r="AM366" s="51">
        <v>1.2699258294812901E-4</v>
      </c>
      <c r="AN366" s="51">
        <v>0.90544959943088899</v>
      </c>
    </row>
    <row r="367" spans="1:40" x14ac:dyDescent="0.35">
      <c r="A367" s="51" t="s">
        <v>191</v>
      </c>
      <c r="B367" s="14">
        <v>1</v>
      </c>
      <c r="C367" s="51">
        <v>60</v>
      </c>
      <c r="D367" s="14">
        <v>1143</v>
      </c>
      <c r="E367" s="12">
        <f t="shared" si="582"/>
        <v>41.944263254943458</v>
      </c>
      <c r="F367" s="12">
        <f t="shared" si="583"/>
        <v>1.0122473120159796</v>
      </c>
      <c r="G367" s="12">
        <f t="shared" si="584"/>
        <v>1.5438254435006233</v>
      </c>
      <c r="H367" s="12">
        <f t="shared" si="585"/>
        <v>20.75410561792534</v>
      </c>
      <c r="I367" s="12">
        <f t="shared" si="586"/>
        <v>1.0220702222557592</v>
      </c>
      <c r="J367" s="12">
        <f t="shared" si="587"/>
        <v>20.548825976196301</v>
      </c>
      <c r="K367" s="13">
        <f t="shared" si="588"/>
        <v>3.669664326766707E-2</v>
      </c>
      <c r="L367" s="13">
        <f t="shared" si="589"/>
        <v>57.997498801977812</v>
      </c>
      <c r="M367" s="13">
        <f t="shared" si="590"/>
        <v>1.350678428259513E-3</v>
      </c>
      <c r="N367" s="13">
        <f t="shared" si="591"/>
        <v>1.8157572719094787E-2</v>
      </c>
      <c r="O367" s="13">
        <f t="shared" si="592"/>
        <v>58.560310101253023</v>
      </c>
      <c r="P367" s="13">
        <f t="shared" si="593"/>
        <v>1.7977975482236484E-2</v>
      </c>
      <c r="Q367" s="51">
        <v>850.08799999999997</v>
      </c>
      <c r="R367" s="51">
        <v>172.63499999999999</v>
      </c>
      <c r="S367" s="51">
        <v>844.01599999999996</v>
      </c>
      <c r="T367" s="51">
        <v>152.78899999999999</v>
      </c>
      <c r="U367" s="51">
        <v>814.39599999999996</v>
      </c>
      <c r="V367" s="51">
        <v>183.74199999999999</v>
      </c>
      <c r="W367" s="51">
        <v>809.06399999999996</v>
      </c>
      <c r="X367" s="51">
        <v>163.89699999999999</v>
      </c>
      <c r="Y367" s="51">
        <v>829.34100000000001</v>
      </c>
      <c r="Z367" s="51">
        <v>168.76400000000001</v>
      </c>
      <c r="AA367" s="51">
        <v>829.11900000000003</v>
      </c>
      <c r="AB367" s="51">
        <v>168.06200000000001</v>
      </c>
      <c r="AC367" s="51">
        <v>829.673</v>
      </c>
      <c r="AD367" s="51">
        <v>169.50299999999999</v>
      </c>
      <c r="AG367" s="14" t="s">
        <v>222</v>
      </c>
      <c r="AH367" s="14" t="s">
        <v>222</v>
      </c>
      <c r="AI367" s="14" t="s">
        <v>222</v>
      </c>
      <c r="AJ367" s="51">
        <v>1.4407229865076999E-4</v>
      </c>
      <c r="AK367" s="51">
        <v>1.4858607186350099E-4</v>
      </c>
      <c r="AL367" s="51">
        <v>1.29563706275561E-4</v>
      </c>
      <c r="AM367" s="51">
        <v>1.40972215524679E-4</v>
      </c>
      <c r="AN367" s="51">
        <v>0.92440862472117802</v>
      </c>
    </row>
    <row r="368" spans="1:40" x14ac:dyDescent="0.35">
      <c r="A368" s="51" t="s">
        <v>191</v>
      </c>
      <c r="B368" s="14">
        <v>1</v>
      </c>
      <c r="C368" s="51">
        <v>70</v>
      </c>
      <c r="D368" s="14">
        <v>1143</v>
      </c>
      <c r="E368" s="12">
        <f t="shared" si="582"/>
        <v>42.994786021098001</v>
      </c>
      <c r="F368" s="12">
        <f t="shared" si="583"/>
        <v>1.0202698984325056</v>
      </c>
      <c r="G368" s="12">
        <f t="shared" si="584"/>
        <v>2.4498034615046222</v>
      </c>
      <c r="H368" s="12">
        <f t="shared" si="585"/>
        <v>20.617271206442453</v>
      </c>
      <c r="I368" s="12">
        <f t="shared" si="586"/>
        <v>0.96394108712964477</v>
      </c>
      <c r="J368" s="12">
        <f t="shared" si="587"/>
        <v>20.335613735513391</v>
      </c>
      <c r="K368" s="13">
        <f t="shared" si="588"/>
        <v>3.7615735801485563E-2</v>
      </c>
      <c r="L368" s="13">
        <f t="shared" si="589"/>
        <v>58.457159144423741</v>
      </c>
      <c r="M368" s="13">
        <f t="shared" si="590"/>
        <v>2.1433101150521629E-3</v>
      </c>
      <c r="N368" s="13">
        <f t="shared" si="591"/>
        <v>1.8037857573440466E-2</v>
      </c>
      <c r="O368" s="13">
        <f t="shared" si="592"/>
        <v>55.229755991781005</v>
      </c>
      <c r="P368" s="13">
        <f t="shared" si="593"/>
        <v>1.7791438088813116E-2</v>
      </c>
      <c r="Q368" s="51">
        <v>964.98800000000006</v>
      </c>
      <c r="R368" s="51">
        <v>132.352</v>
      </c>
      <c r="S368" s="51">
        <v>959.32399999999996</v>
      </c>
      <c r="T368" s="51">
        <v>112.52800000000001</v>
      </c>
      <c r="U368" s="51">
        <v>929.17200000000003</v>
      </c>
      <c r="V368" s="51">
        <v>143.18100000000001</v>
      </c>
      <c r="W368" s="51">
        <v>922.84100000000001</v>
      </c>
      <c r="X368" s="51">
        <v>123.85599999999999</v>
      </c>
      <c r="Y368" s="51">
        <v>944.30200000000002</v>
      </c>
      <c r="Z368" s="51">
        <v>126.968</v>
      </c>
      <c r="AA368" s="51">
        <v>944.05200000000002</v>
      </c>
      <c r="AB368" s="51">
        <v>125.846</v>
      </c>
      <c r="AC368" s="51">
        <v>944.67600000000004</v>
      </c>
      <c r="AD368" s="51">
        <v>128.215</v>
      </c>
      <c r="AG368" s="14" t="s">
        <v>222</v>
      </c>
      <c r="AH368" s="14" t="s">
        <v>222</v>
      </c>
      <c r="AI368" s="14" t="s">
        <v>222</v>
      </c>
      <c r="AJ368" s="51">
        <v>1.51185294259478E-4</v>
      </c>
      <c r="AK368" s="51">
        <v>1.4527328965768999E-4</v>
      </c>
      <c r="AL368" s="51">
        <v>1.40889326716925E-4</v>
      </c>
      <c r="AM368" s="51">
        <v>1.19744198969879E-4</v>
      </c>
      <c r="AN368" s="51">
        <v>0.87915661689737701</v>
      </c>
    </row>
    <row r="369" spans="1:40" x14ac:dyDescent="0.35">
      <c r="A369" s="51" t="s">
        <v>191</v>
      </c>
      <c r="B369" s="14">
        <v>1</v>
      </c>
      <c r="C369" s="51">
        <v>80</v>
      </c>
      <c r="D369" s="14">
        <v>1143</v>
      </c>
      <c r="E369" s="12">
        <f t="shared" si="582"/>
        <v>44.21381414218861</v>
      </c>
      <c r="F369" s="12">
        <f t="shared" si="583"/>
        <v>0.94405248638372119</v>
      </c>
      <c r="G369" s="12">
        <f t="shared" si="584"/>
        <v>1.0204038416235135</v>
      </c>
      <c r="H369" s="12">
        <f t="shared" si="585"/>
        <v>19.868915614345962</v>
      </c>
      <c r="I369" s="12">
        <f t="shared" si="586"/>
        <v>0.93782412798932846</v>
      </c>
      <c r="J369" s="12">
        <f t="shared" si="587"/>
        <v>20.639889922187084</v>
      </c>
      <c r="K369" s="13">
        <f t="shared" si="588"/>
        <v>3.8682252092903421E-2</v>
      </c>
      <c r="L369" s="13">
        <f t="shared" si="589"/>
        <v>54.090223108618837</v>
      </c>
      <c r="M369" s="13">
        <f t="shared" si="590"/>
        <v>8.9274176869948683E-4</v>
      </c>
      <c r="N369" s="13">
        <f t="shared" si="591"/>
        <v>1.7383128271518777E-2</v>
      </c>
      <c r="O369" s="13">
        <f t="shared" si="592"/>
        <v>53.733364459325266</v>
      </c>
      <c r="P369" s="13">
        <f t="shared" si="593"/>
        <v>1.8057646476104184E-2</v>
      </c>
      <c r="Q369" s="51">
        <v>1047</v>
      </c>
      <c r="R369" s="51">
        <v>115.27800000000001</v>
      </c>
      <c r="S369" s="51">
        <v>1044.33</v>
      </c>
      <c r="T369" s="51">
        <v>95.589299999999994</v>
      </c>
      <c r="U369" s="51">
        <v>1008.08</v>
      </c>
      <c r="V369" s="51">
        <v>122.343</v>
      </c>
      <c r="W369" s="51">
        <v>1004.84</v>
      </c>
      <c r="X369" s="51">
        <v>101.959</v>
      </c>
      <c r="Y369" s="51">
        <v>1026.3599999999999</v>
      </c>
      <c r="Z369" s="51">
        <v>107.878</v>
      </c>
      <c r="AA369" s="51">
        <v>1026.3499999999999</v>
      </c>
      <c r="AB369" s="51">
        <v>107.404</v>
      </c>
      <c r="AC369" s="51">
        <v>1026.42</v>
      </c>
      <c r="AD369" s="51">
        <v>108.422</v>
      </c>
      <c r="AG369" s="14" t="s">
        <v>222</v>
      </c>
      <c r="AH369" s="14" t="s">
        <v>222</v>
      </c>
      <c r="AI369" s="14" t="s">
        <v>222</v>
      </c>
      <c r="AJ369" s="51">
        <v>1.6054439170606601E-4</v>
      </c>
      <c r="AK369" s="51">
        <v>1.4796473800355101E-4</v>
      </c>
      <c r="AL369" s="51">
        <v>1.5776858491988599E-4</v>
      </c>
      <c r="AM369" s="51">
        <v>1.34729827570766E-4</v>
      </c>
      <c r="AN369" s="51">
        <v>0.94810293869087203</v>
      </c>
    </row>
    <row r="370" spans="1:40" x14ac:dyDescent="0.35">
      <c r="A370" s="51" t="s">
        <v>191</v>
      </c>
      <c r="B370" s="14">
        <v>1</v>
      </c>
      <c r="C370" s="51">
        <v>90</v>
      </c>
      <c r="D370" s="14">
        <v>1143</v>
      </c>
      <c r="E370" s="12">
        <f t="shared" si="582"/>
        <v>41.753971802572295</v>
      </c>
      <c r="F370" s="12">
        <f t="shared" si="583"/>
        <v>0.95352943135373125</v>
      </c>
      <c r="G370" s="12">
        <f t="shared" si="584"/>
        <v>0.43297690469581229</v>
      </c>
      <c r="H370" s="12">
        <f t="shared" si="585"/>
        <v>18.065882901203597</v>
      </c>
      <c r="I370" s="12">
        <f t="shared" si="586"/>
        <v>0.87976265540161969</v>
      </c>
      <c r="J370" s="12">
        <f t="shared" si="587"/>
        <v>19.138361834023303</v>
      </c>
      <c r="K370" s="13">
        <f t="shared" si="588"/>
        <v>3.6530159057368589E-2</v>
      </c>
      <c r="L370" s="13">
        <f t="shared" si="589"/>
        <v>54.633212058078158</v>
      </c>
      <c r="M370" s="13">
        <f t="shared" si="590"/>
        <v>3.7880744067875092E-4</v>
      </c>
      <c r="N370" s="13">
        <f t="shared" si="591"/>
        <v>1.5805671829574451E-2</v>
      </c>
      <c r="O370" s="13">
        <f t="shared" si="592"/>
        <v>50.406687127735026</v>
      </c>
      <c r="P370" s="13">
        <f t="shared" si="593"/>
        <v>1.6743973608069382E-2</v>
      </c>
      <c r="Q370" s="51">
        <v>1170.55</v>
      </c>
      <c r="R370" s="51">
        <v>119.746</v>
      </c>
      <c r="S370" s="51">
        <v>1172.8800000000001</v>
      </c>
      <c r="T370" s="51">
        <v>101.831</v>
      </c>
      <c r="U370" s="51">
        <v>1133.33</v>
      </c>
      <c r="V370" s="51">
        <v>117.187</v>
      </c>
      <c r="W370" s="51">
        <v>1134.8399999999999</v>
      </c>
      <c r="X370" s="51">
        <v>98.1083</v>
      </c>
      <c r="Y370" s="51">
        <v>1154.28</v>
      </c>
      <c r="Z370" s="51">
        <v>109.94199999999999</v>
      </c>
      <c r="AA370" s="51">
        <v>1154.18</v>
      </c>
      <c r="AB370" s="51">
        <v>109.804</v>
      </c>
      <c r="AC370" s="51">
        <v>1154.31</v>
      </c>
      <c r="AD370" s="51">
        <v>110.217</v>
      </c>
      <c r="AG370" s="14" t="s">
        <v>222</v>
      </c>
      <c r="AH370" s="14" t="s">
        <v>222</v>
      </c>
      <c r="AI370" s="14" t="s">
        <v>222</v>
      </c>
      <c r="AJ370" s="51">
        <v>1.4878453540857699E-4</v>
      </c>
      <c r="AK370" s="51">
        <v>1.2029569083829601E-4</v>
      </c>
      <c r="AL370" s="51">
        <v>1.1983292880166E-4</v>
      </c>
      <c r="AM370" s="51">
        <v>1.4271793617661401E-4</v>
      </c>
      <c r="AN370" s="51">
        <v>0.97573451843834602</v>
      </c>
    </row>
    <row r="371" spans="1:40" x14ac:dyDescent="0.35">
      <c r="A371" s="51" t="s">
        <v>194</v>
      </c>
      <c r="B371" s="14">
        <v>1</v>
      </c>
      <c r="C371" s="51">
        <v>40</v>
      </c>
      <c r="D371" s="14">
        <v>719</v>
      </c>
      <c r="E371" s="12">
        <f t="shared" ref="E371:E376" si="594">DIST2(Q371,R371,W371,X371)</f>
        <v>25.189500114134866</v>
      </c>
      <c r="F371" s="12">
        <f t="shared" ref="F371:F376" si="595">ACOS((DIST2(Y371,Z371,S371,T371)^2 + DIST2(Y371,Z371,Q371,R371)^2 - DIST2(Q371,R371,S371,T371)^2)/(2*DIST2(Y371,Z371,S371,T371) * DIST2(Y371,Z371,Q371,R371)))</f>
        <v>1.1974021108167912</v>
      </c>
      <c r="G371" s="12">
        <f t="shared" ref="G371:G376" si="596">DIST2(AA371,AB371,AC371,AD371)</f>
        <v>0.70248843406851158</v>
      </c>
      <c r="H371" s="12">
        <f t="shared" ref="H371:H376" si="597">DIST2(Q371,R371,S371,T371)</f>
        <v>16.012344269344212</v>
      </c>
      <c r="I371" s="12">
        <f t="shared" ref="I371:I376" si="598">ACOS((DIST2(Y371,Z371,W371,X371)^2 + DIST2(Y371,Z371,U371,V371)^2 - DIST2(U371,V371,W371,X371)^2)/(2*DIST2(Y371,Z371,W371,X371) * DIST2(Y371,Z371,U371,V371)))</f>
        <v>1.4236815181771709</v>
      </c>
      <c r="J371" s="12">
        <f t="shared" ref="J371:J376" si="599">DIST2(U371,V371,W371,X371)</f>
        <v>14.655029512082175</v>
      </c>
      <c r="K371" s="13">
        <f t="shared" ref="K371:K376" si="600">E371/D371</f>
        <v>3.5034075263052668E-2</v>
      </c>
      <c r="L371" s="13">
        <f t="shared" ref="L371:L376" si="601">F371*180/PI()</f>
        <v>68.606087329858227</v>
      </c>
      <c r="M371" s="13">
        <f t="shared" ref="M371:M376" si="602">G371/D371</f>
        <v>9.7703537422602453E-4</v>
      </c>
      <c r="N371" s="13">
        <f t="shared" ref="N371:N376" si="603">H371/D371</f>
        <v>2.2270298010214479E-2</v>
      </c>
      <c r="O371" s="13">
        <f t="shared" ref="O371:O376" si="604">I371*180/PI()</f>
        <v>81.57094236232949</v>
      </c>
      <c r="P371" s="13">
        <f t="shared" ref="P371:P376" si="605">J371/D371</f>
        <v>2.0382516706651147E-2</v>
      </c>
      <c r="Q371" s="51">
        <v>328.58100000000002</v>
      </c>
      <c r="R371" s="51">
        <v>-246.32</v>
      </c>
      <c r="S371" s="51">
        <v>333.49400000000003</v>
      </c>
      <c r="T371" s="51">
        <v>-261.56</v>
      </c>
      <c r="U371" s="51">
        <v>309.52999999999997</v>
      </c>
      <c r="V371" s="51">
        <v>-252.637</v>
      </c>
      <c r="W371" s="51">
        <v>313.74099999999999</v>
      </c>
      <c r="X371" s="51">
        <v>-266.67399999999998</v>
      </c>
      <c r="Y371" s="51">
        <v>319.81700000000001</v>
      </c>
      <c r="Z371" s="51">
        <v>-257.37599999999998</v>
      </c>
      <c r="AA371" s="51">
        <v>319.899</v>
      </c>
      <c r="AB371" s="51">
        <v>-257.762</v>
      </c>
      <c r="AC371" s="51">
        <v>319.762</v>
      </c>
      <c r="AD371" s="51">
        <v>-257.07299999999998</v>
      </c>
      <c r="AG371" s="14" t="s">
        <v>223</v>
      </c>
      <c r="AH371" s="14" t="s">
        <v>225</v>
      </c>
      <c r="AI371" s="14" t="s">
        <v>223</v>
      </c>
      <c r="AJ371" s="51">
        <v>1.20359843392442E-4</v>
      </c>
      <c r="AK371" s="51">
        <v>1.8171727461065799E-4</v>
      </c>
      <c r="AL371" s="51">
        <v>1.4425244844388699E-4</v>
      </c>
      <c r="AM371" s="51">
        <v>1.3980428310839699E-4</v>
      </c>
      <c r="AN371" s="51">
        <v>0.94034507952823099</v>
      </c>
    </row>
    <row r="372" spans="1:40" x14ac:dyDescent="0.35">
      <c r="A372" s="51" t="s">
        <v>194</v>
      </c>
      <c r="B372" s="14">
        <v>1</v>
      </c>
      <c r="C372" s="51">
        <v>50</v>
      </c>
      <c r="D372" s="14">
        <v>719</v>
      </c>
      <c r="E372" s="12">
        <f t="shared" si="594"/>
        <v>28.92332700434028</v>
      </c>
      <c r="F372" s="12">
        <f t="shared" si="595"/>
        <v>1.0202606610771952</v>
      </c>
      <c r="G372" s="12">
        <f t="shared" si="596"/>
        <v>0.83022466838804709</v>
      </c>
      <c r="H372" s="12">
        <f t="shared" si="597"/>
        <v>14.701579813067713</v>
      </c>
      <c r="I372" s="12">
        <f t="shared" si="598"/>
        <v>1.1403604674952996</v>
      </c>
      <c r="J372" s="12">
        <f t="shared" si="599"/>
        <v>14.512221091204481</v>
      </c>
      <c r="K372" s="13">
        <f t="shared" si="600"/>
        <v>4.0227158559583143E-2</v>
      </c>
      <c r="L372" s="13">
        <f t="shared" si="601"/>
        <v>58.456629882950587</v>
      </c>
      <c r="M372" s="13">
        <f t="shared" si="602"/>
        <v>1.1546935582587581E-3</v>
      </c>
      <c r="N372" s="13">
        <f t="shared" si="603"/>
        <v>2.0447259823459962E-2</v>
      </c>
      <c r="O372" s="13">
        <f t="shared" si="604"/>
        <v>65.337841911046169</v>
      </c>
      <c r="P372" s="13">
        <f t="shared" si="605"/>
        <v>2.0183895815305258E-2</v>
      </c>
      <c r="Q372" s="51">
        <v>397.67099999999999</v>
      </c>
      <c r="R372" s="51">
        <v>-221.59700000000001</v>
      </c>
      <c r="S372" s="51">
        <v>403.17599999999999</v>
      </c>
      <c r="T372" s="51">
        <v>-235.22900000000001</v>
      </c>
      <c r="U372" s="51">
        <v>375.47699999999998</v>
      </c>
      <c r="V372" s="51">
        <v>-231.209</v>
      </c>
      <c r="W372" s="51">
        <v>380.45699999999999</v>
      </c>
      <c r="X372" s="51">
        <v>-244.84</v>
      </c>
      <c r="Y372" s="51">
        <v>388.53500000000003</v>
      </c>
      <c r="Z372" s="51">
        <v>-233.98</v>
      </c>
      <c r="AA372" s="51">
        <v>388.83800000000002</v>
      </c>
      <c r="AB372" s="51">
        <v>-234.35400000000001</v>
      </c>
      <c r="AC372" s="51">
        <v>388.411</v>
      </c>
      <c r="AD372" s="51">
        <v>-233.642</v>
      </c>
      <c r="AG372" s="14" t="s">
        <v>223</v>
      </c>
      <c r="AH372" s="14" t="s">
        <v>225</v>
      </c>
      <c r="AI372" s="14" t="s">
        <v>223</v>
      </c>
      <c r="AJ372" s="51">
        <v>1.5880696803047099E-4</v>
      </c>
      <c r="AK372" s="51">
        <v>1.8638772267153599E-4</v>
      </c>
      <c r="AL372" s="51">
        <v>1.7246911275705499E-4</v>
      </c>
      <c r="AM372" s="51">
        <v>1.52508257876319E-4</v>
      </c>
      <c r="AN372" s="51">
        <v>0.94143212334025905</v>
      </c>
    </row>
    <row r="373" spans="1:40" x14ac:dyDescent="0.35">
      <c r="A373" s="51" t="s">
        <v>194</v>
      </c>
      <c r="B373" s="14">
        <v>1</v>
      </c>
      <c r="C373" s="51">
        <v>60</v>
      </c>
      <c r="D373" s="14">
        <v>719</v>
      </c>
      <c r="E373" s="12">
        <f t="shared" si="594"/>
        <v>27.895140096439743</v>
      </c>
      <c r="F373" s="12">
        <f t="shared" si="595"/>
        <v>1.1500953148069617</v>
      </c>
      <c r="G373" s="12">
        <f t="shared" si="596"/>
        <v>0.9430927844067043</v>
      </c>
      <c r="H373" s="12">
        <f t="shared" si="597"/>
        <v>14.966247358640048</v>
      </c>
      <c r="I373" s="12">
        <f t="shared" si="598"/>
        <v>1.1525452855544993</v>
      </c>
      <c r="J373" s="12">
        <f t="shared" si="599"/>
        <v>15.068604746292882</v>
      </c>
      <c r="K373" s="13">
        <f t="shared" si="600"/>
        <v>3.8797135043727039E-2</v>
      </c>
      <c r="L373" s="13">
        <f t="shared" si="601"/>
        <v>65.89560757620869</v>
      </c>
      <c r="M373" s="13">
        <f t="shared" si="602"/>
        <v>1.3116728573111325E-3</v>
      </c>
      <c r="N373" s="13">
        <f t="shared" si="603"/>
        <v>2.0815364893797008E-2</v>
      </c>
      <c r="O373" s="13">
        <f t="shared" si="604"/>
        <v>66.035980559973098</v>
      </c>
      <c r="P373" s="13">
        <f t="shared" si="605"/>
        <v>2.0957725655483841E-2</v>
      </c>
      <c r="Q373" s="51">
        <v>478.35</v>
      </c>
      <c r="R373" s="51">
        <v>-165.76</v>
      </c>
      <c r="S373" s="51">
        <v>487.21800000000002</v>
      </c>
      <c r="T373" s="51">
        <v>-177.816</v>
      </c>
      <c r="U373" s="51">
        <v>460.017</v>
      </c>
      <c r="V373" s="51">
        <v>-179.709</v>
      </c>
      <c r="W373" s="51">
        <v>468.78500000000003</v>
      </c>
      <c r="X373" s="51">
        <v>-191.964</v>
      </c>
      <c r="Y373" s="51">
        <v>473.59199999999998</v>
      </c>
      <c r="Z373" s="51">
        <v>-178.774</v>
      </c>
      <c r="AA373" s="51">
        <v>473.88600000000002</v>
      </c>
      <c r="AB373" s="51">
        <v>-179.04499999999999</v>
      </c>
      <c r="AC373" s="51">
        <v>473.25400000000002</v>
      </c>
      <c r="AD373" s="51">
        <v>-178.345</v>
      </c>
      <c r="AG373" s="14" t="s">
        <v>223</v>
      </c>
      <c r="AH373" s="14" t="s">
        <v>225</v>
      </c>
      <c r="AI373" s="14" t="s">
        <v>223</v>
      </c>
      <c r="AJ373" s="51">
        <v>1.6883256667330799E-4</v>
      </c>
      <c r="AK373" s="51">
        <v>1.67102160511142E-4</v>
      </c>
      <c r="AL373" s="51">
        <v>1.5439917227798701E-4</v>
      </c>
      <c r="AM373" s="51">
        <v>1.6052175986196299E-4</v>
      </c>
      <c r="AN373" s="51">
        <v>0.93744679146266896</v>
      </c>
    </row>
    <row r="374" spans="1:40" x14ac:dyDescent="0.35">
      <c r="A374" s="51" t="s">
        <v>194</v>
      </c>
      <c r="B374" s="14">
        <v>1</v>
      </c>
      <c r="C374" s="51">
        <v>70</v>
      </c>
      <c r="D374" s="14">
        <v>719</v>
      </c>
      <c r="E374" s="12">
        <f t="shared" si="594"/>
        <v>27.694775337597502</v>
      </c>
      <c r="F374" s="12">
        <f t="shared" si="595"/>
        <v>1.0513636812569036</v>
      </c>
      <c r="G374" s="12">
        <f t="shared" si="596"/>
        <v>1.1612721472592167</v>
      </c>
      <c r="H374" s="12">
        <f t="shared" si="597"/>
        <v>13.990021050734704</v>
      </c>
      <c r="I374" s="12">
        <f t="shared" si="598"/>
        <v>1.1159276868371524</v>
      </c>
      <c r="J374" s="12">
        <f t="shared" si="599"/>
        <v>13.939193556300182</v>
      </c>
      <c r="K374" s="13">
        <f t="shared" si="600"/>
        <v>3.8518463612792077E-2</v>
      </c>
      <c r="L374" s="13">
        <f t="shared" si="601"/>
        <v>60.238701669358107</v>
      </c>
      <c r="M374" s="13">
        <f t="shared" si="602"/>
        <v>1.6151212062019704E-3</v>
      </c>
      <c r="N374" s="13">
        <f t="shared" si="603"/>
        <v>1.9457609249978726E-2</v>
      </c>
      <c r="O374" s="13">
        <f t="shared" si="604"/>
        <v>63.937946697565465</v>
      </c>
      <c r="P374" s="13">
        <f t="shared" si="605"/>
        <v>1.9386917324478697E-2</v>
      </c>
      <c r="Q374" s="51">
        <v>538.37199999999996</v>
      </c>
      <c r="R374" s="51">
        <v>-122.687</v>
      </c>
      <c r="S374" s="51">
        <v>545.59199999999998</v>
      </c>
      <c r="T374" s="51">
        <v>-134.66999999999999</v>
      </c>
      <c r="U374" s="51">
        <v>519.16800000000001</v>
      </c>
      <c r="V374" s="51">
        <v>-135.899</v>
      </c>
      <c r="W374" s="51">
        <v>526.54200000000003</v>
      </c>
      <c r="X374" s="51">
        <v>-147.72800000000001</v>
      </c>
      <c r="Y374" s="51">
        <v>531.89499999999998</v>
      </c>
      <c r="Z374" s="51">
        <v>-135.27699999999999</v>
      </c>
      <c r="AA374" s="51">
        <v>532.28899999999999</v>
      </c>
      <c r="AB374" s="51">
        <v>-135.76900000000001</v>
      </c>
      <c r="AC374" s="51">
        <v>531.50099999999998</v>
      </c>
      <c r="AD374" s="51">
        <v>-134.916</v>
      </c>
      <c r="AG374" s="14" t="s">
        <v>223</v>
      </c>
      <c r="AH374" s="14" t="s">
        <v>225</v>
      </c>
      <c r="AI374" s="14" t="s">
        <v>223</v>
      </c>
      <c r="AJ374" s="51">
        <v>1.50044501422738E-4</v>
      </c>
      <c r="AK374" s="51">
        <v>1.6298491665715599E-4</v>
      </c>
      <c r="AL374" s="51">
        <v>1.39339393107023E-4</v>
      </c>
      <c r="AM374" s="51">
        <v>1.4776223351471401E-4</v>
      </c>
      <c r="AN374" s="51">
        <v>0.91717139041692497</v>
      </c>
    </row>
    <row r="375" spans="1:40" x14ac:dyDescent="0.35">
      <c r="A375" s="51" t="s">
        <v>194</v>
      </c>
      <c r="B375" s="14">
        <v>1</v>
      </c>
      <c r="C375" s="51">
        <v>80</v>
      </c>
      <c r="D375" s="14">
        <v>719</v>
      </c>
      <c r="E375" s="12">
        <f t="shared" si="594"/>
        <v>28.98289301225806</v>
      </c>
      <c r="F375" s="12">
        <f t="shared" si="595"/>
        <v>1.0466079351474886</v>
      </c>
      <c r="G375" s="12">
        <f t="shared" si="596"/>
        <v>0.62261211038655073</v>
      </c>
      <c r="H375" s="12">
        <f t="shared" si="597"/>
        <v>14.003396311252521</v>
      </c>
      <c r="I375" s="12">
        <f t="shared" si="598"/>
        <v>0.96278096581177885</v>
      </c>
      <c r="J375" s="12">
        <f t="shared" si="599"/>
        <v>13.299137416013115</v>
      </c>
      <c r="K375" s="13">
        <f t="shared" si="600"/>
        <v>4.0310004189510515E-2</v>
      </c>
      <c r="L375" s="13">
        <f t="shared" si="601"/>
        <v>59.96621748885287</v>
      </c>
      <c r="M375" s="13">
        <f t="shared" si="602"/>
        <v>8.659417390633529E-4</v>
      </c>
      <c r="N375" s="13">
        <f t="shared" si="603"/>
        <v>1.9476211837625202E-2</v>
      </c>
      <c r="O375" s="13">
        <f t="shared" si="604"/>
        <v>55.163285936544128</v>
      </c>
      <c r="P375" s="13">
        <f t="shared" si="605"/>
        <v>1.8496714069559269E-2</v>
      </c>
      <c r="Q375" s="51">
        <v>628.43499999999995</v>
      </c>
      <c r="R375" s="51">
        <v>-80.157399999999996</v>
      </c>
      <c r="S375" s="51">
        <v>633.23099999999999</v>
      </c>
      <c r="T375" s="51">
        <v>-93.313900000000004</v>
      </c>
      <c r="U375" s="51">
        <v>605.81100000000004</v>
      </c>
      <c r="V375" s="51">
        <v>-89.748099999999994</v>
      </c>
      <c r="W375" s="51">
        <v>609.86900000000003</v>
      </c>
      <c r="X375" s="51">
        <v>-102.413</v>
      </c>
      <c r="Y375" s="51">
        <v>619.47500000000002</v>
      </c>
      <c r="Z375" s="51">
        <v>-91.008799999999994</v>
      </c>
      <c r="AA375" s="51">
        <v>619.54300000000001</v>
      </c>
      <c r="AB375" s="51">
        <v>-91.301400000000001</v>
      </c>
      <c r="AC375" s="51">
        <v>619.40800000000002</v>
      </c>
      <c r="AD375" s="51">
        <v>-90.693600000000004</v>
      </c>
      <c r="AG375" s="14" t="s">
        <v>223</v>
      </c>
      <c r="AH375" s="14" t="s">
        <v>225</v>
      </c>
      <c r="AI375" s="14" t="s">
        <v>223</v>
      </c>
      <c r="AJ375" s="51">
        <v>1.6242741038492299E-4</v>
      </c>
      <c r="AK375" s="51">
        <v>1.6435045815835201E-4</v>
      </c>
      <c r="AL375" s="51">
        <v>1.4681546567342599E-4</v>
      </c>
      <c r="AM375" s="51">
        <v>1.65935637117693E-4</v>
      </c>
      <c r="AN375" s="51">
        <v>0.95707553325234596</v>
      </c>
    </row>
    <row r="376" spans="1:40" x14ac:dyDescent="0.35">
      <c r="A376" s="51" t="s">
        <v>194</v>
      </c>
      <c r="B376" s="14">
        <v>1</v>
      </c>
      <c r="C376" s="51">
        <v>90</v>
      </c>
      <c r="D376" s="14">
        <v>719</v>
      </c>
      <c r="E376" s="12">
        <f t="shared" si="594"/>
        <v>29.742619683545044</v>
      </c>
      <c r="F376" s="12">
        <f t="shared" si="595"/>
        <v>0.8514434639981695</v>
      </c>
      <c r="G376" s="12">
        <f t="shared" si="596"/>
        <v>0.34191269353445403</v>
      </c>
      <c r="H376" s="12">
        <f t="shared" si="597"/>
        <v>12.679364315295921</v>
      </c>
      <c r="I376" s="12">
        <f t="shared" si="598"/>
        <v>0.76314491919429128</v>
      </c>
      <c r="J376" s="12">
        <f t="shared" si="599"/>
        <v>10.920211005745278</v>
      </c>
      <c r="K376" s="13">
        <f t="shared" si="600"/>
        <v>4.1366647682260144E-2</v>
      </c>
      <c r="L376" s="13">
        <f t="shared" si="601"/>
        <v>48.784116981094165</v>
      </c>
      <c r="M376" s="13">
        <f t="shared" si="602"/>
        <v>4.7553921214805843E-4</v>
      </c>
      <c r="N376" s="13">
        <f t="shared" si="603"/>
        <v>1.7634720883582644E-2</v>
      </c>
      <c r="O376" s="13">
        <f t="shared" si="604"/>
        <v>43.724983026685138</v>
      </c>
      <c r="P376" s="13">
        <f t="shared" si="605"/>
        <v>1.5188054249993433E-2</v>
      </c>
      <c r="Q376" s="51">
        <v>679.59400000000005</v>
      </c>
      <c r="R376" s="51">
        <v>-64.972700000000003</v>
      </c>
      <c r="S376" s="51">
        <v>683.58100000000002</v>
      </c>
      <c r="T376" s="51">
        <v>-77.008899999999997</v>
      </c>
      <c r="U376" s="51">
        <v>653.60500000000002</v>
      </c>
      <c r="V376" s="51">
        <v>-73.328999999999994</v>
      </c>
      <c r="W376" s="51">
        <v>656.59500000000003</v>
      </c>
      <c r="X376" s="51">
        <v>-83.831900000000005</v>
      </c>
      <c r="Y376" s="51">
        <v>668.06899999999996</v>
      </c>
      <c r="Z376" s="51">
        <v>-74.472899999999996</v>
      </c>
      <c r="AA376" s="51">
        <v>668.11699999999996</v>
      </c>
      <c r="AB376" s="51">
        <v>-74.602000000000004</v>
      </c>
      <c r="AC376" s="51">
        <v>668.00400000000002</v>
      </c>
      <c r="AD376" s="51">
        <v>-74.279300000000006</v>
      </c>
      <c r="AG376" s="14" t="s">
        <v>223</v>
      </c>
      <c r="AH376" s="14" t="s">
        <v>225</v>
      </c>
      <c r="AI376" s="14" t="s">
        <v>223</v>
      </c>
      <c r="AJ376" s="51">
        <v>1.4362174767535601E-4</v>
      </c>
      <c r="AK376" s="51">
        <v>1.70800604300905E-4</v>
      </c>
      <c r="AL376" s="51">
        <v>1.40261751273307E-4</v>
      </c>
      <c r="AM376" s="51">
        <v>1.6487073048063601E-4</v>
      </c>
      <c r="AN376" s="51">
        <v>0.97045416725646905</v>
      </c>
    </row>
    <row r="377" spans="1:40" x14ac:dyDescent="0.35">
      <c r="A377" s="51" t="s">
        <v>195</v>
      </c>
      <c r="B377" s="14">
        <v>1</v>
      </c>
      <c r="C377" s="51">
        <v>30</v>
      </c>
      <c r="D377" s="14">
        <v>1520</v>
      </c>
      <c r="E377" s="12">
        <f t="shared" ref="E377:E383" si="606">DIST2(Q377,R377,W377,X377)</f>
        <v>35.006698630405033</v>
      </c>
      <c r="F377" s="12">
        <f t="shared" ref="F377:F383" si="607">ACOS((DIST2(Y377,Z377,S377,T377)^2 + DIST2(Y377,Z377,Q377,R377)^2 - DIST2(Q377,R377,S377,T377)^2)/(2*DIST2(Y377,Z377,S377,T377) * DIST2(Y377,Z377,Q377,R377)))</f>
        <v>1.473251284621228</v>
      </c>
      <c r="G377" s="12">
        <f t="shared" ref="G377:G383" si="608">DIST2(AA377,AB377,AC377,AD377)</f>
        <v>3.1193725330585358</v>
      </c>
      <c r="H377" s="12">
        <f t="shared" ref="H377:H383" si="609">DIST2(Q377,R377,S377,T377)</f>
        <v>23.603339869603211</v>
      </c>
      <c r="I377" s="12">
        <f t="shared" ref="I377:I383" si="610">ACOS((DIST2(Y377,Z377,W377,X377)^2 + DIST2(Y377,Z377,U377,V377)^2 - DIST2(U377,V377,W377,X377)^2)/(2*DIST2(Y377,Z377,W377,X377) * DIST2(Y377,Z377,U377,V377)))</f>
        <v>1.6692346002357992</v>
      </c>
      <c r="J377" s="12">
        <f t="shared" ref="J377:J383" si="611">DIST2(U377,V377,W377,X377)</f>
        <v>25.588477426372982</v>
      </c>
      <c r="K377" s="13">
        <f t="shared" ref="K377:K383" si="612">E377/D377</f>
        <v>2.3030722783161206E-2</v>
      </c>
      <c r="L377" s="13">
        <f t="shared" ref="L377:L383" si="613">F377*180/PI()</f>
        <v>84.411080771023165</v>
      </c>
      <c r="M377" s="13">
        <f t="shared" ref="M377:M383" si="614">G377/D377</f>
        <v>2.0522187717490368E-3</v>
      </c>
      <c r="N377" s="13">
        <f t="shared" ref="N377:N383" si="615">H377/D377</f>
        <v>1.5528513072107376E-2</v>
      </c>
      <c r="O377" s="13">
        <f t="shared" ref="O377:O383" si="616">I377*180/PI()</f>
        <v>95.640097610718456</v>
      </c>
      <c r="P377" s="13">
        <f t="shared" ref="P377:P383" si="617">J377/D377</f>
        <v>1.6834524622613804E-2</v>
      </c>
      <c r="Q377" s="51">
        <v>524.85</v>
      </c>
      <c r="R377" s="51">
        <v>-207.17699999999999</v>
      </c>
      <c r="S377" s="51">
        <v>527.08799999999997</v>
      </c>
      <c r="T377" s="51">
        <v>-230.67400000000001</v>
      </c>
      <c r="U377" s="51">
        <v>501.03300000000002</v>
      </c>
      <c r="V377" s="51">
        <v>-207.976</v>
      </c>
      <c r="W377" s="51">
        <v>501.83199999999999</v>
      </c>
      <c r="X377" s="51">
        <v>-233.55199999999999</v>
      </c>
      <c r="Y377" s="51">
        <v>512.98299999999995</v>
      </c>
      <c r="Z377" s="51">
        <v>-219.75200000000001</v>
      </c>
      <c r="AA377" s="51">
        <v>513.07399999999996</v>
      </c>
      <c r="AB377" s="51">
        <v>-221.126</v>
      </c>
      <c r="AC377" s="51">
        <v>512.89099999999996</v>
      </c>
      <c r="AD377" s="51">
        <v>-218.012</v>
      </c>
      <c r="AG377" s="14" t="s">
        <v>226</v>
      </c>
      <c r="AH377" s="14" t="s">
        <v>226</v>
      </c>
      <c r="AI377" s="14" t="s">
        <v>223</v>
      </c>
      <c r="AJ377" s="55">
        <v>6.4106686288088302E-5</v>
      </c>
      <c r="AK377" s="55">
        <v>6.6434762162396395E-5</v>
      </c>
      <c r="AL377" s="55">
        <v>5.3778989352493098E-5</v>
      </c>
      <c r="AM377" s="55">
        <v>6.0915118594182701E-5</v>
      </c>
      <c r="AN377" s="51">
        <v>0.87860299780709195</v>
      </c>
    </row>
    <row r="378" spans="1:40" x14ac:dyDescent="0.35">
      <c r="A378" s="51" t="s">
        <v>195</v>
      </c>
      <c r="B378" s="14">
        <v>1</v>
      </c>
      <c r="C378" s="51">
        <v>40</v>
      </c>
      <c r="D378" s="14">
        <v>1520</v>
      </c>
      <c r="E378" s="12">
        <f t="shared" si="606"/>
        <v>35.793389683012684</v>
      </c>
      <c r="F378" s="12">
        <f t="shared" si="607"/>
        <v>1.3859080487502968</v>
      </c>
      <c r="G378" s="12">
        <f t="shared" si="608"/>
        <v>2.1175440963531216</v>
      </c>
      <c r="H378" s="12">
        <f t="shared" si="609"/>
        <v>22.03070323435001</v>
      </c>
      <c r="I378" s="12">
        <f t="shared" si="610"/>
        <v>1.4577923097091046</v>
      </c>
      <c r="J378" s="12">
        <f t="shared" si="611"/>
        <v>23.747513933041489</v>
      </c>
      <c r="K378" s="13">
        <f t="shared" si="612"/>
        <v>2.3548282686192554E-2</v>
      </c>
      <c r="L378" s="13">
        <f t="shared" si="613"/>
        <v>79.406681986603147</v>
      </c>
      <c r="M378" s="13">
        <f t="shared" si="614"/>
        <v>1.3931211160217905E-3</v>
      </c>
      <c r="N378" s="13">
        <f t="shared" si="615"/>
        <v>1.4493883706809218E-2</v>
      </c>
      <c r="O378" s="13">
        <f t="shared" si="616"/>
        <v>83.525346752959877</v>
      </c>
      <c r="P378" s="13">
        <f t="shared" si="617"/>
        <v>1.5623364429632559E-2</v>
      </c>
      <c r="Q378" s="51">
        <v>696.63099999999997</v>
      </c>
      <c r="R378" s="51">
        <v>-193.87100000000001</v>
      </c>
      <c r="S378" s="51">
        <v>697.67399999999998</v>
      </c>
      <c r="T378" s="51">
        <v>-215.87700000000001</v>
      </c>
      <c r="U378" s="51">
        <v>670.45600000000002</v>
      </c>
      <c r="V378" s="51">
        <v>-195.029</v>
      </c>
      <c r="W378" s="51">
        <v>670.91899999999998</v>
      </c>
      <c r="X378" s="51">
        <v>-218.77199999999999</v>
      </c>
      <c r="Y378" s="51">
        <v>683.89800000000002</v>
      </c>
      <c r="Z378" s="51">
        <v>-205.43700000000001</v>
      </c>
      <c r="AA378" s="51">
        <v>683.94600000000003</v>
      </c>
      <c r="AB378" s="51">
        <v>-206.399</v>
      </c>
      <c r="AC378" s="51">
        <v>683.89800000000002</v>
      </c>
      <c r="AD378" s="51">
        <v>-204.28200000000001</v>
      </c>
      <c r="AG378" s="14" t="s">
        <v>226</v>
      </c>
      <c r="AH378" s="14" t="s">
        <v>226</v>
      </c>
      <c r="AI378" s="14" t="s">
        <v>223</v>
      </c>
      <c r="AJ378" s="55">
        <v>6.8025991603185698E-5</v>
      </c>
      <c r="AK378" s="55">
        <v>6.3250029432132695E-5</v>
      </c>
      <c r="AL378" s="55">
        <v>5.57832217364958E-5</v>
      </c>
      <c r="AM378" s="55">
        <v>6.3479581457756204E-5</v>
      </c>
      <c r="AN378" s="51">
        <v>0.90848886379764404</v>
      </c>
    </row>
    <row r="379" spans="1:40" x14ac:dyDescent="0.35">
      <c r="A379" s="51" t="s">
        <v>195</v>
      </c>
      <c r="B379" s="14">
        <v>1</v>
      </c>
      <c r="C379" s="51">
        <v>50</v>
      </c>
      <c r="D379" s="14">
        <v>1520</v>
      </c>
      <c r="E379" s="12">
        <f t="shared" si="606"/>
        <v>38.360227176073913</v>
      </c>
      <c r="F379" s="12">
        <f t="shared" si="607"/>
        <v>1.3209838072417104</v>
      </c>
      <c r="G379" s="12">
        <f t="shared" si="608"/>
        <v>1.8105844360316403</v>
      </c>
      <c r="H379" s="12">
        <f t="shared" si="609"/>
        <v>21.874276993765999</v>
      </c>
      <c r="I379" s="12">
        <f t="shared" si="610"/>
        <v>1.4202302092168646</v>
      </c>
      <c r="J379" s="12">
        <f t="shared" si="611"/>
        <v>24.954063757231989</v>
      </c>
      <c r="K379" s="13">
        <f t="shared" si="612"/>
        <v>2.523699156320652E-2</v>
      </c>
      <c r="L379" s="13">
        <f t="shared" si="613"/>
        <v>75.686796960073082</v>
      </c>
      <c r="M379" s="13">
        <f t="shared" si="614"/>
        <v>1.1911739710734476E-3</v>
      </c>
      <c r="N379" s="13">
        <f t="shared" si="615"/>
        <v>1.4390971706424999E-2</v>
      </c>
      <c r="O379" s="13">
        <f t="shared" si="616"/>
        <v>81.37319692510826</v>
      </c>
      <c r="P379" s="13">
        <f t="shared" si="617"/>
        <v>1.6417147208705254E-2</v>
      </c>
      <c r="Q379" s="51">
        <v>844.18</v>
      </c>
      <c r="R379" s="51">
        <v>-179.232</v>
      </c>
      <c r="S379" s="51">
        <v>844.81700000000001</v>
      </c>
      <c r="T379" s="51">
        <v>-201.09700000000001</v>
      </c>
      <c r="U379" s="51">
        <v>815.73500000000001</v>
      </c>
      <c r="V379" s="51">
        <v>-180.82400000000001</v>
      </c>
      <c r="W379" s="51">
        <v>816.47799999999995</v>
      </c>
      <c r="X379" s="51">
        <v>-205.767</v>
      </c>
      <c r="Y379" s="51">
        <v>830.47500000000002</v>
      </c>
      <c r="Z379" s="51">
        <v>-191.34200000000001</v>
      </c>
      <c r="AA379" s="51">
        <v>830.47500000000002</v>
      </c>
      <c r="AB379" s="51">
        <v>-192.22399999999999</v>
      </c>
      <c r="AC379" s="51">
        <v>830.42899999999997</v>
      </c>
      <c r="AD379" s="51">
        <v>-190.41399999999999</v>
      </c>
      <c r="AG379" s="14" t="s">
        <v>226</v>
      </c>
      <c r="AH379" s="14" t="s">
        <v>226</v>
      </c>
      <c r="AI379" s="14" t="s">
        <v>223</v>
      </c>
      <c r="AJ379" s="55">
        <v>7.7875031596260502E-5</v>
      </c>
      <c r="AK379" s="55">
        <v>6.6519627553670194E-5</v>
      </c>
      <c r="AL379" s="55">
        <v>6.4097212171052394E-5</v>
      </c>
      <c r="AM379" s="55">
        <v>6.8912111971953106E-5</v>
      </c>
      <c r="AN379" s="51">
        <v>0.92115127336459601</v>
      </c>
    </row>
    <row r="380" spans="1:40" x14ac:dyDescent="0.35">
      <c r="A380" s="51" t="s">
        <v>195</v>
      </c>
      <c r="B380" s="14">
        <v>1</v>
      </c>
      <c r="C380" s="51">
        <v>60</v>
      </c>
      <c r="D380" s="14">
        <v>1520</v>
      </c>
      <c r="E380" s="12">
        <f t="shared" si="606"/>
        <v>35.609059521419532</v>
      </c>
      <c r="F380" s="12">
        <f t="shared" si="607"/>
        <v>1.2962412598185051</v>
      </c>
      <c r="G380" s="12">
        <f t="shared" si="608"/>
        <v>2.0623319325462441</v>
      </c>
      <c r="H380" s="12">
        <f t="shared" si="609"/>
        <v>20.469628062082599</v>
      </c>
      <c r="I380" s="12">
        <f t="shared" si="610"/>
        <v>1.2515611643734346</v>
      </c>
      <c r="J380" s="12">
        <f t="shared" si="611"/>
        <v>20.795285667669983</v>
      </c>
      <c r="K380" s="13">
        <f t="shared" si="612"/>
        <v>2.3427012843039167E-2</v>
      </c>
      <c r="L380" s="13">
        <f t="shared" si="613"/>
        <v>74.269153418321125</v>
      </c>
      <c r="M380" s="13">
        <f t="shared" si="614"/>
        <v>1.3567973240435818E-3</v>
      </c>
      <c r="N380" s="13">
        <f t="shared" si="615"/>
        <v>1.3466860567159605E-2</v>
      </c>
      <c r="O380" s="13">
        <f t="shared" si="616"/>
        <v>71.709172521076894</v>
      </c>
      <c r="P380" s="13">
        <f t="shared" si="617"/>
        <v>1.3681108991888147E-2</v>
      </c>
      <c r="Q380" s="51">
        <v>987.72299999999996</v>
      </c>
      <c r="R380" s="51">
        <v>-166.703</v>
      </c>
      <c r="S380" s="51">
        <v>988.05100000000004</v>
      </c>
      <c r="T380" s="51">
        <v>-187.17</v>
      </c>
      <c r="U380" s="51">
        <v>960.14200000000005</v>
      </c>
      <c r="V380" s="51">
        <v>-168.56399999999999</v>
      </c>
      <c r="W380" s="51">
        <v>960.25099999999998</v>
      </c>
      <c r="X380" s="51">
        <v>-189.35900000000001</v>
      </c>
      <c r="Y380" s="51">
        <v>974.37300000000005</v>
      </c>
      <c r="Z380" s="51">
        <v>-176.803</v>
      </c>
      <c r="AA380" s="51">
        <v>974.41</v>
      </c>
      <c r="AB380" s="51">
        <v>-177.797</v>
      </c>
      <c r="AC380" s="51">
        <v>974.37300000000005</v>
      </c>
      <c r="AD380" s="51">
        <v>-175.73500000000001</v>
      </c>
      <c r="AG380" s="14" t="s">
        <v>226</v>
      </c>
      <c r="AH380" s="14" t="s">
        <v>226</v>
      </c>
      <c r="AI380" s="14" t="s">
        <v>223</v>
      </c>
      <c r="AJ380" s="55">
        <v>6.3849461997922603E-5</v>
      </c>
      <c r="AK380" s="55">
        <v>5.9848348770775403E-5</v>
      </c>
      <c r="AL380" s="55">
        <v>4.8534288867728497E-5</v>
      </c>
      <c r="AM380" s="55">
        <v>6.2852655167936505E-5</v>
      </c>
      <c r="AN380" s="51">
        <v>0.90047627636633698</v>
      </c>
    </row>
    <row r="381" spans="1:40" x14ac:dyDescent="0.35">
      <c r="A381" s="51" t="s">
        <v>195</v>
      </c>
      <c r="B381" s="14">
        <v>1</v>
      </c>
      <c r="C381" s="51">
        <v>70</v>
      </c>
      <c r="D381" s="14">
        <v>1520</v>
      </c>
      <c r="E381" s="12">
        <f t="shared" si="606"/>
        <v>32.23463509953239</v>
      </c>
      <c r="F381" s="12">
        <f t="shared" si="607"/>
        <v>1.2956411593108588</v>
      </c>
      <c r="G381" s="12">
        <f t="shared" si="608"/>
        <v>0.63984060515099039</v>
      </c>
      <c r="H381" s="12">
        <f t="shared" si="609"/>
        <v>18.844999999999999</v>
      </c>
      <c r="I381" s="12">
        <f t="shared" si="610"/>
        <v>1.2619671927517166</v>
      </c>
      <c r="J381" s="12">
        <f t="shared" si="611"/>
        <v>19.659960732412479</v>
      </c>
      <c r="K381" s="13">
        <f t="shared" si="612"/>
        <v>2.1206996776008152E-2</v>
      </c>
      <c r="L381" s="13">
        <f t="shared" si="613"/>
        <v>74.234770191949337</v>
      </c>
      <c r="M381" s="13">
        <f t="shared" si="614"/>
        <v>4.2094776654670422E-4</v>
      </c>
      <c r="N381" s="13">
        <f t="shared" si="615"/>
        <v>1.2398026315789472E-2</v>
      </c>
      <c r="O381" s="13">
        <f t="shared" si="616"/>
        <v>72.305394028645821</v>
      </c>
      <c r="P381" s="13">
        <f t="shared" si="617"/>
        <v>1.2934184692376631E-2</v>
      </c>
      <c r="Q381" s="51">
        <v>1155.18</v>
      </c>
      <c r="R381" s="51">
        <v>-161.41399999999999</v>
      </c>
      <c r="S381" s="51">
        <v>1155.18</v>
      </c>
      <c r="T381" s="51">
        <v>-180.25899999999999</v>
      </c>
      <c r="U381" s="51">
        <v>1128.78</v>
      </c>
      <c r="V381" s="51">
        <v>-161.63999999999999</v>
      </c>
      <c r="W381" s="51">
        <v>1129.79</v>
      </c>
      <c r="X381" s="51">
        <v>-181.274</v>
      </c>
      <c r="Y381" s="51">
        <v>1142.73</v>
      </c>
      <c r="Z381" s="51">
        <v>-170.971</v>
      </c>
      <c r="AA381" s="51">
        <v>1142.83</v>
      </c>
      <c r="AB381" s="51">
        <v>-171.327</v>
      </c>
      <c r="AC381" s="51">
        <v>1142.76</v>
      </c>
      <c r="AD381" s="51">
        <v>-170.691</v>
      </c>
      <c r="AG381" s="14" t="s">
        <v>226</v>
      </c>
      <c r="AH381" s="14" t="s">
        <v>226</v>
      </c>
      <c r="AI381" s="14" t="s">
        <v>223</v>
      </c>
      <c r="AJ381" s="55">
        <v>5.7234675813712197E-5</v>
      </c>
      <c r="AK381" s="55">
        <v>5.0774811720914299E-5</v>
      </c>
      <c r="AL381" s="55">
        <v>5.2394797437673403E-5</v>
      </c>
      <c r="AM381" s="55">
        <v>5.1791622662742601E-5</v>
      </c>
      <c r="AN381" s="51">
        <v>0.96460433688304603</v>
      </c>
    </row>
    <row r="382" spans="1:40" x14ac:dyDescent="0.35">
      <c r="A382" s="51" t="s">
        <v>195</v>
      </c>
      <c r="B382" s="14">
        <v>1</v>
      </c>
      <c r="C382" s="51">
        <v>80</v>
      </c>
      <c r="D382" s="14">
        <v>1520</v>
      </c>
      <c r="E382" s="12">
        <f t="shared" si="606"/>
        <v>29.8513887281647</v>
      </c>
      <c r="F382" s="12">
        <f t="shared" si="607"/>
        <v>1.2427803548004941</v>
      </c>
      <c r="G382" s="12">
        <f t="shared" si="608"/>
        <v>1.987402576228575</v>
      </c>
      <c r="H382" s="12">
        <f t="shared" si="609"/>
        <v>17.329945902973844</v>
      </c>
      <c r="I382" s="12">
        <f t="shared" si="610"/>
        <v>1.2499813666945052</v>
      </c>
      <c r="J382" s="12">
        <f t="shared" si="611"/>
        <v>18.201098867925548</v>
      </c>
      <c r="K382" s="13">
        <f t="shared" si="612"/>
        <v>1.9639071531687303E-2</v>
      </c>
      <c r="L382" s="13">
        <f t="shared" si="613"/>
        <v>71.206069191839333</v>
      </c>
      <c r="M382" s="13">
        <f t="shared" si="614"/>
        <v>1.3075016948872204E-3</v>
      </c>
      <c r="N382" s="13">
        <f t="shared" si="615"/>
        <v>1.1401280199324897E-2</v>
      </c>
      <c r="O382" s="13">
        <f t="shared" si="616"/>
        <v>71.618656781589678</v>
      </c>
      <c r="P382" s="13">
        <f t="shared" si="617"/>
        <v>1.1974407149951018E-2</v>
      </c>
      <c r="Q382" s="51">
        <v>1288.03</v>
      </c>
      <c r="R382" s="51">
        <v>-159.59700000000001</v>
      </c>
      <c r="S382" s="51">
        <v>1289.1300000000001</v>
      </c>
      <c r="T382" s="51">
        <v>-176.892</v>
      </c>
      <c r="U382" s="51">
        <v>1263.79</v>
      </c>
      <c r="V382" s="51">
        <v>-159.09399999999999</v>
      </c>
      <c r="W382" s="51">
        <v>1263.99</v>
      </c>
      <c r="X382" s="51">
        <v>-177.29400000000001</v>
      </c>
      <c r="Y382" s="51">
        <v>1276.5</v>
      </c>
      <c r="Z382" s="51">
        <v>-167.89400000000001</v>
      </c>
      <c r="AA382" s="51">
        <v>1276.47</v>
      </c>
      <c r="AB382" s="51">
        <v>-168.887</v>
      </c>
      <c r="AC382" s="51">
        <v>1276.43</v>
      </c>
      <c r="AD382" s="51">
        <v>-166.9</v>
      </c>
      <c r="AG382" s="14" t="s">
        <v>226</v>
      </c>
      <c r="AH382" s="14" t="s">
        <v>226</v>
      </c>
      <c r="AI382" s="14" t="s">
        <v>223</v>
      </c>
      <c r="AJ382" s="55">
        <v>4.96801419667591E-5</v>
      </c>
      <c r="AK382" s="55">
        <v>4.5130291291551403E-5</v>
      </c>
      <c r="AL382" s="55">
        <v>3.9573130193905802E-5</v>
      </c>
      <c r="AM382" s="55">
        <v>4.4653527527701E-5</v>
      </c>
      <c r="AN382" s="51">
        <v>0.88836908372870604</v>
      </c>
    </row>
    <row r="383" spans="1:40" x14ac:dyDescent="0.35">
      <c r="A383" s="51" t="s">
        <v>195</v>
      </c>
      <c r="B383" s="14">
        <v>1</v>
      </c>
      <c r="C383" s="51">
        <v>90</v>
      </c>
      <c r="D383" s="14">
        <v>1520</v>
      </c>
      <c r="E383" s="12">
        <f t="shared" si="606"/>
        <v>30.761634888282451</v>
      </c>
      <c r="F383" s="12">
        <f t="shared" si="607"/>
        <v>1.2173165823784018</v>
      </c>
      <c r="G383" s="12">
        <f t="shared" si="608"/>
        <v>0.97282269710365599</v>
      </c>
      <c r="H383" s="12">
        <f t="shared" si="609"/>
        <v>17.126961931410936</v>
      </c>
      <c r="I383" s="12">
        <f t="shared" si="610"/>
        <v>1.2096398700004367</v>
      </c>
      <c r="J383" s="12">
        <f t="shared" si="611"/>
        <v>17.837999999999994</v>
      </c>
      <c r="K383" s="13">
        <f t="shared" si="612"/>
        <v>2.0237917689659508E-2</v>
      </c>
      <c r="L383" s="13">
        <f t="shared" si="613"/>
        <v>69.747102501571817</v>
      </c>
      <c r="M383" s="13">
        <f t="shared" si="614"/>
        <v>6.4001493230503683E-4</v>
      </c>
      <c r="N383" s="13">
        <f t="shared" si="615"/>
        <v>1.1267738112770353E-2</v>
      </c>
      <c r="O383" s="13">
        <f t="shared" si="616"/>
        <v>69.307259281778585</v>
      </c>
      <c r="P383" s="13">
        <f t="shared" si="617"/>
        <v>1.1735526315789469E-2</v>
      </c>
      <c r="Q383" s="51">
        <v>1446.54</v>
      </c>
      <c r="R383" s="51">
        <v>-154.94300000000001</v>
      </c>
      <c r="S383" s="51">
        <v>1447.18</v>
      </c>
      <c r="T383" s="51">
        <v>-172.05799999999999</v>
      </c>
      <c r="U383" s="51">
        <v>1421.71</v>
      </c>
      <c r="V383" s="51">
        <v>-155.26400000000001</v>
      </c>
      <c r="W383" s="51">
        <v>1421.71</v>
      </c>
      <c r="X383" s="51">
        <v>-173.102</v>
      </c>
      <c r="Y383" s="51">
        <v>1434.61</v>
      </c>
      <c r="Z383" s="51">
        <v>-164.42099999999999</v>
      </c>
      <c r="AA383" s="51">
        <v>1434.65</v>
      </c>
      <c r="AB383" s="51">
        <v>-164.91800000000001</v>
      </c>
      <c r="AC383" s="51">
        <v>1434.61</v>
      </c>
      <c r="AD383" s="51">
        <v>-163.946</v>
      </c>
      <c r="AG383" s="14" t="s">
        <v>226</v>
      </c>
      <c r="AH383" s="14" t="s">
        <v>226</v>
      </c>
      <c r="AI383" s="14" t="s">
        <v>223</v>
      </c>
      <c r="AJ383" s="55">
        <v>4.9798779432132402E-5</v>
      </c>
      <c r="AK383" s="55">
        <v>4.5500318126731699E-5</v>
      </c>
      <c r="AL383" s="55">
        <v>4.7549117036010903E-5</v>
      </c>
      <c r="AM383" s="55">
        <v>4.2186876731301902E-5</v>
      </c>
      <c r="AN383" s="51">
        <v>0.94162480092620904</v>
      </c>
    </row>
    <row r="384" spans="1:40" x14ac:dyDescent="0.35">
      <c r="A384" s="51" t="s">
        <v>148</v>
      </c>
      <c r="B384" s="14">
        <v>1</v>
      </c>
      <c r="C384" s="51">
        <v>30</v>
      </c>
      <c r="D384" s="14">
        <v>1260</v>
      </c>
      <c r="E384" s="12">
        <f t="shared" ref="E384:E390" si="618">DIST2(Q384,R384,W384,X384)</f>
        <v>26.083000594256781</v>
      </c>
      <c r="F384" s="12">
        <f t="shared" ref="F384:F390" si="619">ACOS((DIST2(Y384,Z384,S384,T384)^2 + DIST2(Y384,Z384,Q384,R384)^2 - DIST2(Q384,R384,S384,T384)^2)/(2*DIST2(Y384,Z384,S384,T384) * DIST2(Y384,Z384,Q384,R384)))</f>
        <v>1.6364006985707493</v>
      </c>
      <c r="G384" s="12">
        <f t="shared" ref="G384:G390" si="620">DIST2(AA384,AB384,AC384,AD384)</f>
        <v>0.20946837470129379</v>
      </c>
      <c r="H384" s="12">
        <f t="shared" ref="H384:H390" si="621">DIST2(Q384,R384,S384,T384)</f>
        <v>18.270496681809181</v>
      </c>
      <c r="I384" s="12">
        <f t="shared" ref="I384:I390" si="622">ACOS((DIST2(Y384,Z384,W384,X384)^2 + DIST2(Y384,Z384,U384,V384)^2 - DIST2(U384,V384,W384,X384)^2)/(2*DIST2(Y384,Z384,W384,X384) * DIST2(Y384,Z384,U384,V384)))</f>
        <v>1.555925954360964</v>
      </c>
      <c r="J384" s="12">
        <f t="shared" ref="J384:J390" si="623">DIST2(U384,V384,W384,X384)</f>
        <v>18.689744407027071</v>
      </c>
      <c r="K384" s="13">
        <f t="shared" ref="K384:K390" si="624">E384/D384</f>
        <v>2.0700794122426015E-2</v>
      </c>
      <c r="L384" s="13">
        <f t="shared" ref="L384:L390" si="625">F384*180/PI()</f>
        <v>93.758853620363539</v>
      </c>
      <c r="M384" s="13">
        <f t="shared" ref="M384:M390" si="626">G384/D384</f>
        <v>1.6624474182642363E-4</v>
      </c>
      <c r="N384" s="13">
        <f t="shared" ref="N384:N390" si="627">H384/D384</f>
        <v>1.4500394191912049E-2</v>
      </c>
      <c r="O384" s="13">
        <f t="shared" ref="O384:O390" si="628">I384*180/PI()</f>
        <v>89.147990419747998</v>
      </c>
      <c r="P384" s="13">
        <f t="shared" ref="P384:P390" si="629">J384/D384</f>
        <v>1.4833130481767516E-2</v>
      </c>
      <c r="Q384" s="51">
        <v>430.81299999999999</v>
      </c>
      <c r="R384" s="51">
        <v>-199.19499999999999</v>
      </c>
      <c r="S384" s="51">
        <v>426.54500000000002</v>
      </c>
      <c r="T384" s="51">
        <v>-216.96</v>
      </c>
      <c r="U384" s="51">
        <v>413.39400000000001</v>
      </c>
      <c r="V384" s="51">
        <v>-195.042</v>
      </c>
      <c r="W384" s="51">
        <v>408.779</v>
      </c>
      <c r="X384" s="51">
        <v>-213.15299999999999</v>
      </c>
      <c r="Y384" s="51">
        <v>420.30099999999999</v>
      </c>
      <c r="Z384" s="51">
        <v>-206.346</v>
      </c>
      <c r="AA384" s="51">
        <v>420.315</v>
      </c>
      <c r="AB384" s="51">
        <v>-206.44300000000001</v>
      </c>
      <c r="AC384" s="51">
        <v>420.32900000000001</v>
      </c>
      <c r="AD384" s="51">
        <v>-206.23400000000001</v>
      </c>
      <c r="AG384" s="14" t="s">
        <v>223</v>
      </c>
      <c r="AH384" s="14" t="s">
        <v>223</v>
      </c>
      <c r="AI384" s="14" t="s">
        <v>223</v>
      </c>
      <c r="AJ384" s="55">
        <v>5.5826605253212299E-5</v>
      </c>
      <c r="AK384" s="55">
        <v>4.9201691861930097E-5</v>
      </c>
      <c r="AL384" s="55">
        <v>5.2328166099773202E-5</v>
      </c>
      <c r="AM384" s="55">
        <v>5.1375476190476199E-5</v>
      </c>
      <c r="AN384" s="51">
        <v>0.98738763874805302</v>
      </c>
    </row>
    <row r="385" spans="1:40" x14ac:dyDescent="0.35">
      <c r="A385" s="51" t="s">
        <v>148</v>
      </c>
      <c r="B385" s="14">
        <v>1</v>
      </c>
      <c r="C385" s="51">
        <v>40</v>
      </c>
      <c r="D385" s="14">
        <v>1260</v>
      </c>
      <c r="E385" s="12">
        <f t="shared" si="618"/>
        <v>25.936650072821685</v>
      </c>
      <c r="F385" s="12">
        <f t="shared" si="619"/>
        <v>1.4849717441655124</v>
      </c>
      <c r="G385" s="12">
        <f t="shared" si="620"/>
        <v>0.18700000000001182</v>
      </c>
      <c r="H385" s="12">
        <f t="shared" si="621"/>
        <v>16.954914361328989</v>
      </c>
      <c r="I385" s="12">
        <f t="shared" si="622"/>
        <v>1.4208609220571262</v>
      </c>
      <c r="J385" s="12">
        <f t="shared" si="623"/>
        <v>17.725575308011877</v>
      </c>
      <c r="K385" s="13">
        <f t="shared" si="624"/>
        <v>2.0584642914937844E-2</v>
      </c>
      <c r="L385" s="13">
        <f t="shared" si="625"/>
        <v>85.08261363686448</v>
      </c>
      <c r="M385" s="13">
        <f t="shared" si="626"/>
        <v>1.484126984127078E-4</v>
      </c>
      <c r="N385" s="13">
        <f t="shared" si="627"/>
        <v>1.345628123914999E-2</v>
      </c>
      <c r="O385" s="13">
        <f t="shared" si="628"/>
        <v>81.409334108939944</v>
      </c>
      <c r="P385" s="13">
        <f t="shared" si="629"/>
        <v>1.4067916911120536E-2</v>
      </c>
      <c r="Q385" s="51">
        <v>560.66200000000003</v>
      </c>
      <c r="R385" s="51">
        <v>-214.23099999999999</v>
      </c>
      <c r="S385" s="51">
        <v>561.37300000000005</v>
      </c>
      <c r="T385" s="51">
        <v>-231.17099999999999</v>
      </c>
      <c r="U385" s="51">
        <v>541.30200000000002</v>
      </c>
      <c r="V385" s="51">
        <v>-214.16</v>
      </c>
      <c r="W385" s="51">
        <v>541.65800000000002</v>
      </c>
      <c r="X385" s="51">
        <v>-231.88200000000001</v>
      </c>
      <c r="Y385" s="51">
        <v>551.78099999999995</v>
      </c>
      <c r="Z385" s="51">
        <v>-222.86199999999999</v>
      </c>
      <c r="AA385" s="51">
        <v>551.78099999999995</v>
      </c>
      <c r="AB385" s="51">
        <v>-222.971</v>
      </c>
      <c r="AC385" s="51">
        <v>551.78099999999995</v>
      </c>
      <c r="AD385" s="51">
        <v>-222.78399999999999</v>
      </c>
      <c r="AG385" s="14" t="s">
        <v>223</v>
      </c>
      <c r="AH385" s="14" t="s">
        <v>223</v>
      </c>
      <c r="AI385" s="14" t="s">
        <v>223</v>
      </c>
      <c r="AJ385" s="55">
        <v>5.7511629503653E-5</v>
      </c>
      <c r="AK385" s="55">
        <v>4.9313675044092199E-5</v>
      </c>
      <c r="AL385" s="55">
        <v>5.2348397266314003E-5</v>
      </c>
      <c r="AM385" s="55">
        <v>5.3062141597379798E-5</v>
      </c>
      <c r="AN385" s="51">
        <v>0.98675626818906803</v>
      </c>
    </row>
    <row r="386" spans="1:40" x14ac:dyDescent="0.35">
      <c r="A386" s="51" t="s">
        <v>148</v>
      </c>
      <c r="B386" s="14">
        <v>1</v>
      </c>
      <c r="C386" s="51">
        <v>50</v>
      </c>
      <c r="D386" s="14">
        <v>1260</v>
      </c>
      <c r="E386" s="12">
        <f t="shared" si="618"/>
        <v>26.403212266692112</v>
      </c>
      <c r="F386" s="12">
        <f t="shared" si="619"/>
        <v>1.3798523391959003</v>
      </c>
      <c r="G386" s="12">
        <f t="shared" si="620"/>
        <v>0.63903834000786308</v>
      </c>
      <c r="H386" s="12">
        <f t="shared" si="621"/>
        <v>16.467524191571712</v>
      </c>
      <c r="I386" s="12">
        <f t="shared" si="622"/>
        <v>1.3683785329955069</v>
      </c>
      <c r="J386" s="12">
        <f t="shared" si="623"/>
        <v>17.054489848717246</v>
      </c>
      <c r="K386" s="13">
        <f t="shared" si="624"/>
        <v>2.0954930370390566E-2</v>
      </c>
      <c r="L386" s="13">
        <f t="shared" si="625"/>
        <v>79.059715387179196</v>
      </c>
      <c r="M386" s="13">
        <f t="shared" si="626"/>
        <v>5.0717328572052621E-4</v>
      </c>
      <c r="N386" s="13">
        <f t="shared" si="627"/>
        <v>1.3069463644104534E-2</v>
      </c>
      <c r="O386" s="13">
        <f t="shared" si="628"/>
        <v>78.402314716945611</v>
      </c>
      <c r="P386" s="13">
        <f t="shared" si="629"/>
        <v>1.3535309403743846E-2</v>
      </c>
      <c r="Q386" s="51">
        <v>684.36900000000003</v>
      </c>
      <c r="R386" s="51">
        <v>-190.88</v>
      </c>
      <c r="S386" s="51">
        <v>689.101</v>
      </c>
      <c r="T386" s="51">
        <v>-206.65299999999999</v>
      </c>
      <c r="U386" s="51">
        <v>664.69799999999998</v>
      </c>
      <c r="V386" s="51">
        <v>-196.447</v>
      </c>
      <c r="W386" s="51">
        <v>669.61599999999999</v>
      </c>
      <c r="X386" s="51">
        <v>-212.77699999999999</v>
      </c>
      <c r="Y386" s="51">
        <v>677.15200000000004</v>
      </c>
      <c r="Z386" s="51">
        <v>-201.54499999999999</v>
      </c>
      <c r="AA386" s="51">
        <v>677.17700000000002</v>
      </c>
      <c r="AB386" s="51">
        <v>-201.8</v>
      </c>
      <c r="AC386" s="51">
        <v>677.12599999999998</v>
      </c>
      <c r="AD386" s="51">
        <v>-201.16300000000001</v>
      </c>
      <c r="AG386" s="14" t="s">
        <v>223</v>
      </c>
      <c r="AH386" s="14" t="s">
        <v>223</v>
      </c>
      <c r="AI386" s="14" t="s">
        <v>223</v>
      </c>
      <c r="AJ386" s="55">
        <v>5.6154527588813598E-5</v>
      </c>
      <c r="AK386" s="55">
        <v>5.1744936067019197E-5</v>
      </c>
      <c r="AL386" s="55">
        <v>5.1006271101033203E-5</v>
      </c>
      <c r="AM386" s="55">
        <v>5.27788110985133E-5</v>
      </c>
      <c r="AN386" s="51">
        <v>0.96186837898091904</v>
      </c>
    </row>
    <row r="387" spans="1:40" x14ac:dyDescent="0.35">
      <c r="A387" s="51" t="s">
        <v>148</v>
      </c>
      <c r="B387" s="14">
        <v>1</v>
      </c>
      <c r="C387" s="51">
        <v>60</v>
      </c>
      <c r="D387" s="14">
        <v>1260</v>
      </c>
      <c r="E387" s="12">
        <f t="shared" si="618"/>
        <v>25.04661669766994</v>
      </c>
      <c r="F387" s="12">
        <f t="shared" si="619"/>
        <v>1.2254695909510063</v>
      </c>
      <c r="G387" s="12">
        <f t="shared" si="620"/>
        <v>0.66298717936323237</v>
      </c>
      <c r="H387" s="12">
        <f t="shared" si="621"/>
        <v>14.052521837734346</v>
      </c>
      <c r="I387" s="12">
        <f t="shared" si="622"/>
        <v>1.256458183838939</v>
      </c>
      <c r="J387" s="12">
        <f t="shared" si="623"/>
        <v>15.238155826739675</v>
      </c>
      <c r="K387" s="13">
        <f t="shared" si="624"/>
        <v>1.9878267220372968E-2</v>
      </c>
      <c r="L387" s="13">
        <f t="shared" si="625"/>
        <v>70.214235483116042</v>
      </c>
      <c r="M387" s="13">
        <f t="shared" si="626"/>
        <v>5.2618030108193044E-4</v>
      </c>
      <c r="N387" s="13">
        <f t="shared" si="627"/>
        <v>1.1152795109312974E-2</v>
      </c>
      <c r="O387" s="13">
        <f t="shared" si="628"/>
        <v>71.989751068643699</v>
      </c>
      <c r="P387" s="13">
        <f t="shared" si="629"/>
        <v>1.2093774465666408E-2</v>
      </c>
      <c r="Q387" s="51">
        <v>803.68799999999999</v>
      </c>
      <c r="R387" s="51">
        <v>-145.71799999999999</v>
      </c>
      <c r="S387" s="51">
        <v>809.36900000000003</v>
      </c>
      <c r="T387" s="51">
        <v>-158.571</v>
      </c>
      <c r="U387" s="51">
        <v>784.68799999999999</v>
      </c>
      <c r="V387" s="51">
        <v>-152.983</v>
      </c>
      <c r="W387" s="51">
        <v>790.55600000000004</v>
      </c>
      <c r="X387" s="51">
        <v>-167.04599999999999</v>
      </c>
      <c r="Y387" s="51">
        <v>797.25</v>
      </c>
      <c r="Z387" s="51">
        <v>-155.85400000000001</v>
      </c>
      <c r="AA387" s="51">
        <v>797.351</v>
      </c>
      <c r="AB387" s="51">
        <v>-156.20599999999999</v>
      </c>
      <c r="AC387" s="51">
        <v>797.12699999999995</v>
      </c>
      <c r="AD387" s="51">
        <v>-155.58199999999999</v>
      </c>
      <c r="AG387" s="14" t="s">
        <v>223</v>
      </c>
      <c r="AH387" s="14" t="s">
        <v>223</v>
      </c>
      <c r="AI387" s="14" t="s">
        <v>223</v>
      </c>
      <c r="AJ387" s="55">
        <v>5.0331436759889102E-5</v>
      </c>
      <c r="AK387" s="55">
        <v>4.41957136558328E-5</v>
      </c>
      <c r="AL387" s="55">
        <v>4.40130810657595E-5</v>
      </c>
      <c r="AM387" s="55">
        <v>4.6090102985638803E-5</v>
      </c>
      <c r="AN387" s="51">
        <v>0.95319898732938202</v>
      </c>
    </row>
    <row r="388" spans="1:40" x14ac:dyDescent="0.35">
      <c r="A388" s="51" t="s">
        <v>148</v>
      </c>
      <c r="B388" s="14">
        <v>1</v>
      </c>
      <c r="C388" s="51">
        <v>70</v>
      </c>
      <c r="D388" s="14">
        <v>1260</v>
      </c>
      <c r="E388" s="12">
        <f t="shared" si="618"/>
        <v>22.663669765507944</v>
      </c>
      <c r="F388" s="12">
        <f t="shared" si="619"/>
        <v>1.0855946731207449</v>
      </c>
      <c r="G388" s="12">
        <f t="shared" si="620"/>
        <v>0.3440000000000083</v>
      </c>
      <c r="H388" s="12">
        <f t="shared" si="621"/>
        <v>11.47055664909078</v>
      </c>
      <c r="I388" s="12">
        <f t="shared" si="622"/>
        <v>1.1317705699021237</v>
      </c>
      <c r="J388" s="12">
        <f t="shared" si="623"/>
        <v>12.518936576243213</v>
      </c>
      <c r="K388" s="13">
        <f t="shared" si="624"/>
        <v>1.7987039496434876E-2</v>
      </c>
      <c r="L388" s="13">
        <f t="shared" si="625"/>
        <v>62.199993031702874</v>
      </c>
      <c r="M388" s="13">
        <f t="shared" si="626"/>
        <v>2.7301587301587963E-4</v>
      </c>
      <c r="N388" s="13">
        <f t="shared" si="627"/>
        <v>9.1036163881672849E-3</v>
      </c>
      <c r="O388" s="13">
        <f t="shared" si="628"/>
        <v>64.845677032507609</v>
      </c>
      <c r="P388" s="13">
        <f t="shared" si="629"/>
        <v>9.9356639493993759E-3</v>
      </c>
      <c r="Q388" s="51">
        <v>939.43</v>
      </c>
      <c r="R388" s="51">
        <v>-96.436199999999999</v>
      </c>
      <c r="S388" s="51">
        <v>942.55100000000004</v>
      </c>
      <c r="T388" s="51">
        <v>-107.474</v>
      </c>
      <c r="U388" s="51">
        <v>920.4</v>
      </c>
      <c r="V388" s="51">
        <v>-101.765</v>
      </c>
      <c r="W388" s="51">
        <v>924.58699999999999</v>
      </c>
      <c r="X388" s="51">
        <v>-113.563</v>
      </c>
      <c r="Y388" s="51">
        <v>931.85900000000004</v>
      </c>
      <c r="Z388" s="51">
        <v>-104.602</v>
      </c>
      <c r="AA388" s="51">
        <v>931.88400000000001</v>
      </c>
      <c r="AB388" s="51">
        <v>-104.7</v>
      </c>
      <c r="AC388" s="51">
        <v>931.88400000000001</v>
      </c>
      <c r="AD388" s="51">
        <v>-104.35599999999999</v>
      </c>
      <c r="AG388" s="14" t="s">
        <v>223</v>
      </c>
      <c r="AH388" s="14" t="s">
        <v>223</v>
      </c>
      <c r="AI388" s="14" t="s">
        <v>223</v>
      </c>
      <c r="AJ388" s="55">
        <v>3.8836849017384899E-5</v>
      </c>
      <c r="AK388" s="55">
        <v>3.4345126480221699E-5</v>
      </c>
      <c r="AL388" s="55">
        <v>3.4801798059964699E-5</v>
      </c>
      <c r="AM388" s="55">
        <v>3.6150005983875102E-5</v>
      </c>
      <c r="AN388" s="51">
        <v>0.96952567297339898</v>
      </c>
    </row>
    <row r="389" spans="1:40" x14ac:dyDescent="0.35">
      <c r="A389" s="51" t="s">
        <v>148</v>
      </c>
      <c r="B389" s="14">
        <v>1</v>
      </c>
      <c r="C389" s="51">
        <v>80</v>
      </c>
      <c r="D389" s="14">
        <v>1260</v>
      </c>
      <c r="E389" s="12">
        <f t="shared" si="618"/>
        <v>20.198680076678162</v>
      </c>
      <c r="F389" s="12">
        <f t="shared" si="619"/>
        <v>1.0635487035875584</v>
      </c>
      <c r="G389" s="12">
        <f t="shared" si="620"/>
        <v>0.2664198941521026</v>
      </c>
      <c r="H389" s="12">
        <f t="shared" si="621"/>
        <v>9.2214779726462464</v>
      </c>
      <c r="I389" s="12">
        <f t="shared" si="622"/>
        <v>0.96567278717842742</v>
      </c>
      <c r="J389" s="12">
        <f t="shared" si="623"/>
        <v>9.9939667720080045</v>
      </c>
      <c r="K389" s="13">
        <f t="shared" si="624"/>
        <v>1.6030698473554098E-2</v>
      </c>
      <c r="L389" s="13">
        <f t="shared" si="625"/>
        <v>60.936852022177284</v>
      </c>
      <c r="M389" s="13">
        <f t="shared" si="626"/>
        <v>2.1144436043817668E-4</v>
      </c>
      <c r="N389" s="13">
        <f t="shared" si="627"/>
        <v>7.318633311624005E-3</v>
      </c>
      <c r="O389" s="13">
        <f t="shared" si="628"/>
        <v>55.328975095958846</v>
      </c>
      <c r="P389" s="13">
        <f t="shared" si="629"/>
        <v>7.9317196603238133E-3</v>
      </c>
      <c r="Q389" s="51">
        <v>1068.58</v>
      </c>
      <c r="R389" s="51">
        <v>-75.668599999999998</v>
      </c>
      <c r="S389" s="51">
        <v>1069.5899999999999</v>
      </c>
      <c r="T389" s="51">
        <v>-84.834599999999995</v>
      </c>
      <c r="U389" s="51">
        <v>1051.4100000000001</v>
      </c>
      <c r="V389" s="51">
        <v>-77.843599999999995</v>
      </c>
      <c r="W389" s="51">
        <v>1052.42</v>
      </c>
      <c r="X389" s="51">
        <v>-87.7864</v>
      </c>
      <c r="Y389" s="51">
        <v>1061.3499999999999</v>
      </c>
      <c r="Z389" s="51">
        <v>-81.486000000000004</v>
      </c>
      <c r="AA389" s="51">
        <v>1061.4100000000001</v>
      </c>
      <c r="AB389" s="51">
        <v>-81.607600000000005</v>
      </c>
      <c r="AC389" s="51">
        <v>1061.3699999999999</v>
      </c>
      <c r="AD389" s="51">
        <v>-81.344200000000001</v>
      </c>
      <c r="AG389" s="14" t="s">
        <v>223</v>
      </c>
      <c r="AH389" s="14" t="s">
        <v>223</v>
      </c>
      <c r="AI389" s="14" t="s">
        <v>223</v>
      </c>
      <c r="AJ389" s="55">
        <v>2.9967437641722801E-5</v>
      </c>
      <c r="AK389" s="55">
        <v>2.2721640841521801E-5</v>
      </c>
      <c r="AL389" s="55">
        <v>2.5752173721340099E-5</v>
      </c>
      <c r="AM389" s="55">
        <v>2.5054583648273799E-5</v>
      </c>
      <c r="AN389" s="51">
        <v>0.96427492816695703</v>
      </c>
    </row>
    <row r="390" spans="1:40" x14ac:dyDescent="0.35">
      <c r="A390" s="51" t="s">
        <v>148</v>
      </c>
      <c r="B390" s="14">
        <v>1</v>
      </c>
      <c r="C390" s="51">
        <v>90</v>
      </c>
      <c r="D390" s="14">
        <v>1260</v>
      </c>
      <c r="E390" s="12">
        <f t="shared" si="618"/>
        <v>16.158859534014198</v>
      </c>
      <c r="F390" s="12">
        <f t="shared" si="619"/>
        <v>0.80078221732347143</v>
      </c>
      <c r="G390" s="12">
        <f t="shared" si="620"/>
        <v>0.35915513361220236</v>
      </c>
      <c r="H390" s="12">
        <f t="shared" si="621"/>
        <v>5.9019517525984426</v>
      </c>
      <c r="I390" s="12">
        <f t="shared" si="622"/>
        <v>0.93708476242504801</v>
      </c>
      <c r="J390" s="12">
        <f t="shared" si="623"/>
        <v>7.6956041582191386</v>
      </c>
      <c r="K390" s="13">
        <f t="shared" si="624"/>
        <v>1.2824491693662062E-2</v>
      </c>
      <c r="L390" s="13">
        <f t="shared" si="625"/>
        <v>45.881441361762789</v>
      </c>
      <c r="M390" s="13">
        <f t="shared" si="626"/>
        <v>2.8504375683508122E-4</v>
      </c>
      <c r="N390" s="13">
        <f t="shared" si="627"/>
        <v>4.6840886925384462E-3</v>
      </c>
      <c r="O390" s="13">
        <f t="shared" si="628"/>
        <v>53.691001932974679</v>
      </c>
      <c r="P390" s="13">
        <f t="shared" si="629"/>
        <v>6.1076223477929672E-3</v>
      </c>
      <c r="Q390" s="51">
        <v>1193.49</v>
      </c>
      <c r="R390" s="51">
        <v>-45.808</v>
      </c>
      <c r="S390" s="51">
        <v>1195.06</v>
      </c>
      <c r="T390" s="51">
        <v>-51.497300000000003</v>
      </c>
      <c r="U390" s="51">
        <v>1179.23</v>
      </c>
      <c r="V390" s="51">
        <v>-49.372399999999999</v>
      </c>
      <c r="W390" s="51">
        <v>1181.56</v>
      </c>
      <c r="X390" s="51">
        <v>-56.706800000000001</v>
      </c>
      <c r="Y390" s="51">
        <v>1187.7</v>
      </c>
      <c r="Z390" s="51">
        <v>-50.9405</v>
      </c>
      <c r="AA390" s="51">
        <v>1187.68</v>
      </c>
      <c r="AB390" s="51">
        <v>-51.119399999999999</v>
      </c>
      <c r="AC390" s="51">
        <v>1187.6500000000001</v>
      </c>
      <c r="AD390" s="51">
        <v>-50.761499999999998</v>
      </c>
      <c r="AG390" s="14" t="s">
        <v>223</v>
      </c>
      <c r="AH390" s="14" t="s">
        <v>223</v>
      </c>
      <c r="AI390" s="14" t="s">
        <v>223</v>
      </c>
      <c r="AJ390" s="55">
        <v>1.84141770597129E-5</v>
      </c>
      <c r="AK390" s="55">
        <v>1.29122801713276E-5</v>
      </c>
      <c r="AL390" s="55">
        <v>1.5690606575963802E-5</v>
      </c>
      <c r="AM390" s="55">
        <v>1.37149659863944E-5</v>
      </c>
      <c r="AN390" s="51">
        <v>0.93868171384605303</v>
      </c>
    </row>
    <row r="391" spans="1:40" x14ac:dyDescent="0.35">
      <c r="A391" s="53" t="s">
        <v>228</v>
      </c>
      <c r="B391" s="53">
        <v>1</v>
      </c>
      <c r="C391" s="53">
        <v>30</v>
      </c>
      <c r="D391" s="53">
        <v>670</v>
      </c>
      <c r="E391" s="53">
        <v>17.55</v>
      </c>
      <c r="F391" s="53">
        <v>1.49</v>
      </c>
      <c r="G391" s="53">
        <v>0</v>
      </c>
      <c r="H391" s="53">
        <v>11.42</v>
      </c>
      <c r="I391" s="53">
        <v>1.47</v>
      </c>
      <c r="J391" s="53">
        <v>12.98</v>
      </c>
      <c r="K391" s="53">
        <v>2.6200000000000001E-2</v>
      </c>
      <c r="L391" s="53">
        <v>85.267600000000002</v>
      </c>
      <c r="M391" s="53">
        <v>0</v>
      </c>
      <c r="N391" s="53">
        <v>1.7100000000000001E-2</v>
      </c>
      <c r="O391" s="53">
        <v>84.067499999999995</v>
      </c>
      <c r="P391" s="53">
        <v>1.9400000000000001E-2</v>
      </c>
      <c r="Q391" s="53">
        <v>247.273</v>
      </c>
      <c r="R391" s="53">
        <v>-135.227</v>
      </c>
      <c r="S391" s="53">
        <v>247.65299999999999</v>
      </c>
      <c r="T391" s="53">
        <v>-146.64500000000001</v>
      </c>
      <c r="U391" s="53">
        <v>233.571</v>
      </c>
      <c r="V391" s="53">
        <v>-134.38900000000001</v>
      </c>
      <c r="W391" s="53">
        <v>234.56</v>
      </c>
      <c r="X391" s="53">
        <v>-147.33000000000001</v>
      </c>
      <c r="Y391" s="53">
        <v>241.25899999999999</v>
      </c>
      <c r="Z391" s="53">
        <v>-141.012</v>
      </c>
      <c r="AA391" s="53">
        <v>241.25899999999999</v>
      </c>
      <c r="AB391" s="53">
        <v>-141.012</v>
      </c>
      <c r="AC391" s="53">
        <v>241.25899999999999</v>
      </c>
      <c r="AD391" s="53">
        <v>-141.012</v>
      </c>
      <c r="AG391" s="14" t="s">
        <v>226</v>
      </c>
      <c r="AH391" s="14" t="s">
        <v>226</v>
      </c>
      <c r="AI391" s="14" t="s">
        <v>222</v>
      </c>
      <c r="AJ391" s="51">
        <v>1.03520005569169E-4</v>
      </c>
      <c r="AK391" s="55">
        <v>7.8933116507017302E-5</v>
      </c>
      <c r="AL391" s="55">
        <v>9.3902653152149604E-5</v>
      </c>
      <c r="AM391" s="55">
        <v>8.7026909111160704E-5</v>
      </c>
      <c r="AN391" s="51">
        <v>0.991649582119841</v>
      </c>
    </row>
    <row r="392" spans="1:40" x14ac:dyDescent="0.35">
      <c r="A392" s="53" t="s">
        <v>228</v>
      </c>
      <c r="B392" s="53">
        <v>1</v>
      </c>
      <c r="C392" s="53">
        <v>40</v>
      </c>
      <c r="D392" s="53">
        <v>670</v>
      </c>
      <c r="E392" s="53">
        <v>13.44</v>
      </c>
      <c r="F392" s="53">
        <v>1.45</v>
      </c>
      <c r="G392" s="53">
        <v>0.41</v>
      </c>
      <c r="H392" s="53">
        <v>9.3699999999999992</v>
      </c>
      <c r="I392" s="53">
        <v>1.6</v>
      </c>
      <c r="J392" s="53">
        <v>9.7100000000000009</v>
      </c>
      <c r="K392" s="53">
        <v>2.01E-2</v>
      </c>
      <c r="L392" s="53">
        <v>82.927700000000002</v>
      </c>
      <c r="M392" s="53">
        <v>5.9999999999999995E-4</v>
      </c>
      <c r="N392" s="53">
        <v>1.4E-2</v>
      </c>
      <c r="O392" s="53">
        <v>91.806700000000006</v>
      </c>
      <c r="P392" s="53">
        <v>1.4500000000000001E-2</v>
      </c>
      <c r="Q392" s="53">
        <v>318.79500000000002</v>
      </c>
      <c r="R392" s="53">
        <v>-132.46299999999999</v>
      </c>
      <c r="S392" s="53">
        <v>319.85500000000002</v>
      </c>
      <c r="T392" s="53">
        <v>-141.774</v>
      </c>
      <c r="U392" s="53">
        <v>309.02999999999997</v>
      </c>
      <c r="V392" s="53">
        <v>-132.614</v>
      </c>
      <c r="W392" s="53">
        <v>309.63499999999999</v>
      </c>
      <c r="X392" s="53">
        <v>-142.303</v>
      </c>
      <c r="Y392" s="53">
        <v>314.02600000000001</v>
      </c>
      <c r="Z392" s="53">
        <v>-137.15600000000001</v>
      </c>
      <c r="AA392" s="53">
        <v>314.01600000000002</v>
      </c>
      <c r="AB392" s="53">
        <v>-137.357</v>
      </c>
      <c r="AC392" s="53">
        <v>314.02499999999998</v>
      </c>
      <c r="AD392" s="53">
        <v>-136.946</v>
      </c>
      <c r="AG392" s="14" t="s">
        <v>226</v>
      </c>
      <c r="AH392" s="14" t="s">
        <v>226</v>
      </c>
      <c r="AI392" s="14" t="s">
        <v>222</v>
      </c>
      <c r="AJ392" s="55">
        <v>5.0855796391178698E-5</v>
      </c>
      <c r="AK392" s="55">
        <v>5.4999709289374101E-5</v>
      </c>
      <c r="AL392" s="55">
        <v>4.7957479394074603E-5</v>
      </c>
      <c r="AM392" s="55">
        <v>5.3720840944531202E-5</v>
      </c>
      <c r="AN392" s="51">
        <v>0.96053879942198905</v>
      </c>
    </row>
    <row r="393" spans="1:40" x14ac:dyDescent="0.35">
      <c r="A393" s="53" t="s">
        <v>228</v>
      </c>
      <c r="B393" s="53">
        <v>1</v>
      </c>
      <c r="C393" s="53">
        <v>50</v>
      </c>
      <c r="D393" s="53">
        <v>670</v>
      </c>
      <c r="E393" s="53">
        <v>13.36</v>
      </c>
      <c r="F393" s="53">
        <v>1.48</v>
      </c>
      <c r="G393" s="53">
        <v>0.57999999999999996</v>
      </c>
      <c r="H393" s="53">
        <v>9.18</v>
      </c>
      <c r="I393" s="53">
        <v>1.64</v>
      </c>
      <c r="J393" s="53">
        <v>9.8699999999999992</v>
      </c>
      <c r="K393" s="53">
        <v>1.9900000000000001E-2</v>
      </c>
      <c r="L393" s="53">
        <v>84.818899999999999</v>
      </c>
      <c r="M393" s="53">
        <v>8.9999999999999998E-4</v>
      </c>
      <c r="N393" s="53">
        <v>1.37E-2</v>
      </c>
      <c r="O393" s="53">
        <v>93.938100000000006</v>
      </c>
      <c r="P393" s="53">
        <v>1.47E-2</v>
      </c>
      <c r="Q393" s="53">
        <v>386.61500000000001</v>
      </c>
      <c r="R393" s="53">
        <v>-128.04599999999999</v>
      </c>
      <c r="S393" s="53">
        <v>387.38799999999998</v>
      </c>
      <c r="T393" s="53">
        <v>-137.19399999999999</v>
      </c>
      <c r="U393" s="53">
        <v>376.81700000000001</v>
      </c>
      <c r="V393" s="53">
        <v>-128.453</v>
      </c>
      <c r="W393" s="53">
        <v>377.99599999999998</v>
      </c>
      <c r="X393" s="53">
        <v>-138.251</v>
      </c>
      <c r="Y393" s="53">
        <v>381.98</v>
      </c>
      <c r="Z393" s="53">
        <v>-132.803</v>
      </c>
      <c r="AA393" s="53">
        <v>382.02100000000002</v>
      </c>
      <c r="AB393" s="53">
        <v>-133.08799999999999</v>
      </c>
      <c r="AC393" s="53">
        <v>381.94</v>
      </c>
      <c r="AD393" s="53">
        <v>-132.518</v>
      </c>
      <c r="AG393" s="14" t="s">
        <v>226</v>
      </c>
      <c r="AH393" s="14" t="s">
        <v>226</v>
      </c>
      <c r="AI393" s="14" t="s">
        <v>222</v>
      </c>
      <c r="AJ393" s="55">
        <v>5.0633129873023199E-5</v>
      </c>
      <c r="AK393" s="55">
        <v>5.1323391623969402E-5</v>
      </c>
      <c r="AL393" s="55">
        <v>4.6685153709066597E-5</v>
      </c>
      <c r="AM393" s="55">
        <v>4.9272077300066798E-5</v>
      </c>
      <c r="AN393" s="51">
        <v>0.94115834475545401</v>
      </c>
    </row>
    <row r="394" spans="1:40" x14ac:dyDescent="0.35">
      <c r="A394" s="53" t="s">
        <v>228</v>
      </c>
      <c r="B394" s="53">
        <v>1</v>
      </c>
      <c r="C394" s="53">
        <v>60</v>
      </c>
      <c r="D394" s="53">
        <v>670</v>
      </c>
      <c r="E394" s="53">
        <v>16.010000000000002</v>
      </c>
      <c r="F394" s="53">
        <v>1.32</v>
      </c>
      <c r="G394" s="53">
        <v>0.56999999999999995</v>
      </c>
      <c r="H394" s="53">
        <v>10.69</v>
      </c>
      <c r="I394" s="53">
        <v>1.62</v>
      </c>
      <c r="J394" s="53">
        <v>10.69</v>
      </c>
      <c r="K394" s="53">
        <v>2.3900000000000001E-2</v>
      </c>
      <c r="L394" s="53">
        <v>75.775199999999998</v>
      </c>
      <c r="M394" s="53">
        <v>8.0000000000000004E-4</v>
      </c>
      <c r="N394" s="53">
        <v>1.6E-2</v>
      </c>
      <c r="O394" s="53">
        <v>93.012500000000003</v>
      </c>
      <c r="P394" s="53">
        <v>1.6E-2</v>
      </c>
      <c r="Q394" s="53">
        <v>444.964</v>
      </c>
      <c r="R394" s="53">
        <v>-120.348</v>
      </c>
      <c r="S394" s="53">
        <v>446.15</v>
      </c>
      <c r="T394" s="53">
        <v>-130.977</v>
      </c>
      <c r="U394" s="53">
        <v>433.108</v>
      </c>
      <c r="V394" s="53">
        <v>-121.61499999999999</v>
      </c>
      <c r="W394" s="53">
        <v>434.25299999999999</v>
      </c>
      <c r="X394" s="53">
        <v>-132.245</v>
      </c>
      <c r="Y394" s="53">
        <v>438.726</v>
      </c>
      <c r="Z394" s="53">
        <v>-126.414</v>
      </c>
      <c r="AA394" s="53">
        <v>439.83100000000002</v>
      </c>
      <c r="AB394" s="53">
        <v>-126.408</v>
      </c>
      <c r="AC394" s="53">
        <v>439.72399999999999</v>
      </c>
      <c r="AD394" s="53">
        <v>-125.85299999999999</v>
      </c>
      <c r="AG394" s="14" t="s">
        <v>226</v>
      </c>
      <c r="AH394" s="14" t="s">
        <v>226</v>
      </c>
      <c r="AI394" s="14" t="s">
        <v>222</v>
      </c>
      <c r="AJ394" s="55">
        <v>6.0397065047894898E-5</v>
      </c>
      <c r="AK394" s="55">
        <v>8.1864533303630993E-5</v>
      </c>
      <c r="AL394" s="55">
        <v>6.5302071730897703E-5</v>
      </c>
      <c r="AM394" s="55">
        <v>6.9469687012697594E-5</v>
      </c>
      <c r="AN394" s="51">
        <v>0.94735164166071495</v>
      </c>
    </row>
    <row r="395" spans="1:40" x14ac:dyDescent="0.35">
      <c r="A395" s="53" t="s">
        <v>228</v>
      </c>
      <c r="B395" s="53">
        <v>1</v>
      </c>
      <c r="C395" s="53">
        <v>70</v>
      </c>
      <c r="D395" s="53">
        <v>670</v>
      </c>
      <c r="E395" s="53">
        <v>15.77</v>
      </c>
      <c r="F395" s="53">
        <v>1.46</v>
      </c>
      <c r="G395" s="53">
        <v>0.72</v>
      </c>
      <c r="H395" s="53">
        <v>10.58</v>
      </c>
      <c r="I395" s="53">
        <v>1.47</v>
      </c>
      <c r="J395" s="53">
        <v>10.62</v>
      </c>
      <c r="K395" s="53">
        <v>2.35E-2</v>
      </c>
      <c r="L395" s="53">
        <v>83.495800000000003</v>
      </c>
      <c r="M395" s="53">
        <v>1.1000000000000001E-3</v>
      </c>
      <c r="N395" s="53">
        <v>1.5800000000000002E-2</v>
      </c>
      <c r="O395" s="53">
        <v>84.499300000000005</v>
      </c>
      <c r="P395" s="53">
        <v>1.5900000000000001E-2</v>
      </c>
      <c r="Q395" s="53">
        <v>517.79200000000003</v>
      </c>
      <c r="R395" s="53">
        <v>-112.383</v>
      </c>
      <c r="S395" s="53">
        <v>518.99</v>
      </c>
      <c r="T395" s="53">
        <v>-122.892</v>
      </c>
      <c r="U395" s="53">
        <v>506.084</v>
      </c>
      <c r="V395" s="53">
        <v>-113.581</v>
      </c>
      <c r="W395" s="53">
        <v>507.28300000000002</v>
      </c>
      <c r="X395" s="53">
        <v>-124.137</v>
      </c>
      <c r="Y395" s="53">
        <v>512.51099999999997</v>
      </c>
      <c r="Z395" s="53">
        <v>-118.372</v>
      </c>
      <c r="AA395" s="53">
        <v>512.54200000000003</v>
      </c>
      <c r="AB395" s="53">
        <v>-118.8</v>
      </c>
      <c r="AC395" s="53">
        <v>512.51099999999997</v>
      </c>
      <c r="AD395" s="53">
        <v>-118.08199999999999</v>
      </c>
      <c r="AG395" s="14" t="s">
        <v>226</v>
      </c>
      <c r="AH395" s="14" t="s">
        <v>226</v>
      </c>
      <c r="AI395" s="14" t="s">
        <v>222</v>
      </c>
      <c r="AJ395" s="55">
        <v>6.9167969480952898E-5</v>
      </c>
      <c r="AK395" s="55">
        <v>6.9807140788594898E-5</v>
      </c>
      <c r="AL395" s="55">
        <v>6.7272503898418396E-5</v>
      </c>
      <c r="AM395" s="55">
        <v>6.2299848518600998E-5</v>
      </c>
      <c r="AN395" s="51">
        <v>0.93234214504819202</v>
      </c>
    </row>
    <row r="396" spans="1:40" x14ac:dyDescent="0.35">
      <c r="A396" s="53" t="s">
        <v>228</v>
      </c>
      <c r="B396" s="53">
        <v>1</v>
      </c>
      <c r="C396" s="53">
        <v>80</v>
      </c>
      <c r="D396" s="53">
        <v>670</v>
      </c>
      <c r="E396" s="53">
        <v>15.29</v>
      </c>
      <c r="F396" s="53">
        <v>1.52</v>
      </c>
      <c r="G396" s="53">
        <v>1.2</v>
      </c>
      <c r="H396" s="53">
        <v>10.050000000000001</v>
      </c>
      <c r="I396" s="53">
        <v>1.49</v>
      </c>
      <c r="J396" s="53">
        <v>10.57</v>
      </c>
      <c r="K396" s="53">
        <v>2.2800000000000001E-2</v>
      </c>
      <c r="L396" s="53">
        <v>86.892399999999995</v>
      </c>
      <c r="M396" s="53">
        <v>1.8E-3</v>
      </c>
      <c r="N396" s="53">
        <v>1.4999999999999999E-2</v>
      </c>
      <c r="O396" s="53">
        <v>85.623400000000004</v>
      </c>
      <c r="P396" s="53">
        <v>1.5800000000000002E-2</v>
      </c>
      <c r="Q396" s="53">
        <v>580.39200000000005</v>
      </c>
      <c r="R396" s="53">
        <v>-105.90300000000001</v>
      </c>
      <c r="S396" s="53">
        <v>581.42100000000005</v>
      </c>
      <c r="T396" s="53">
        <v>-115.904</v>
      </c>
      <c r="U396" s="53">
        <v>569.40300000000002</v>
      </c>
      <c r="V396" s="53">
        <v>-107.179</v>
      </c>
      <c r="W396" s="53">
        <v>570.63699999999994</v>
      </c>
      <c r="X396" s="53">
        <v>-117.67400000000001</v>
      </c>
      <c r="Y396" s="53">
        <v>575.61699999999996</v>
      </c>
      <c r="Z396" s="53">
        <v>-111.336</v>
      </c>
      <c r="AA396" s="53">
        <v>575.61699999999996</v>
      </c>
      <c r="AB396" s="53">
        <v>-112.035</v>
      </c>
      <c r="AC396" s="53">
        <v>575.70000000000005</v>
      </c>
      <c r="AD396" s="53">
        <v>-110.842</v>
      </c>
      <c r="AG396" s="14" t="s">
        <v>226</v>
      </c>
      <c r="AH396" s="14" t="s">
        <v>226</v>
      </c>
      <c r="AI396" s="14" t="s">
        <v>222</v>
      </c>
      <c r="AJ396" s="55">
        <v>6.6926032523947093E-5</v>
      </c>
      <c r="AK396" s="55">
        <v>5.9417834707062601E-5</v>
      </c>
      <c r="AL396" s="55">
        <v>5.3784449766094999E-5</v>
      </c>
      <c r="AM396" s="55">
        <v>5.7915321897973497E-5</v>
      </c>
      <c r="AN396" s="51">
        <v>0.88409334075419999</v>
      </c>
    </row>
    <row r="397" spans="1:40" x14ac:dyDescent="0.35">
      <c r="A397" s="53" t="s">
        <v>228</v>
      </c>
      <c r="B397" s="53">
        <v>1</v>
      </c>
      <c r="C397" s="53">
        <v>90</v>
      </c>
      <c r="D397" s="53">
        <v>670</v>
      </c>
      <c r="E397" s="53">
        <v>15.31</v>
      </c>
      <c r="F397" s="53">
        <v>1.5</v>
      </c>
      <c r="G397" s="53">
        <v>0.5</v>
      </c>
      <c r="H397" s="53">
        <v>10.220000000000001</v>
      </c>
      <c r="I397" s="53">
        <v>1.41</v>
      </c>
      <c r="J397" s="53">
        <v>10.18</v>
      </c>
      <c r="K397" s="53">
        <v>2.2800000000000001E-2</v>
      </c>
      <c r="L397" s="53">
        <v>85.741500000000002</v>
      </c>
      <c r="M397" s="53">
        <v>8.0000000000000004E-4</v>
      </c>
      <c r="N397" s="53">
        <v>1.5299999999999999E-2</v>
      </c>
      <c r="O397" s="53">
        <v>80.851299999999995</v>
      </c>
      <c r="P397" s="53">
        <v>1.52E-2</v>
      </c>
      <c r="Q397" s="53">
        <v>644.74800000000005</v>
      </c>
      <c r="R397" s="53">
        <v>-98.953000000000003</v>
      </c>
      <c r="S397" s="53">
        <v>645.88099999999997</v>
      </c>
      <c r="T397" s="53">
        <v>-109.11199999999999</v>
      </c>
      <c r="U397" s="53">
        <v>633.32899999999995</v>
      </c>
      <c r="V397" s="53">
        <v>-100.17100000000001</v>
      </c>
      <c r="W397" s="53">
        <v>634.46299999999997</v>
      </c>
      <c r="X397" s="53">
        <v>-110.288</v>
      </c>
      <c r="Y397" s="53">
        <v>639.83600000000001</v>
      </c>
      <c r="Z397" s="53">
        <v>-104.57899999999999</v>
      </c>
      <c r="AA397" s="53">
        <v>639.83600000000001</v>
      </c>
      <c r="AB397" s="53">
        <v>-104.83</v>
      </c>
      <c r="AC397" s="53">
        <v>639.83600000000001</v>
      </c>
      <c r="AD397" s="53">
        <v>-104.327</v>
      </c>
      <c r="AG397" s="14" t="s">
        <v>226</v>
      </c>
      <c r="AH397" s="14" t="s">
        <v>226</v>
      </c>
      <c r="AI397" s="14" t="s">
        <v>222</v>
      </c>
      <c r="AJ397" s="55">
        <v>6.7757459345066306E-5</v>
      </c>
      <c r="AK397" s="55">
        <v>6.2681294274893995E-5</v>
      </c>
      <c r="AL397" s="55">
        <v>6.1687335709512605E-5</v>
      </c>
      <c r="AM397" s="55">
        <v>6.2375580307418097E-5</v>
      </c>
      <c r="AN397" s="51">
        <v>0.95112006649798297</v>
      </c>
    </row>
    <row r="398" spans="1:40" x14ac:dyDescent="0.35">
      <c r="A398" s="53" t="s">
        <v>229</v>
      </c>
      <c r="B398" s="53">
        <v>1</v>
      </c>
      <c r="C398" s="53">
        <v>30</v>
      </c>
      <c r="D398" s="53">
        <v>1257</v>
      </c>
      <c r="E398" s="53">
        <v>33.17</v>
      </c>
      <c r="F398" s="53">
        <v>1.06</v>
      </c>
      <c r="G398" s="53">
        <v>0</v>
      </c>
      <c r="H398" s="53">
        <v>17.260000000000002</v>
      </c>
      <c r="I398" s="53">
        <v>1.34</v>
      </c>
      <c r="J398" s="53">
        <v>21.34</v>
      </c>
      <c r="K398" s="53">
        <v>2.64E-2</v>
      </c>
      <c r="L398" s="53">
        <v>60.701999999999998</v>
      </c>
      <c r="M398" s="53">
        <v>0</v>
      </c>
      <c r="N398" s="53">
        <v>1.37E-2</v>
      </c>
      <c r="O398" s="53">
        <v>76.587400000000002</v>
      </c>
      <c r="P398" s="53">
        <v>1.7000000000000001E-2</v>
      </c>
      <c r="Q398" s="53">
        <v>505.34699999999998</v>
      </c>
      <c r="R398" s="53">
        <v>203.869</v>
      </c>
      <c r="S398" s="53">
        <v>504.04700000000003</v>
      </c>
      <c r="T398" s="53">
        <v>186.655</v>
      </c>
      <c r="U398" s="53">
        <v>477.95499999999998</v>
      </c>
      <c r="V398" s="53">
        <v>210.25700000000001</v>
      </c>
      <c r="W398" s="53">
        <v>475.68099999999998</v>
      </c>
      <c r="X398" s="53">
        <v>189.03700000000001</v>
      </c>
      <c r="Y398" s="53">
        <v>490.18900000000002</v>
      </c>
      <c r="Z398" s="53">
        <v>197.69800000000001</v>
      </c>
      <c r="AA398" s="53">
        <v>490.18900000000002</v>
      </c>
      <c r="AB398" s="53">
        <v>197.69800000000001</v>
      </c>
      <c r="AC398" s="53">
        <v>490.18900000000002</v>
      </c>
      <c r="AD398" s="53">
        <v>197.69800000000001</v>
      </c>
      <c r="AG398" s="14" t="s">
        <v>222</v>
      </c>
      <c r="AH398" s="14" t="s">
        <v>222</v>
      </c>
      <c r="AI398" s="14" t="s">
        <v>222</v>
      </c>
      <c r="AJ398" s="55">
        <v>9.1188515672615498E-5</v>
      </c>
      <c r="AK398" s="55">
        <v>8.0031540793987899E-5</v>
      </c>
      <c r="AL398" s="55">
        <v>8.4131990843321804E-5</v>
      </c>
      <c r="AM398" s="55">
        <v>8.8679522597084201E-5</v>
      </c>
      <c r="AN398" s="51">
        <v>1.00929480463121</v>
      </c>
    </row>
    <row r="399" spans="1:40" x14ac:dyDescent="0.35">
      <c r="A399" s="53" t="s">
        <v>229</v>
      </c>
      <c r="B399" s="53">
        <v>1</v>
      </c>
      <c r="C399" s="53">
        <v>40</v>
      </c>
      <c r="D399" s="53">
        <v>1257</v>
      </c>
      <c r="E399" s="53">
        <v>35.799999999999997</v>
      </c>
      <c r="F399" s="53">
        <v>1.1499999999999999</v>
      </c>
      <c r="G399" s="53">
        <v>0</v>
      </c>
      <c r="H399" s="53">
        <v>19.39</v>
      </c>
      <c r="I399" s="53">
        <v>1.17</v>
      </c>
      <c r="J399" s="53">
        <v>21.13</v>
      </c>
      <c r="K399" s="53">
        <v>2.8500000000000001E-2</v>
      </c>
      <c r="L399" s="53">
        <v>66.092100000000002</v>
      </c>
      <c r="M399" s="53">
        <v>0</v>
      </c>
      <c r="N399" s="53">
        <v>1.54E-2</v>
      </c>
      <c r="O399" s="53">
        <v>67.061800000000005</v>
      </c>
      <c r="P399" s="53">
        <v>1.6799999999999999E-2</v>
      </c>
      <c r="Q399" s="53">
        <v>617.46799999999996</v>
      </c>
      <c r="R399" s="53">
        <v>188.12899999999999</v>
      </c>
      <c r="S399" s="53">
        <v>614.93899999999996</v>
      </c>
      <c r="T399" s="53">
        <v>168.90899999999999</v>
      </c>
      <c r="U399" s="53">
        <v>586.11</v>
      </c>
      <c r="V399" s="53">
        <v>193.43899999999999</v>
      </c>
      <c r="W399" s="53">
        <v>585.351</v>
      </c>
      <c r="X399" s="53">
        <v>172.32300000000001</v>
      </c>
      <c r="Y399" s="53">
        <v>601.41</v>
      </c>
      <c r="Z399" s="53">
        <v>180.28899999999999</v>
      </c>
      <c r="AA399" s="53">
        <v>601.41</v>
      </c>
      <c r="AB399" s="53">
        <v>180.28899999999999</v>
      </c>
      <c r="AC399" s="53">
        <v>601.41</v>
      </c>
      <c r="AD399" s="53">
        <v>180.28899999999999</v>
      </c>
      <c r="AG399" s="14" t="s">
        <v>222</v>
      </c>
      <c r="AH399" s="14" t="s">
        <v>222</v>
      </c>
      <c r="AI399" s="14" t="s">
        <v>222</v>
      </c>
      <c r="AJ399" s="51">
        <v>1.05394089044074E-4</v>
      </c>
      <c r="AK399" s="55">
        <v>9.1391912529294905E-5</v>
      </c>
      <c r="AL399" s="51">
        <v>1.0477988340867899E-4</v>
      </c>
      <c r="AM399" s="55">
        <v>9.1934944422609403E-5</v>
      </c>
      <c r="AN399" s="51">
        <v>0.99963831908006096</v>
      </c>
    </row>
    <row r="400" spans="1:40" x14ac:dyDescent="0.35">
      <c r="A400" s="53" t="s">
        <v>229</v>
      </c>
      <c r="B400" s="53">
        <v>1</v>
      </c>
      <c r="C400" s="53">
        <v>50</v>
      </c>
      <c r="D400" s="53">
        <v>1257</v>
      </c>
      <c r="E400" s="53">
        <v>32.33</v>
      </c>
      <c r="F400" s="53">
        <v>1.1100000000000001</v>
      </c>
      <c r="G400" s="53">
        <v>0.21</v>
      </c>
      <c r="H400" s="53">
        <v>17.079999999999998</v>
      </c>
      <c r="I400" s="53">
        <v>1.0900000000000001</v>
      </c>
      <c r="J400" s="53">
        <v>17.149999999999999</v>
      </c>
      <c r="K400" s="53">
        <v>2.5700000000000001E-2</v>
      </c>
      <c r="L400" s="53">
        <v>63.406399999999998</v>
      </c>
      <c r="M400" s="53">
        <v>2.0000000000000001E-4</v>
      </c>
      <c r="N400" s="53">
        <v>1.3599999999999999E-2</v>
      </c>
      <c r="O400" s="53">
        <v>62.234000000000002</v>
      </c>
      <c r="P400" s="53">
        <v>1.3599999999999999E-2</v>
      </c>
      <c r="Q400" s="53">
        <v>757.27599999999995</v>
      </c>
      <c r="R400" s="53">
        <v>169.46100000000001</v>
      </c>
      <c r="S400" s="53">
        <v>755.43399999999997</v>
      </c>
      <c r="T400" s="53">
        <v>152.47900000000001</v>
      </c>
      <c r="U400" s="53">
        <v>729.34699999999998</v>
      </c>
      <c r="V400" s="53">
        <v>173.24700000000001</v>
      </c>
      <c r="W400" s="53">
        <v>727.81299999999999</v>
      </c>
      <c r="X400" s="53">
        <v>156.16200000000001</v>
      </c>
      <c r="Y400" s="53">
        <v>742.68299999999999</v>
      </c>
      <c r="Z400" s="53">
        <v>163.00200000000001</v>
      </c>
      <c r="AA400" s="53">
        <v>742.68299999999999</v>
      </c>
      <c r="AB400" s="53">
        <v>162.89500000000001</v>
      </c>
      <c r="AC400" s="53">
        <v>742.71</v>
      </c>
      <c r="AD400" s="53">
        <v>163.108</v>
      </c>
      <c r="AG400" s="14" t="s">
        <v>222</v>
      </c>
      <c r="AH400" s="14" t="s">
        <v>222</v>
      </c>
      <c r="AI400" s="14" t="s">
        <v>222</v>
      </c>
      <c r="AJ400" s="55">
        <v>7.7073998970918098E-5</v>
      </c>
      <c r="AK400" s="55">
        <v>7.4656180915908094E-5</v>
      </c>
      <c r="AL400" s="55">
        <v>7.3598924147289004E-5</v>
      </c>
      <c r="AM400" s="55">
        <v>7.6180676358771106E-5</v>
      </c>
      <c r="AN400" s="51">
        <v>0.98714442056141405</v>
      </c>
    </row>
    <row r="401" spans="1:40" x14ac:dyDescent="0.35">
      <c r="A401" s="53" t="s">
        <v>229</v>
      </c>
      <c r="B401" s="53">
        <v>1</v>
      </c>
      <c r="C401" s="53">
        <v>60</v>
      </c>
      <c r="D401" s="53">
        <v>1257</v>
      </c>
      <c r="E401" s="53">
        <v>30.89</v>
      </c>
      <c r="F401" s="53">
        <v>1.18</v>
      </c>
      <c r="G401" s="53">
        <v>0.18</v>
      </c>
      <c r="H401" s="53">
        <v>17.48</v>
      </c>
      <c r="I401" s="53">
        <v>1.26</v>
      </c>
      <c r="J401" s="53">
        <v>17.77</v>
      </c>
      <c r="K401" s="53">
        <v>2.46E-2</v>
      </c>
      <c r="L401" s="53">
        <v>67.3536</v>
      </c>
      <c r="M401" s="53">
        <v>1E-4</v>
      </c>
      <c r="N401" s="53">
        <v>1.3899999999999999E-2</v>
      </c>
      <c r="O401" s="53">
        <v>72.433800000000005</v>
      </c>
      <c r="P401" s="53">
        <v>1.41E-2</v>
      </c>
      <c r="Q401" s="53">
        <v>864.63</v>
      </c>
      <c r="R401" s="53">
        <v>158.00800000000001</v>
      </c>
      <c r="S401" s="53">
        <v>862.30799999999999</v>
      </c>
      <c r="T401" s="53">
        <v>140.68299999999999</v>
      </c>
      <c r="U401" s="53">
        <v>839.26800000000003</v>
      </c>
      <c r="V401" s="53">
        <v>160.95500000000001</v>
      </c>
      <c r="W401" s="53">
        <v>837.48099999999999</v>
      </c>
      <c r="X401" s="53">
        <v>143.27199999999999</v>
      </c>
      <c r="Y401" s="53">
        <v>850.45799999999997</v>
      </c>
      <c r="Z401" s="53">
        <v>151.005</v>
      </c>
      <c r="AA401" s="53">
        <v>850.47900000000004</v>
      </c>
      <c r="AB401" s="53">
        <v>150.923</v>
      </c>
      <c r="AC401" s="53">
        <v>850.47900000000004</v>
      </c>
      <c r="AD401" s="53">
        <v>151.10599999999999</v>
      </c>
      <c r="AG401" s="14" t="s">
        <v>222</v>
      </c>
      <c r="AH401" s="14" t="s">
        <v>222</v>
      </c>
      <c r="AI401" s="14" t="s">
        <v>222</v>
      </c>
      <c r="AJ401" s="55">
        <v>6.8242636778985798E-5</v>
      </c>
      <c r="AK401" s="55">
        <v>7.2551210120699002E-5</v>
      </c>
      <c r="AL401" s="55">
        <v>6.8590126318867305E-5</v>
      </c>
      <c r="AM401" s="55">
        <v>7.0758311609323606E-5</v>
      </c>
      <c r="AN401" s="51">
        <v>0.98973386264157104</v>
      </c>
    </row>
    <row r="402" spans="1:40" x14ac:dyDescent="0.35">
      <c r="A402" s="53" t="s">
        <v>229</v>
      </c>
      <c r="B402" s="53">
        <v>1</v>
      </c>
      <c r="C402" s="53">
        <v>70</v>
      </c>
      <c r="D402" s="53">
        <v>1257</v>
      </c>
      <c r="E402" s="53">
        <v>31.1</v>
      </c>
      <c r="F402" s="53">
        <v>1.23</v>
      </c>
      <c r="G402" s="53">
        <v>0.21</v>
      </c>
      <c r="H402" s="53">
        <v>18.09</v>
      </c>
      <c r="I402" s="53">
        <v>1.27</v>
      </c>
      <c r="J402" s="53">
        <v>18.03</v>
      </c>
      <c r="K402" s="53">
        <v>2.47E-2</v>
      </c>
      <c r="L402" s="53">
        <v>70.588899999999995</v>
      </c>
      <c r="M402" s="53">
        <v>2.0000000000000001E-4</v>
      </c>
      <c r="N402" s="53">
        <v>1.44E-2</v>
      </c>
      <c r="O402" s="53">
        <v>72.496399999999994</v>
      </c>
      <c r="P402" s="53">
        <v>1.43E-2</v>
      </c>
      <c r="Q402" s="53">
        <v>993.26</v>
      </c>
      <c r="R402" s="53">
        <v>143.072</v>
      </c>
      <c r="S402" s="53">
        <v>991.18200000000002</v>
      </c>
      <c r="T402" s="53">
        <v>125.09699999999999</v>
      </c>
      <c r="U402" s="53">
        <v>968.42</v>
      </c>
      <c r="V402" s="53">
        <v>145.691</v>
      </c>
      <c r="W402" s="53">
        <v>966.16099999999994</v>
      </c>
      <c r="X402" s="53">
        <v>127.807</v>
      </c>
      <c r="Y402" s="53">
        <v>979.505</v>
      </c>
      <c r="Z402" s="53">
        <v>135.364</v>
      </c>
      <c r="AA402" s="53">
        <v>979.505</v>
      </c>
      <c r="AB402" s="53">
        <v>135.25800000000001</v>
      </c>
      <c r="AC402" s="53">
        <v>979.52599999999995</v>
      </c>
      <c r="AD402" s="53">
        <v>135.46899999999999</v>
      </c>
      <c r="AG402" s="14" t="s">
        <v>222</v>
      </c>
      <c r="AH402" s="14" t="s">
        <v>222</v>
      </c>
      <c r="AI402" s="14" t="s">
        <v>222</v>
      </c>
      <c r="AJ402" s="55">
        <v>7.0115810648910495E-5</v>
      </c>
      <c r="AK402" s="55">
        <v>7.3171433607438794E-5</v>
      </c>
      <c r="AL402" s="55">
        <v>7.1145852438753696E-5</v>
      </c>
      <c r="AM402" s="55">
        <v>7.0438863288417307E-5</v>
      </c>
      <c r="AN402" s="51">
        <v>0.98811807332875701</v>
      </c>
    </row>
    <row r="403" spans="1:40" x14ac:dyDescent="0.35">
      <c r="A403" s="53" t="s">
        <v>229</v>
      </c>
      <c r="B403" s="53">
        <v>1</v>
      </c>
      <c r="C403" s="53">
        <v>80</v>
      </c>
      <c r="D403" s="53">
        <v>1257</v>
      </c>
      <c r="E403" s="53">
        <v>28.96</v>
      </c>
      <c r="F403" s="53">
        <v>1.29</v>
      </c>
      <c r="G403" s="53">
        <v>0.34</v>
      </c>
      <c r="H403" s="53">
        <v>17.39</v>
      </c>
      <c r="I403" s="53">
        <v>1.37</v>
      </c>
      <c r="J403" s="53">
        <v>18.36</v>
      </c>
      <c r="K403" s="53">
        <v>2.3E-2</v>
      </c>
      <c r="L403" s="53">
        <v>74.081800000000001</v>
      </c>
      <c r="M403" s="53">
        <v>2.9999999999999997E-4</v>
      </c>
      <c r="N403" s="53">
        <v>1.38E-2</v>
      </c>
      <c r="O403" s="53">
        <v>78.231700000000004</v>
      </c>
      <c r="P403" s="53">
        <v>1.46E-2</v>
      </c>
      <c r="Q403" s="53">
        <v>1114.047</v>
      </c>
      <c r="R403" s="53">
        <v>130.256</v>
      </c>
      <c r="S403" s="53">
        <v>1112.684</v>
      </c>
      <c r="T403" s="53">
        <v>112.916</v>
      </c>
      <c r="U403" s="53">
        <v>1091.1790000000001</v>
      </c>
      <c r="V403" s="53">
        <v>132.37700000000001</v>
      </c>
      <c r="W403" s="53">
        <v>1090.0429999999999</v>
      </c>
      <c r="X403" s="53">
        <v>114.051</v>
      </c>
      <c r="Y403" s="53">
        <v>1101.8810000000001</v>
      </c>
      <c r="Z403" s="53">
        <v>122.53700000000001</v>
      </c>
      <c r="AA403" s="53">
        <v>1101.8810000000001</v>
      </c>
      <c r="AB403" s="53">
        <v>122.371</v>
      </c>
      <c r="AC403" s="53">
        <v>1101.9469999999999</v>
      </c>
      <c r="AD403" s="53">
        <v>122.702</v>
      </c>
      <c r="AG403" s="14" t="s">
        <v>222</v>
      </c>
      <c r="AH403" s="14" t="s">
        <v>222</v>
      </c>
      <c r="AI403" s="14" t="s">
        <v>222</v>
      </c>
      <c r="AJ403" s="55">
        <v>6.5600209866909802E-5</v>
      </c>
      <c r="AK403" s="55">
        <v>6.3427603511029902E-5</v>
      </c>
      <c r="AL403" s="55">
        <v>6.2785702215564196E-5</v>
      </c>
      <c r="AM403" s="55">
        <v>6.3861706187593202E-5</v>
      </c>
      <c r="AN403" s="51">
        <v>0.981551225953044</v>
      </c>
    </row>
    <row r="404" spans="1:40" x14ac:dyDescent="0.35">
      <c r="A404" s="53" t="s">
        <v>229</v>
      </c>
      <c r="B404" s="53">
        <v>1</v>
      </c>
      <c r="C404" s="53">
        <v>90</v>
      </c>
      <c r="D404" s="53">
        <v>1257</v>
      </c>
      <c r="E404" s="53">
        <v>31.42</v>
      </c>
      <c r="F404" s="53">
        <v>1.47</v>
      </c>
      <c r="G404" s="53">
        <v>0</v>
      </c>
      <c r="H404" s="53">
        <v>20.309999999999999</v>
      </c>
      <c r="I404" s="53">
        <v>1.43</v>
      </c>
      <c r="J404" s="53">
        <v>21.21</v>
      </c>
      <c r="K404" s="53">
        <v>2.5000000000000001E-2</v>
      </c>
      <c r="L404" s="53">
        <v>84.262299999999996</v>
      </c>
      <c r="M404" s="53">
        <v>0</v>
      </c>
      <c r="N404" s="53">
        <v>1.6199999999999999E-2</v>
      </c>
      <c r="O404" s="53">
        <v>82.179500000000004</v>
      </c>
      <c r="P404" s="53">
        <v>1.6899999999999998E-2</v>
      </c>
      <c r="Q404" s="53">
        <v>1254.9960000000001</v>
      </c>
      <c r="R404" s="53">
        <v>119.289</v>
      </c>
      <c r="S404" s="53">
        <v>1253.4179999999999</v>
      </c>
      <c r="T404" s="53">
        <v>99.037999999999997</v>
      </c>
      <c r="U404" s="53">
        <v>1231.8530000000001</v>
      </c>
      <c r="V404" s="53">
        <v>121.48</v>
      </c>
      <c r="W404" s="53">
        <v>1229.924</v>
      </c>
      <c r="X404" s="53">
        <v>100.35299999999999</v>
      </c>
      <c r="Y404" s="53">
        <v>1243.0340000000001</v>
      </c>
      <c r="Z404" s="53">
        <v>110.26900000000001</v>
      </c>
      <c r="AA404" s="53">
        <v>1243.0340000000001</v>
      </c>
      <c r="AB404" s="53">
        <v>110.26900000000001</v>
      </c>
      <c r="AC404" s="53">
        <v>1243.0340000000001</v>
      </c>
      <c r="AD404" s="53">
        <v>110.26900000000001</v>
      </c>
      <c r="AG404" s="14" t="s">
        <v>222</v>
      </c>
      <c r="AH404" s="14" t="s">
        <v>222</v>
      </c>
      <c r="AI404" s="14" t="s">
        <v>222</v>
      </c>
      <c r="AJ404" s="55">
        <v>8.1594623331302405E-5</v>
      </c>
      <c r="AK404" s="55">
        <v>7.2152478182638E-5</v>
      </c>
      <c r="AL404" s="55">
        <v>7.4351682131376998E-5</v>
      </c>
      <c r="AM404" s="55">
        <v>7.9176707178068399E-5</v>
      </c>
      <c r="AN404" s="51">
        <v>0.99857745477904103</v>
      </c>
    </row>
    <row r="405" spans="1:40" x14ac:dyDescent="0.35">
      <c r="A405" s="53" t="s">
        <v>230</v>
      </c>
      <c r="B405" s="53">
        <v>1</v>
      </c>
      <c r="C405" s="53">
        <v>30</v>
      </c>
      <c r="D405" s="53">
        <v>1486</v>
      </c>
      <c r="E405" s="53">
        <v>38.42</v>
      </c>
      <c r="F405" s="53">
        <v>1.27</v>
      </c>
      <c r="G405" s="53">
        <v>2.56</v>
      </c>
      <c r="H405" s="53">
        <v>23.33</v>
      </c>
      <c r="I405" s="53">
        <v>1.27</v>
      </c>
      <c r="J405" s="53">
        <v>21.84</v>
      </c>
      <c r="K405" s="53">
        <v>2.5899999999999999E-2</v>
      </c>
      <c r="L405" s="53">
        <v>72.643299999999996</v>
      </c>
      <c r="M405" s="53">
        <v>1.6999999999999999E-3</v>
      </c>
      <c r="N405" s="53">
        <v>1.5699999999999999E-2</v>
      </c>
      <c r="O405" s="53">
        <v>72.931100000000001</v>
      </c>
      <c r="P405" s="53">
        <v>1.47E-2</v>
      </c>
      <c r="Q405" s="53">
        <v>504.93</v>
      </c>
      <c r="R405" s="53">
        <v>259.81</v>
      </c>
      <c r="S405" s="53">
        <v>507.48500000000001</v>
      </c>
      <c r="T405" s="53">
        <v>236.619</v>
      </c>
      <c r="U405" s="53">
        <v>475.25400000000002</v>
      </c>
      <c r="V405" s="53">
        <v>256.07600000000002</v>
      </c>
      <c r="W405" s="53">
        <v>476.23599999999999</v>
      </c>
      <c r="X405" s="53">
        <v>234.261</v>
      </c>
      <c r="Y405" s="53">
        <v>490.38600000000002</v>
      </c>
      <c r="Z405" s="53">
        <v>247.036</v>
      </c>
      <c r="AA405" s="53">
        <v>490.58300000000003</v>
      </c>
      <c r="AB405" s="53">
        <v>245.66</v>
      </c>
      <c r="AC405" s="53">
        <v>490.38600000000002</v>
      </c>
      <c r="AD405" s="53">
        <v>248.215</v>
      </c>
      <c r="AG405" s="14" t="s">
        <v>222</v>
      </c>
      <c r="AH405" s="14" t="s">
        <v>222</v>
      </c>
      <c r="AI405" s="14" t="s">
        <v>222</v>
      </c>
      <c r="AJ405" s="55">
        <v>7.2735232742021294E-5</v>
      </c>
      <c r="AK405" s="55">
        <v>8.3762372995875304E-5</v>
      </c>
      <c r="AL405" s="55">
        <v>6.5615987892379203E-5</v>
      </c>
      <c r="AM405" s="55">
        <v>7.2995586668936997E-5</v>
      </c>
      <c r="AN405" s="51">
        <v>0.88571051236057896</v>
      </c>
    </row>
    <row r="406" spans="1:40" x14ac:dyDescent="0.35">
      <c r="A406" s="53" t="s">
        <v>230</v>
      </c>
      <c r="B406" s="53">
        <v>1</v>
      </c>
      <c r="C406" s="53">
        <v>40</v>
      </c>
      <c r="D406" s="53">
        <v>1486</v>
      </c>
      <c r="E406" s="53">
        <v>39.99</v>
      </c>
      <c r="F406" s="53">
        <v>1.26</v>
      </c>
      <c r="G406" s="53">
        <v>3.34</v>
      </c>
      <c r="H406" s="53">
        <v>23.64</v>
      </c>
      <c r="I406" s="53">
        <v>1.25</v>
      </c>
      <c r="J406" s="53">
        <v>22.42</v>
      </c>
      <c r="K406" s="53">
        <v>2.69E-2</v>
      </c>
      <c r="L406" s="53">
        <v>72.404899999999998</v>
      </c>
      <c r="M406" s="53">
        <v>2.2000000000000001E-3</v>
      </c>
      <c r="N406" s="53">
        <v>1.5900000000000001E-2</v>
      </c>
      <c r="O406" s="53">
        <v>71.721800000000002</v>
      </c>
      <c r="P406" s="53">
        <v>1.5100000000000001E-2</v>
      </c>
      <c r="Q406" s="53">
        <v>505.71600000000001</v>
      </c>
      <c r="R406" s="53">
        <v>260.00700000000001</v>
      </c>
      <c r="S406" s="53">
        <v>507.28800000000001</v>
      </c>
      <c r="T406" s="53">
        <v>236.423</v>
      </c>
      <c r="U406" s="53">
        <v>474.66399999999999</v>
      </c>
      <c r="V406" s="53">
        <v>256.27300000000002</v>
      </c>
      <c r="W406" s="53">
        <v>475.45</v>
      </c>
      <c r="X406" s="53">
        <v>233.86799999999999</v>
      </c>
      <c r="Y406" s="53">
        <v>490.38600000000002</v>
      </c>
      <c r="Z406" s="53">
        <v>247.232</v>
      </c>
      <c r="AA406" s="53">
        <v>490.58300000000003</v>
      </c>
      <c r="AB406" s="53">
        <v>245.46299999999999</v>
      </c>
      <c r="AC406" s="53">
        <v>490.58300000000003</v>
      </c>
      <c r="AD406" s="53">
        <v>248.804</v>
      </c>
      <c r="AG406" s="14" t="s">
        <v>222</v>
      </c>
      <c r="AH406" s="14" t="s">
        <v>222</v>
      </c>
      <c r="AI406" s="14" t="s">
        <v>222</v>
      </c>
      <c r="AJ406" s="55">
        <v>7.8150939499935994E-5</v>
      </c>
      <c r="AK406" s="55">
        <v>8.6411038694028894E-5</v>
      </c>
      <c r="AL406" s="55">
        <v>6.5974427541758197E-5</v>
      </c>
      <c r="AM406" s="55">
        <v>7.4834116853757595E-5</v>
      </c>
      <c r="AN406" s="51">
        <v>0.85565660999498006</v>
      </c>
    </row>
    <row r="407" spans="1:40" x14ac:dyDescent="0.35">
      <c r="A407" s="53" t="s">
        <v>230</v>
      </c>
      <c r="B407" s="53">
        <v>1</v>
      </c>
      <c r="C407" s="53">
        <v>50</v>
      </c>
      <c r="D407" s="53">
        <v>1486</v>
      </c>
      <c r="E407" s="53">
        <v>36.270000000000003</v>
      </c>
      <c r="F407" s="53">
        <v>1.21</v>
      </c>
      <c r="G407" s="53">
        <v>2.36</v>
      </c>
      <c r="H407" s="53">
        <v>21.23</v>
      </c>
      <c r="I407" s="53">
        <v>1.35</v>
      </c>
      <c r="J407" s="53">
        <v>22.27</v>
      </c>
      <c r="K407" s="53">
        <v>2.4400000000000002E-2</v>
      </c>
      <c r="L407" s="53">
        <v>69.170100000000005</v>
      </c>
      <c r="M407" s="53">
        <v>1.6000000000000001E-3</v>
      </c>
      <c r="N407" s="53">
        <v>1.43E-2</v>
      </c>
      <c r="O407" s="53">
        <v>77.425399999999996</v>
      </c>
      <c r="P407" s="53">
        <v>1.4999999999999999E-2</v>
      </c>
      <c r="Q407" s="53">
        <v>472.36900000000003</v>
      </c>
      <c r="R407" s="53">
        <v>255.50700000000001</v>
      </c>
      <c r="S407" s="53">
        <v>474.113</v>
      </c>
      <c r="T407" s="53">
        <v>234.352</v>
      </c>
      <c r="U407" s="53">
        <v>442.49</v>
      </c>
      <c r="V407" s="53">
        <v>252.89</v>
      </c>
      <c r="W407" s="53">
        <v>445.76100000000002</v>
      </c>
      <c r="X407" s="53">
        <v>230.863</v>
      </c>
      <c r="Y407" s="53">
        <v>457.95400000000001</v>
      </c>
      <c r="Z407" s="53">
        <v>243.148</v>
      </c>
      <c r="AA407" s="53">
        <v>458.03500000000003</v>
      </c>
      <c r="AB407" s="53">
        <v>244.447</v>
      </c>
      <c r="AC407" s="53">
        <v>458.197</v>
      </c>
      <c r="AD407" s="53">
        <v>242.09299999999999</v>
      </c>
      <c r="AG407" s="14" t="s">
        <v>222</v>
      </c>
      <c r="AH407" s="14" t="s">
        <v>222</v>
      </c>
      <c r="AI407" s="14" t="s">
        <v>222</v>
      </c>
      <c r="AJ407" s="55">
        <v>6.9912146838414601E-5</v>
      </c>
      <c r="AK407" s="55">
        <v>7.3929900470791603E-5</v>
      </c>
      <c r="AL407" s="55">
        <v>8.2354279692563602E-5</v>
      </c>
      <c r="AM407" s="55">
        <v>7.7508876476544599E-5</v>
      </c>
      <c r="AN407" s="51">
        <v>1.11137987229466</v>
      </c>
    </row>
    <row r="408" spans="1:40" x14ac:dyDescent="0.35">
      <c r="A408" s="53" t="s">
        <v>230</v>
      </c>
      <c r="B408" s="53">
        <v>1</v>
      </c>
      <c r="C408" s="53">
        <v>60</v>
      </c>
      <c r="D408" s="53">
        <v>1486</v>
      </c>
      <c r="E408" s="53">
        <v>45.36</v>
      </c>
      <c r="F408" s="53">
        <v>1.21</v>
      </c>
      <c r="G408" s="53">
        <v>2.7</v>
      </c>
      <c r="H408" s="53">
        <v>25.41</v>
      </c>
      <c r="I408" s="53">
        <v>1.1499999999999999</v>
      </c>
      <c r="J408" s="53">
        <v>25.29</v>
      </c>
      <c r="K408" s="53">
        <v>3.0499999999999999E-2</v>
      </c>
      <c r="L408" s="53">
        <v>69.557699999999997</v>
      </c>
      <c r="M408" s="53">
        <v>1.8E-3</v>
      </c>
      <c r="N408" s="53">
        <v>1.7100000000000001E-2</v>
      </c>
      <c r="O408" s="53">
        <v>65.799700000000001</v>
      </c>
      <c r="P408" s="53">
        <v>1.7000000000000001E-2</v>
      </c>
      <c r="Q408" s="53">
        <v>962.44500000000005</v>
      </c>
      <c r="R408" s="53">
        <v>236.80199999999999</v>
      </c>
      <c r="S408" s="53">
        <v>960.11199999999997</v>
      </c>
      <c r="T408" s="53">
        <v>211.49700000000001</v>
      </c>
      <c r="U408" s="53">
        <v>925.11500000000001</v>
      </c>
      <c r="V408" s="53">
        <v>240.93</v>
      </c>
      <c r="W408" s="53">
        <v>922.24300000000005</v>
      </c>
      <c r="X408" s="53">
        <v>215.804</v>
      </c>
      <c r="Y408" s="53">
        <v>943.06200000000001</v>
      </c>
      <c r="Z408" s="53">
        <v>225.85499999999999</v>
      </c>
      <c r="AA408" s="53">
        <v>943.42100000000005</v>
      </c>
      <c r="AB408" s="53">
        <v>224.41900000000001</v>
      </c>
      <c r="AC408" s="53">
        <v>943.24199999999996</v>
      </c>
      <c r="AD408" s="53">
        <v>227.11099999999999</v>
      </c>
      <c r="AG408" s="14" t="s">
        <v>222</v>
      </c>
      <c r="AH408" s="14" t="s">
        <v>222</v>
      </c>
      <c r="AI408" s="14" t="s">
        <v>222</v>
      </c>
      <c r="AJ408" s="51">
        <v>1.1190848140291901E-4</v>
      </c>
      <c r="AK408" s="51">
        <v>1.05277671003842E-4</v>
      </c>
      <c r="AL408" s="55">
        <v>9.98631946620683E-5</v>
      </c>
      <c r="AM408" s="55">
        <v>9.4524009870500499E-5</v>
      </c>
      <c r="AN408" s="51">
        <v>0.89502577571569797</v>
      </c>
    </row>
    <row r="409" spans="1:40" x14ac:dyDescent="0.35">
      <c r="A409" s="53" t="s">
        <v>230</v>
      </c>
      <c r="B409" s="53">
        <v>1</v>
      </c>
      <c r="C409" s="53">
        <v>70</v>
      </c>
      <c r="D409" s="53">
        <v>1486</v>
      </c>
      <c r="E409" s="53">
        <v>45.4</v>
      </c>
      <c r="F409" s="53">
        <v>1.0900000000000001</v>
      </c>
      <c r="G409" s="53">
        <v>3.45</v>
      </c>
      <c r="H409" s="53">
        <v>24.02</v>
      </c>
      <c r="I409" s="53">
        <v>1.2</v>
      </c>
      <c r="J409" s="53">
        <v>25.8</v>
      </c>
      <c r="K409" s="53">
        <v>3.0599999999999999E-2</v>
      </c>
      <c r="L409" s="53">
        <v>62.446100000000001</v>
      </c>
      <c r="M409" s="53">
        <v>2.3E-3</v>
      </c>
      <c r="N409" s="53">
        <v>1.6199999999999999E-2</v>
      </c>
      <c r="O409" s="53">
        <v>68.806700000000006</v>
      </c>
      <c r="P409" s="53">
        <v>1.7399999999999999E-2</v>
      </c>
      <c r="Q409" s="53">
        <v>1130.4079999999999</v>
      </c>
      <c r="R409" s="53">
        <v>215.501</v>
      </c>
      <c r="S409" s="53">
        <v>1127.5039999999999</v>
      </c>
      <c r="T409" s="53">
        <v>191.655</v>
      </c>
      <c r="U409" s="53">
        <v>1091.8869999999999</v>
      </c>
      <c r="V409" s="53">
        <v>221.61600000000001</v>
      </c>
      <c r="W409" s="53">
        <v>1089.441</v>
      </c>
      <c r="X409" s="53">
        <v>195.935</v>
      </c>
      <c r="Y409" s="53">
        <v>1109.3130000000001</v>
      </c>
      <c r="Z409" s="53">
        <v>206.17699999999999</v>
      </c>
      <c r="AA409" s="53">
        <v>1109.1600000000001</v>
      </c>
      <c r="AB409" s="53">
        <v>204.495</v>
      </c>
      <c r="AC409" s="53">
        <v>1109.924</v>
      </c>
      <c r="AD409" s="53">
        <v>207.858</v>
      </c>
      <c r="AG409" s="14" t="s">
        <v>222</v>
      </c>
      <c r="AH409" s="14" t="s">
        <v>222</v>
      </c>
      <c r="AI409" s="14" t="s">
        <v>222</v>
      </c>
      <c r="AJ409" s="51">
        <v>1.09881754155882E-4</v>
      </c>
      <c r="AK409" s="51">
        <v>1.07769979204743E-4</v>
      </c>
      <c r="AL409" s="55">
        <v>9.5026814422270395E-5</v>
      </c>
      <c r="AM409" s="55">
        <v>9.2885006584560306E-5</v>
      </c>
      <c r="AN409" s="51">
        <v>0.86336009415317305</v>
      </c>
    </row>
    <row r="410" spans="1:40" x14ac:dyDescent="0.35">
      <c r="A410" s="53" t="s">
        <v>230</v>
      </c>
      <c r="B410" s="53">
        <v>1</v>
      </c>
      <c r="C410" s="53">
        <v>80</v>
      </c>
      <c r="D410" s="53">
        <v>1486</v>
      </c>
      <c r="E410" s="53">
        <v>45.64</v>
      </c>
      <c r="F410" s="53">
        <v>1.1200000000000001</v>
      </c>
      <c r="G410" s="53">
        <v>3.24</v>
      </c>
      <c r="H410" s="53">
        <v>23.48</v>
      </c>
      <c r="I410" s="53">
        <v>1.06</v>
      </c>
      <c r="J410" s="53">
        <v>24.6</v>
      </c>
      <c r="K410" s="53">
        <v>3.0700000000000002E-2</v>
      </c>
      <c r="L410" s="53">
        <v>64.409400000000005</v>
      </c>
      <c r="M410" s="53">
        <v>2.2000000000000001E-3</v>
      </c>
      <c r="N410" s="53">
        <v>1.5800000000000002E-2</v>
      </c>
      <c r="O410" s="53">
        <v>60.821100000000001</v>
      </c>
      <c r="P410" s="53">
        <v>1.66E-2</v>
      </c>
      <c r="Q410" s="53">
        <v>1258.6010000000001</v>
      </c>
      <c r="R410" s="53">
        <v>199.22900000000001</v>
      </c>
      <c r="S410" s="53">
        <v>1256.538</v>
      </c>
      <c r="T410" s="53">
        <v>175.84</v>
      </c>
      <c r="U410" s="53">
        <v>1219.162</v>
      </c>
      <c r="V410" s="53">
        <v>204.273</v>
      </c>
      <c r="W410" s="53">
        <v>1217.327</v>
      </c>
      <c r="X410" s="53">
        <v>179.738</v>
      </c>
      <c r="Y410" s="53">
        <v>1239.1110000000001</v>
      </c>
      <c r="Z410" s="53">
        <v>190.05699999999999</v>
      </c>
      <c r="AA410" s="53">
        <v>1238.8810000000001</v>
      </c>
      <c r="AB410" s="53">
        <v>188.68100000000001</v>
      </c>
      <c r="AC410" s="53">
        <v>1239.3399999999999</v>
      </c>
      <c r="AD410" s="53">
        <v>191.89099999999999</v>
      </c>
      <c r="AG410" s="14" t="s">
        <v>222</v>
      </c>
      <c r="AH410" s="14" t="s">
        <v>222</v>
      </c>
      <c r="AI410" s="14" t="s">
        <v>222</v>
      </c>
      <c r="AJ410" s="51">
        <v>1.1673218206173801E-4</v>
      </c>
      <c r="AK410" s="55">
        <v>9.89336485529363E-5</v>
      </c>
      <c r="AL410" s="55">
        <v>8.7527526089170102E-5</v>
      </c>
      <c r="AM410" s="55">
        <v>9.8424565799412901E-5</v>
      </c>
      <c r="AN410" s="51">
        <v>0.86222324305429698</v>
      </c>
    </row>
    <row r="411" spans="1:40" x14ac:dyDescent="0.35">
      <c r="A411" s="53" t="s">
        <v>230</v>
      </c>
      <c r="B411" s="53">
        <v>1</v>
      </c>
      <c r="C411" s="53">
        <v>90</v>
      </c>
      <c r="D411" s="53">
        <v>1486</v>
      </c>
      <c r="E411" s="53">
        <v>12.63</v>
      </c>
      <c r="F411" s="53">
        <v>0.46</v>
      </c>
      <c r="G411" s="53">
        <v>0.92</v>
      </c>
      <c r="H411" s="53">
        <v>31.39</v>
      </c>
      <c r="I411" s="53">
        <v>1.52</v>
      </c>
      <c r="J411" s="53">
        <v>42.46</v>
      </c>
      <c r="K411" s="53">
        <v>8.5000000000000006E-3</v>
      </c>
      <c r="L411" s="53">
        <v>26.575800000000001</v>
      </c>
      <c r="M411" s="53">
        <v>5.9999999999999995E-4</v>
      </c>
      <c r="N411" s="53">
        <v>2.1100000000000001E-2</v>
      </c>
      <c r="O411" s="53">
        <v>86.928600000000003</v>
      </c>
      <c r="P411" s="53">
        <v>2.86E-2</v>
      </c>
      <c r="Q411" s="53">
        <v>1395.896</v>
      </c>
      <c r="R411" s="53">
        <v>174.917</v>
      </c>
      <c r="S411" s="53">
        <v>1426.5609999999999</v>
      </c>
      <c r="T411" s="53">
        <v>181.62100000000001</v>
      </c>
      <c r="U411" s="53">
        <v>1424.731</v>
      </c>
      <c r="V411" s="53">
        <v>162.47</v>
      </c>
      <c r="W411" s="53">
        <v>1389.105</v>
      </c>
      <c r="X411" s="53">
        <v>185.56299999999999</v>
      </c>
      <c r="Y411" s="53">
        <v>1386.9929999999999</v>
      </c>
      <c r="Z411" s="53">
        <v>164.16</v>
      </c>
      <c r="AA411" s="53">
        <v>1407.27</v>
      </c>
      <c r="AB411" s="53">
        <v>173.65100000000001</v>
      </c>
      <c r="AC411" s="53">
        <v>1407.27</v>
      </c>
      <c r="AD411" s="53">
        <v>172.73400000000001</v>
      </c>
      <c r="AG411" s="14" t="s">
        <v>222</v>
      </c>
      <c r="AH411" s="14" t="s">
        <v>222</v>
      </c>
      <c r="AI411" s="14" t="s">
        <v>222</v>
      </c>
      <c r="AJ411" s="51">
        <v>1.8369648663433901E-4</v>
      </c>
      <c r="AK411" s="55">
        <v>6.1176112310682495E-5</v>
      </c>
      <c r="AL411" s="55">
        <v>1.7803078395215001E-5</v>
      </c>
      <c r="AM411" s="55">
        <v>8.4813449983606206E-5</v>
      </c>
      <c r="AN411" s="51">
        <v>0.41906088644021999</v>
      </c>
    </row>
    <row r="412" spans="1:40" x14ac:dyDescent="0.35">
      <c r="A412" s="53" t="s">
        <v>231</v>
      </c>
      <c r="B412" s="53">
        <v>1</v>
      </c>
      <c r="C412" s="53">
        <v>30</v>
      </c>
      <c r="D412" s="53">
        <v>1439</v>
      </c>
      <c r="E412" s="53">
        <v>28.72</v>
      </c>
      <c r="F412" s="53">
        <v>1.78</v>
      </c>
      <c r="G412" s="53">
        <v>3.19</v>
      </c>
      <c r="H412" s="53">
        <v>22.23</v>
      </c>
      <c r="I412" s="53">
        <v>1.67</v>
      </c>
      <c r="J412" s="53">
        <v>21.52</v>
      </c>
      <c r="K412" s="53">
        <v>0.02</v>
      </c>
      <c r="L412" s="53">
        <v>101.7966</v>
      </c>
      <c r="M412" s="53">
        <v>2.2000000000000001E-3</v>
      </c>
      <c r="N412" s="53">
        <v>1.54E-2</v>
      </c>
      <c r="O412" s="53">
        <v>95.714600000000004</v>
      </c>
      <c r="P412" s="53">
        <v>1.4999999999999999E-2</v>
      </c>
      <c r="Q412" s="53">
        <v>445.96100000000001</v>
      </c>
      <c r="R412" s="53">
        <v>-163.92099999999999</v>
      </c>
      <c r="S412" s="53">
        <v>446.10199999999998</v>
      </c>
      <c r="T412" s="53">
        <v>-186.14599999999999</v>
      </c>
      <c r="U412" s="53">
        <v>427.26499999999999</v>
      </c>
      <c r="V412" s="53">
        <v>-164.20400000000001</v>
      </c>
      <c r="W412" s="53">
        <v>427.26499999999999</v>
      </c>
      <c r="X412" s="53">
        <v>-185.72300000000001</v>
      </c>
      <c r="Y412" s="53">
        <v>437.00099999999998</v>
      </c>
      <c r="Z412" s="53">
        <v>-174.857</v>
      </c>
      <c r="AA412" s="53">
        <v>437.28300000000002</v>
      </c>
      <c r="AB412" s="53">
        <v>-176.40899999999999</v>
      </c>
      <c r="AC412" s="53">
        <v>437.00099999999998</v>
      </c>
      <c r="AD412" s="53">
        <v>-173.23500000000001</v>
      </c>
      <c r="AG412" s="14" t="s">
        <v>222</v>
      </c>
      <c r="AH412" s="14" t="s">
        <v>222</v>
      </c>
      <c r="AI412" s="14" t="s">
        <v>222</v>
      </c>
      <c r="AJ412" s="55">
        <v>5.0588414373544203E-5</v>
      </c>
      <c r="AK412" s="55">
        <v>4.8456063371164E-5</v>
      </c>
      <c r="AL412" s="55">
        <v>4.1434568925509598E-5</v>
      </c>
      <c r="AM412" s="55">
        <v>4.3387166112672801E-5</v>
      </c>
      <c r="AN412" s="51">
        <v>0.85640044724971398</v>
      </c>
    </row>
    <row r="413" spans="1:40" x14ac:dyDescent="0.35">
      <c r="A413" s="53" t="s">
        <v>231</v>
      </c>
      <c r="B413" s="53">
        <v>1</v>
      </c>
      <c r="C413" s="53">
        <v>40</v>
      </c>
      <c r="D413" s="53">
        <v>1439</v>
      </c>
      <c r="E413" s="53">
        <v>30.28</v>
      </c>
      <c r="F413" s="53">
        <v>1.61</v>
      </c>
      <c r="G413" s="53">
        <v>3.38</v>
      </c>
      <c r="H413" s="53">
        <v>22.7</v>
      </c>
      <c r="I413" s="53">
        <v>1.77</v>
      </c>
      <c r="J413" s="53">
        <v>22.22</v>
      </c>
      <c r="K413" s="53">
        <v>2.1000000000000001E-2</v>
      </c>
      <c r="L413" s="53">
        <v>92.112200000000001</v>
      </c>
      <c r="M413" s="53">
        <v>2.3E-3</v>
      </c>
      <c r="N413" s="53">
        <v>1.5800000000000002E-2</v>
      </c>
      <c r="O413" s="53">
        <v>101.35250000000001</v>
      </c>
      <c r="P413" s="53">
        <v>1.54E-2</v>
      </c>
      <c r="Q413" s="53">
        <v>592.51900000000001</v>
      </c>
      <c r="R413" s="53">
        <v>-172.2</v>
      </c>
      <c r="S413" s="53">
        <v>590.72900000000004</v>
      </c>
      <c r="T413" s="53">
        <v>-194.83099999999999</v>
      </c>
      <c r="U413" s="53">
        <v>572.10799999999995</v>
      </c>
      <c r="V413" s="53">
        <v>-171.41200000000001</v>
      </c>
      <c r="W413" s="53">
        <v>571.10599999999999</v>
      </c>
      <c r="X413" s="53">
        <v>-193.614</v>
      </c>
      <c r="Y413" s="53">
        <v>580.70299999999997</v>
      </c>
      <c r="Z413" s="53">
        <v>-182.87100000000001</v>
      </c>
      <c r="AA413" s="53">
        <v>580.63099999999997</v>
      </c>
      <c r="AB413" s="53">
        <v>-184.518</v>
      </c>
      <c r="AC413" s="53">
        <v>580.91700000000003</v>
      </c>
      <c r="AD413" s="53">
        <v>-181.15199999999999</v>
      </c>
      <c r="AG413" s="14" t="s">
        <v>222</v>
      </c>
      <c r="AH413" s="14" t="s">
        <v>222</v>
      </c>
      <c r="AI413" s="14" t="s">
        <v>222</v>
      </c>
      <c r="AJ413" s="55">
        <v>4.8849677962410203E-5</v>
      </c>
      <c r="AK413" s="55">
        <v>5.9956605935807199E-5</v>
      </c>
      <c r="AL413" s="55">
        <v>4.63272570278662E-5</v>
      </c>
      <c r="AM413" s="55">
        <v>4.5897717027064599E-5</v>
      </c>
      <c r="AN413" s="51">
        <v>0.84760705678729398</v>
      </c>
    </row>
    <row r="414" spans="1:40" x14ac:dyDescent="0.35">
      <c r="A414" s="53" t="s">
        <v>231</v>
      </c>
      <c r="B414" s="53">
        <v>1</v>
      </c>
      <c r="C414" s="53">
        <v>50</v>
      </c>
      <c r="D414" s="53">
        <v>1439</v>
      </c>
      <c r="E414" s="53">
        <v>33.869999999999997</v>
      </c>
      <c r="F414" s="53">
        <v>1.55</v>
      </c>
      <c r="G414" s="53">
        <v>5.44</v>
      </c>
      <c r="H414" s="53">
        <v>23.94</v>
      </c>
      <c r="I414" s="53">
        <v>1.58</v>
      </c>
      <c r="J414" s="53">
        <v>23.71</v>
      </c>
      <c r="K414" s="53">
        <v>2.35E-2</v>
      </c>
      <c r="L414" s="53">
        <v>89.087800000000001</v>
      </c>
      <c r="M414" s="53">
        <v>3.8E-3</v>
      </c>
      <c r="N414" s="53">
        <v>1.66E-2</v>
      </c>
      <c r="O414" s="53">
        <v>90.334000000000003</v>
      </c>
      <c r="P414" s="53">
        <v>1.6500000000000001E-2</v>
      </c>
      <c r="Q414" s="53">
        <v>752.83199999999999</v>
      </c>
      <c r="R414" s="53">
        <v>-180.45099999999999</v>
      </c>
      <c r="S414" s="53">
        <v>750.88099999999997</v>
      </c>
      <c r="T414" s="53">
        <v>-204.31399999999999</v>
      </c>
      <c r="U414" s="53">
        <v>728.43700000000001</v>
      </c>
      <c r="V414" s="53">
        <v>-179.209</v>
      </c>
      <c r="W414" s="53">
        <v>727.46100000000001</v>
      </c>
      <c r="X414" s="53">
        <v>-202.89500000000001</v>
      </c>
      <c r="Y414" s="53">
        <v>739.70299999999997</v>
      </c>
      <c r="Z414" s="53">
        <v>-191.89500000000001</v>
      </c>
      <c r="AA414" s="53">
        <v>739.52599999999995</v>
      </c>
      <c r="AB414" s="53">
        <v>-194.55600000000001</v>
      </c>
      <c r="AC414" s="53">
        <v>740.05799999999999</v>
      </c>
      <c r="AD414" s="53">
        <v>-189.14500000000001</v>
      </c>
      <c r="AG414" s="14" t="s">
        <v>222</v>
      </c>
      <c r="AH414" s="14" t="s">
        <v>222</v>
      </c>
      <c r="AI414" s="14" t="s">
        <v>222</v>
      </c>
      <c r="AJ414" s="55">
        <v>6.7422895696716103E-5</v>
      </c>
      <c r="AK414" s="55">
        <v>7.0258157182932906E-5</v>
      </c>
      <c r="AL414" s="55">
        <v>5.5042528182212898E-5</v>
      </c>
      <c r="AM414" s="55">
        <v>5.1291220545887001E-5</v>
      </c>
      <c r="AN414" s="51">
        <v>0.77231940418881995</v>
      </c>
    </row>
    <row r="415" spans="1:40" x14ac:dyDescent="0.35">
      <c r="A415" s="53" t="s">
        <v>231</v>
      </c>
      <c r="B415" s="53">
        <v>1</v>
      </c>
      <c r="C415" s="53">
        <v>60</v>
      </c>
      <c r="D415" s="53">
        <v>1439</v>
      </c>
      <c r="E415" s="53">
        <v>34.119999999999997</v>
      </c>
      <c r="F415" s="53">
        <v>1.57</v>
      </c>
      <c r="G415" s="53">
        <v>5.76</v>
      </c>
      <c r="H415" s="53">
        <v>23.7</v>
      </c>
      <c r="I415" s="53">
        <v>1.52</v>
      </c>
      <c r="J415" s="53">
        <v>23.88</v>
      </c>
      <c r="K415" s="53">
        <v>2.3699999999999999E-2</v>
      </c>
      <c r="L415" s="53">
        <v>90.047799999999995</v>
      </c>
      <c r="M415" s="53">
        <v>4.0000000000000001E-3</v>
      </c>
      <c r="N415" s="53">
        <v>1.6500000000000001E-2</v>
      </c>
      <c r="O415" s="53">
        <v>87.146600000000007</v>
      </c>
      <c r="P415" s="53">
        <v>1.66E-2</v>
      </c>
      <c r="Q415" s="53">
        <v>901.72199999999998</v>
      </c>
      <c r="R415" s="53">
        <v>-187.68100000000001</v>
      </c>
      <c r="S415" s="53">
        <v>900.71600000000001</v>
      </c>
      <c r="T415" s="53">
        <v>-211.363</v>
      </c>
      <c r="U415" s="53">
        <v>877.30899999999997</v>
      </c>
      <c r="V415" s="53">
        <v>-186.67599999999999</v>
      </c>
      <c r="W415" s="53">
        <v>876.39400000000001</v>
      </c>
      <c r="X415" s="53">
        <v>-210.54</v>
      </c>
      <c r="Y415" s="53">
        <v>889.37800000000004</v>
      </c>
      <c r="Z415" s="53">
        <v>-199.38499999999999</v>
      </c>
      <c r="AA415" s="53">
        <v>889.46900000000005</v>
      </c>
      <c r="AB415" s="53">
        <v>-202.22</v>
      </c>
      <c r="AC415" s="53">
        <v>889.56100000000004</v>
      </c>
      <c r="AD415" s="53">
        <v>-196.459</v>
      </c>
      <c r="AG415" s="14" t="s">
        <v>222</v>
      </c>
      <c r="AH415" s="14" t="s">
        <v>222</v>
      </c>
      <c r="AI415" s="14" t="s">
        <v>222</v>
      </c>
      <c r="AJ415" s="55">
        <v>7.2352420002501895E-5</v>
      </c>
      <c r="AK415" s="55">
        <v>6.7743646778102597E-5</v>
      </c>
      <c r="AL415" s="55">
        <v>5.4695712024942103E-5</v>
      </c>
      <c r="AM415" s="55">
        <v>5.1460280018408999E-5</v>
      </c>
      <c r="AN415" s="51">
        <v>0.75773713340286197</v>
      </c>
    </row>
    <row r="416" spans="1:40" x14ac:dyDescent="0.35">
      <c r="A416" s="53" t="s">
        <v>231</v>
      </c>
      <c r="B416" s="53">
        <v>1</v>
      </c>
      <c r="C416" s="53">
        <v>70</v>
      </c>
      <c r="D416" s="53">
        <v>1439</v>
      </c>
      <c r="E416" s="53">
        <v>34.78</v>
      </c>
      <c r="F416" s="53">
        <v>1.62</v>
      </c>
      <c r="G416" s="53">
        <v>4.91</v>
      </c>
      <c r="H416" s="53">
        <v>24.33</v>
      </c>
      <c r="I416" s="53">
        <v>1.46</v>
      </c>
      <c r="J416" s="53">
        <v>23.8</v>
      </c>
      <c r="K416" s="53">
        <v>2.4199999999999999E-2</v>
      </c>
      <c r="L416" s="53">
        <v>92.573999999999998</v>
      </c>
      <c r="M416" s="53">
        <v>3.3999999999999998E-3</v>
      </c>
      <c r="N416" s="53">
        <v>1.6899999999999998E-2</v>
      </c>
      <c r="O416" s="53">
        <v>83.396100000000004</v>
      </c>
      <c r="P416" s="53">
        <v>1.6500000000000001E-2</v>
      </c>
      <c r="Q416" s="53">
        <v>1033.886</v>
      </c>
      <c r="R416" s="53">
        <v>-188.01499999999999</v>
      </c>
      <c r="S416" s="53">
        <v>1034.3130000000001</v>
      </c>
      <c r="T416" s="53">
        <v>-212.34</v>
      </c>
      <c r="U416" s="53">
        <v>1008.92</v>
      </c>
      <c r="V416" s="53">
        <v>-188.86799999999999</v>
      </c>
      <c r="W416" s="53">
        <v>1009.347</v>
      </c>
      <c r="X416" s="53">
        <v>-212.661</v>
      </c>
      <c r="Y416" s="53">
        <v>1022.47</v>
      </c>
      <c r="Z416" s="53">
        <v>-200.071</v>
      </c>
      <c r="AA416" s="53">
        <v>1022.577</v>
      </c>
      <c r="AB416" s="53">
        <v>-202.738</v>
      </c>
      <c r="AC416" s="53">
        <v>1022.577</v>
      </c>
      <c r="AD416" s="53">
        <v>-197.83099999999999</v>
      </c>
      <c r="AG416" s="14" t="s">
        <v>222</v>
      </c>
      <c r="AH416" s="14" t="s">
        <v>222</v>
      </c>
      <c r="AI416" s="14" t="s">
        <v>222</v>
      </c>
      <c r="AJ416" s="55">
        <v>7.6691033944215902E-5</v>
      </c>
      <c r="AK416" s="55">
        <v>6.8295562753263296E-5</v>
      </c>
      <c r="AL416" s="55">
        <v>5.6844857177765603E-5</v>
      </c>
      <c r="AM416" s="55">
        <v>5.8793721607112E-5</v>
      </c>
      <c r="AN416" s="51">
        <v>0.79758116556223801</v>
      </c>
    </row>
    <row r="417" spans="1:40" x14ac:dyDescent="0.35">
      <c r="A417" s="53" t="s">
        <v>231</v>
      </c>
      <c r="B417" s="53">
        <v>1</v>
      </c>
      <c r="C417" s="53">
        <v>80</v>
      </c>
      <c r="D417" s="53">
        <v>1439</v>
      </c>
      <c r="E417" s="53">
        <v>33.229999999999997</v>
      </c>
      <c r="F417" s="53">
        <v>1.56</v>
      </c>
      <c r="G417" s="53">
        <v>4.8099999999999996</v>
      </c>
      <c r="H417" s="53">
        <v>22.62</v>
      </c>
      <c r="I417" s="53">
        <v>1.5</v>
      </c>
      <c r="J417" s="53">
        <v>23.06</v>
      </c>
      <c r="K417" s="53">
        <v>2.3099999999999999E-2</v>
      </c>
      <c r="L417" s="53">
        <v>89.633899999999997</v>
      </c>
      <c r="M417" s="53">
        <v>3.3E-3</v>
      </c>
      <c r="N417" s="53">
        <v>1.5699999999999999E-2</v>
      </c>
      <c r="O417" s="53">
        <v>85.8797</v>
      </c>
      <c r="P417" s="53">
        <v>1.6E-2</v>
      </c>
      <c r="Q417" s="53">
        <v>1190.7170000000001</v>
      </c>
      <c r="R417" s="53">
        <v>-182.583</v>
      </c>
      <c r="S417" s="53">
        <v>1191.579</v>
      </c>
      <c r="T417" s="53">
        <v>-205.191</v>
      </c>
      <c r="U417" s="53">
        <v>1166.576</v>
      </c>
      <c r="V417" s="53">
        <v>-184.11600000000001</v>
      </c>
      <c r="W417" s="53">
        <v>1168.3</v>
      </c>
      <c r="X417" s="53">
        <v>-207.107</v>
      </c>
      <c r="Y417" s="53">
        <v>1179.796</v>
      </c>
      <c r="Z417" s="53">
        <v>-194.749</v>
      </c>
      <c r="AA417" s="53">
        <v>1180.0830000000001</v>
      </c>
      <c r="AB417" s="53">
        <v>-197.14400000000001</v>
      </c>
      <c r="AC417" s="53">
        <v>1179.7</v>
      </c>
      <c r="AD417" s="53">
        <v>-192.35400000000001</v>
      </c>
      <c r="AG417" s="14" t="s">
        <v>222</v>
      </c>
      <c r="AH417" s="14" t="s">
        <v>222</v>
      </c>
      <c r="AI417" s="14" t="s">
        <v>222</v>
      </c>
      <c r="AJ417" s="55">
        <v>6.8963836267657794E-5</v>
      </c>
      <c r="AK417" s="55">
        <v>6.2149623247168397E-5</v>
      </c>
      <c r="AL417" s="55">
        <v>5.2878357345098801E-5</v>
      </c>
      <c r="AM417" s="55">
        <v>5.0550617152189903E-5</v>
      </c>
      <c r="AN417" s="51">
        <v>0.78885093017924002</v>
      </c>
    </row>
    <row r="418" spans="1:40" x14ac:dyDescent="0.35">
      <c r="A418" s="53" t="s">
        <v>231</v>
      </c>
      <c r="B418" s="53">
        <v>1</v>
      </c>
      <c r="C418" s="53">
        <v>90</v>
      </c>
      <c r="D418" s="53">
        <v>1439</v>
      </c>
      <c r="E418" s="53">
        <v>31.27</v>
      </c>
      <c r="F418" s="53">
        <v>1.67</v>
      </c>
      <c r="G418" s="53">
        <v>4.45</v>
      </c>
      <c r="H418" s="53">
        <v>22.78</v>
      </c>
      <c r="I418" s="53">
        <v>1.51</v>
      </c>
      <c r="J418" s="53">
        <v>21.33</v>
      </c>
      <c r="K418" s="53">
        <v>2.1700000000000001E-2</v>
      </c>
      <c r="L418" s="53">
        <v>95.802300000000002</v>
      </c>
      <c r="M418" s="53">
        <v>3.0999999999999999E-3</v>
      </c>
      <c r="N418" s="53">
        <v>1.5800000000000002E-2</v>
      </c>
      <c r="O418" s="53">
        <v>86.771600000000007</v>
      </c>
      <c r="P418" s="53">
        <v>1.4800000000000001E-2</v>
      </c>
      <c r="Q418" s="53">
        <v>1315.8320000000001</v>
      </c>
      <c r="R418" s="53">
        <v>-172.28899999999999</v>
      </c>
      <c r="S418" s="53">
        <v>1317.797</v>
      </c>
      <c r="T418" s="53">
        <v>-194.98</v>
      </c>
      <c r="U418" s="53">
        <v>1294.32</v>
      </c>
      <c r="V418" s="53">
        <v>-175.62899999999999</v>
      </c>
      <c r="W418" s="53">
        <v>1296.481</v>
      </c>
      <c r="X418" s="53">
        <v>-196.846</v>
      </c>
      <c r="Y418" s="53">
        <v>1306.598</v>
      </c>
      <c r="Z418" s="53">
        <v>-184.86199999999999</v>
      </c>
      <c r="AA418" s="53">
        <v>1306.991</v>
      </c>
      <c r="AB418" s="53">
        <v>-187.023</v>
      </c>
      <c r="AC418" s="53">
        <v>1306.5</v>
      </c>
      <c r="AD418" s="53">
        <v>-182.60300000000001</v>
      </c>
      <c r="AG418" s="14" t="s">
        <v>222</v>
      </c>
      <c r="AH418" s="14" t="s">
        <v>222</v>
      </c>
      <c r="AI418" s="14" t="s">
        <v>222</v>
      </c>
      <c r="AJ418" s="55">
        <v>5.80835885182021E-5</v>
      </c>
      <c r="AK418" s="55">
        <v>5.6558715297715702E-5</v>
      </c>
      <c r="AL418" s="55">
        <v>4.6048185149037903E-5</v>
      </c>
      <c r="AM418" s="55">
        <v>4.5823509782341603E-5</v>
      </c>
      <c r="AN418" s="51">
        <v>0.801376907767823</v>
      </c>
    </row>
    <row r="419" spans="1:40" x14ac:dyDescent="0.35">
      <c r="A419" s="53" t="s">
        <v>232</v>
      </c>
      <c r="B419" s="53">
        <v>1</v>
      </c>
      <c r="C419" s="53">
        <v>30</v>
      </c>
      <c r="D419" s="53">
        <v>1473</v>
      </c>
      <c r="E419" s="53">
        <v>33.200000000000003</v>
      </c>
      <c r="F419" s="53">
        <v>1.1299999999999999</v>
      </c>
      <c r="G419" s="53">
        <v>4.01</v>
      </c>
      <c r="H419" s="53">
        <v>17.84</v>
      </c>
      <c r="I419" s="53">
        <v>1.2</v>
      </c>
      <c r="J419" s="53">
        <v>18.93</v>
      </c>
      <c r="K419" s="53">
        <v>2.2499999999999999E-2</v>
      </c>
      <c r="L419" s="53">
        <v>64.956199999999995</v>
      </c>
      <c r="M419" s="53">
        <v>2.7000000000000001E-3</v>
      </c>
      <c r="N419" s="53">
        <v>1.21E-2</v>
      </c>
      <c r="O419" s="53">
        <v>68.829499999999996</v>
      </c>
      <c r="P419" s="53">
        <v>1.2800000000000001E-2</v>
      </c>
      <c r="Q419" s="53">
        <v>1143.393</v>
      </c>
      <c r="R419" s="53">
        <v>433.93099999999998</v>
      </c>
      <c r="S419" s="53">
        <v>1145.0360000000001</v>
      </c>
      <c r="T419" s="53">
        <v>416.16699999999997</v>
      </c>
      <c r="U419" s="53">
        <v>1170.7059999999999</v>
      </c>
      <c r="V419" s="53">
        <v>437.62799999999999</v>
      </c>
      <c r="W419" s="53">
        <v>1172.9649999999999</v>
      </c>
      <c r="X419" s="53">
        <v>418.83699999999999</v>
      </c>
      <c r="Y419" s="53">
        <v>1158.076</v>
      </c>
      <c r="Z419" s="53">
        <v>427.05200000000002</v>
      </c>
      <c r="AA419" s="53">
        <v>1158.2819999999999</v>
      </c>
      <c r="AB419" s="53">
        <v>425.101</v>
      </c>
      <c r="AC419" s="53">
        <v>1158.076</v>
      </c>
      <c r="AD419" s="53">
        <v>429.10500000000002</v>
      </c>
      <c r="AG419" s="14" t="s">
        <v>222</v>
      </c>
      <c r="AH419" s="14" t="s">
        <v>222</v>
      </c>
      <c r="AI419" s="14" t="s">
        <v>222</v>
      </c>
      <c r="AJ419" s="55">
        <v>6.0196806605801402E-5</v>
      </c>
      <c r="AK419" s="55">
        <v>5.7501792850627901E-5</v>
      </c>
      <c r="AL419" s="55">
        <v>4.2884523597186202E-5</v>
      </c>
      <c r="AM419" s="55">
        <v>4.9349680536140602E-5</v>
      </c>
      <c r="AN419" s="51">
        <v>0.78364742281806699</v>
      </c>
    </row>
    <row r="420" spans="1:40" x14ac:dyDescent="0.35">
      <c r="A420" s="53" t="s">
        <v>232</v>
      </c>
      <c r="B420" s="53">
        <v>1</v>
      </c>
      <c r="C420" s="53">
        <v>40</v>
      </c>
      <c r="D420" s="53">
        <v>1473</v>
      </c>
      <c r="E420" s="53">
        <v>32.299999999999997</v>
      </c>
      <c r="F420" s="53">
        <v>1.24</v>
      </c>
      <c r="G420" s="53">
        <v>5.63</v>
      </c>
      <c r="H420" s="53">
        <v>20</v>
      </c>
      <c r="I420" s="53">
        <v>1.35</v>
      </c>
      <c r="J420" s="53">
        <v>18.97</v>
      </c>
      <c r="K420" s="53">
        <v>2.1899999999999999E-2</v>
      </c>
      <c r="L420" s="53">
        <v>71.140699999999995</v>
      </c>
      <c r="M420" s="53">
        <v>3.8E-3</v>
      </c>
      <c r="N420" s="53">
        <v>1.3599999999999999E-2</v>
      </c>
      <c r="O420" s="53">
        <v>77.232299999999995</v>
      </c>
      <c r="P420" s="53">
        <v>1.29E-2</v>
      </c>
      <c r="Q420" s="53">
        <v>990.79300000000001</v>
      </c>
      <c r="R420" s="53">
        <v>409.93200000000002</v>
      </c>
      <c r="S420" s="53">
        <v>992.73299999999995</v>
      </c>
      <c r="T420" s="53">
        <v>390.024</v>
      </c>
      <c r="U420" s="53">
        <v>1016.622</v>
      </c>
      <c r="V420" s="53">
        <v>411.97399999999999</v>
      </c>
      <c r="W420" s="53">
        <v>1018.357</v>
      </c>
      <c r="X420" s="53">
        <v>393.08699999999999</v>
      </c>
      <c r="Y420" s="53">
        <v>1005.698</v>
      </c>
      <c r="Z420" s="53">
        <v>401.15199999999999</v>
      </c>
      <c r="AA420" s="53">
        <v>1005.902</v>
      </c>
      <c r="AB420" s="53">
        <v>398.19099999999997</v>
      </c>
      <c r="AC420" s="53">
        <v>1005.494</v>
      </c>
      <c r="AD420" s="53">
        <v>403.80599999999998</v>
      </c>
      <c r="AG420" s="14" t="s">
        <v>222</v>
      </c>
      <c r="AH420" s="14" t="s">
        <v>222</v>
      </c>
      <c r="AI420" s="14" t="s">
        <v>222</v>
      </c>
      <c r="AJ420" s="55">
        <v>5.1872320921184098E-5</v>
      </c>
      <c r="AK420" s="55">
        <v>6.4454026286232105E-5</v>
      </c>
      <c r="AL420" s="55">
        <v>4.3380508810086499E-5</v>
      </c>
      <c r="AM420" s="55">
        <v>3.8929875804766301E-5</v>
      </c>
      <c r="AN420" s="51">
        <v>0.70758161492072702</v>
      </c>
    </row>
    <row r="421" spans="1:40" x14ac:dyDescent="0.35">
      <c r="A421" s="53" t="s">
        <v>232</v>
      </c>
      <c r="B421" s="53">
        <v>1</v>
      </c>
      <c r="C421" s="53">
        <v>50</v>
      </c>
      <c r="D421" s="53">
        <v>1473</v>
      </c>
      <c r="E421" s="53">
        <v>32.369999999999997</v>
      </c>
      <c r="F421" s="53">
        <v>1.3</v>
      </c>
      <c r="G421" s="53">
        <v>6.25</v>
      </c>
      <c r="H421" s="53">
        <v>20.02</v>
      </c>
      <c r="I421" s="53">
        <v>1.23</v>
      </c>
      <c r="J421" s="53">
        <v>18.47</v>
      </c>
      <c r="K421" s="53">
        <v>2.1999999999999999E-2</v>
      </c>
      <c r="L421" s="53">
        <v>74.609200000000001</v>
      </c>
      <c r="M421" s="53">
        <v>4.1999999999999997E-3</v>
      </c>
      <c r="N421" s="53">
        <v>1.3599999999999999E-2</v>
      </c>
      <c r="O421" s="53">
        <v>70.444199999999995</v>
      </c>
      <c r="P421" s="53">
        <v>1.2500000000000001E-2</v>
      </c>
      <c r="Q421" s="53">
        <v>860.13099999999997</v>
      </c>
      <c r="R421" s="53">
        <v>392.88799999999998</v>
      </c>
      <c r="S421" s="53">
        <v>861.95699999999999</v>
      </c>
      <c r="T421" s="53">
        <v>372.95</v>
      </c>
      <c r="U421" s="53">
        <v>886.46100000000001</v>
      </c>
      <c r="V421" s="53">
        <v>394.56299999999999</v>
      </c>
      <c r="W421" s="53">
        <v>887.83100000000002</v>
      </c>
      <c r="X421" s="53">
        <v>376.14699999999999</v>
      </c>
      <c r="Y421" s="53">
        <v>874.13300000000004</v>
      </c>
      <c r="Z421" s="53">
        <v>384.06099999999998</v>
      </c>
      <c r="AA421" s="53">
        <v>874.58900000000006</v>
      </c>
      <c r="AB421" s="53">
        <v>380.71300000000002</v>
      </c>
      <c r="AC421" s="53">
        <v>874.28499999999997</v>
      </c>
      <c r="AD421" s="53">
        <v>386.95299999999997</v>
      </c>
      <c r="AG421" s="14" t="s">
        <v>222</v>
      </c>
      <c r="AH421" s="14" t="s">
        <v>222</v>
      </c>
      <c r="AI421" s="14" t="s">
        <v>222</v>
      </c>
      <c r="AJ421" s="55">
        <v>5.56337192340609E-5</v>
      </c>
      <c r="AK421" s="55">
        <v>6.0619039059716897E-5</v>
      </c>
      <c r="AL421" s="55">
        <v>4.1474419155572098E-5</v>
      </c>
      <c r="AM421" s="55">
        <v>3.6980507243070601E-5</v>
      </c>
      <c r="AN421" s="51">
        <v>0.67486507460220702</v>
      </c>
    </row>
    <row r="422" spans="1:40" x14ac:dyDescent="0.35">
      <c r="A422" s="53" t="s">
        <v>232</v>
      </c>
      <c r="B422" s="53">
        <v>1</v>
      </c>
      <c r="C422" s="53">
        <v>60</v>
      </c>
      <c r="D422" s="53">
        <v>1473</v>
      </c>
      <c r="E422" s="53">
        <v>33.92</v>
      </c>
      <c r="F422" s="53">
        <v>1.17</v>
      </c>
      <c r="G422" s="53">
        <v>5.83</v>
      </c>
      <c r="H422" s="53">
        <v>20.63</v>
      </c>
      <c r="I422" s="53">
        <v>1.25</v>
      </c>
      <c r="J422" s="53">
        <v>18.11</v>
      </c>
      <c r="K422" s="53">
        <v>2.3E-2</v>
      </c>
      <c r="L422" s="53">
        <v>66.802800000000005</v>
      </c>
      <c r="M422" s="53">
        <v>4.0000000000000001E-3</v>
      </c>
      <c r="N422" s="53">
        <v>1.4E-2</v>
      </c>
      <c r="O422" s="53">
        <v>71.608400000000003</v>
      </c>
      <c r="P422" s="53">
        <v>1.23E-2</v>
      </c>
      <c r="Q422" s="53">
        <v>722.77700000000004</v>
      </c>
      <c r="R422" s="53">
        <v>384.15600000000001</v>
      </c>
      <c r="S422" s="53">
        <v>724.66899999999998</v>
      </c>
      <c r="T422" s="53">
        <v>363.608</v>
      </c>
      <c r="U422" s="53">
        <v>750.625</v>
      </c>
      <c r="V422" s="53">
        <v>386.31900000000002</v>
      </c>
      <c r="W422" s="53">
        <v>752.78800000000001</v>
      </c>
      <c r="X422" s="53">
        <v>368.34</v>
      </c>
      <c r="Y422" s="53">
        <v>739.26900000000001</v>
      </c>
      <c r="Z422" s="53">
        <v>375.64</v>
      </c>
      <c r="AA422" s="53">
        <v>739.54</v>
      </c>
      <c r="AB422" s="53">
        <v>372.666</v>
      </c>
      <c r="AC422" s="53">
        <v>739.13400000000001</v>
      </c>
      <c r="AD422" s="53">
        <v>378.47899999999998</v>
      </c>
      <c r="AG422" s="14" t="s">
        <v>222</v>
      </c>
      <c r="AH422" s="14" t="s">
        <v>222</v>
      </c>
      <c r="AI422" s="14" t="s">
        <v>222</v>
      </c>
      <c r="AJ422" s="55">
        <v>5.2372485457861403E-5</v>
      </c>
      <c r="AK422" s="55">
        <v>7.4379183759815104E-5</v>
      </c>
      <c r="AL422" s="55">
        <v>4.4584666333906297E-5</v>
      </c>
      <c r="AM422" s="55">
        <v>4.2478191976970503E-5</v>
      </c>
      <c r="AN422" s="51">
        <v>0.686877410358673</v>
      </c>
    </row>
    <row r="423" spans="1:40" x14ac:dyDescent="0.35">
      <c r="A423" s="53" t="s">
        <v>232</v>
      </c>
      <c r="B423" s="53">
        <v>1</v>
      </c>
      <c r="C423" s="53">
        <v>70</v>
      </c>
      <c r="D423" s="53">
        <v>1473</v>
      </c>
      <c r="E423" s="53">
        <v>34.909999999999997</v>
      </c>
      <c r="F423" s="53">
        <v>1.04</v>
      </c>
      <c r="G423" s="53">
        <v>5.55</v>
      </c>
      <c r="H423" s="53">
        <v>16.88</v>
      </c>
      <c r="I423" s="53">
        <v>1.19</v>
      </c>
      <c r="J423" s="53">
        <v>20.309999999999999</v>
      </c>
      <c r="K423" s="53">
        <v>2.3699999999999999E-2</v>
      </c>
      <c r="L423" s="53">
        <v>59.683599999999998</v>
      </c>
      <c r="M423" s="53">
        <v>3.8E-3</v>
      </c>
      <c r="N423" s="53">
        <v>1.15E-2</v>
      </c>
      <c r="O423" s="53">
        <v>68.022199999999998</v>
      </c>
      <c r="P423" s="53">
        <v>1.38E-2</v>
      </c>
      <c r="Q423" s="53">
        <v>555.56200000000001</v>
      </c>
      <c r="R423" s="53">
        <v>362.43799999999999</v>
      </c>
      <c r="S423" s="53">
        <v>557.44600000000003</v>
      </c>
      <c r="T423" s="53">
        <v>345.66500000000002</v>
      </c>
      <c r="U423" s="53">
        <v>584.774</v>
      </c>
      <c r="V423" s="53">
        <v>367.90300000000002</v>
      </c>
      <c r="W423" s="53">
        <v>587.22400000000005</v>
      </c>
      <c r="X423" s="53">
        <v>347.738</v>
      </c>
      <c r="Y423" s="53">
        <v>571.01599999999996</v>
      </c>
      <c r="Z423" s="53">
        <v>356.40699999999998</v>
      </c>
      <c r="AA423" s="53">
        <v>571.95799999999997</v>
      </c>
      <c r="AB423" s="53">
        <v>353.392</v>
      </c>
      <c r="AC423" s="53">
        <v>571.01599999999996</v>
      </c>
      <c r="AD423" s="53">
        <v>358.85700000000003</v>
      </c>
      <c r="AG423" s="14" t="s">
        <v>222</v>
      </c>
      <c r="AH423" s="14" t="s">
        <v>222</v>
      </c>
      <c r="AI423" s="14" t="s">
        <v>222</v>
      </c>
      <c r="AJ423" s="55">
        <v>7.0422451375264298E-5</v>
      </c>
      <c r="AK423" s="55">
        <v>5.7114860427269597E-5</v>
      </c>
      <c r="AL423" s="55">
        <v>4.3568639678042503E-5</v>
      </c>
      <c r="AM423" s="55">
        <v>4.6091292967923599E-5</v>
      </c>
      <c r="AN423" s="51">
        <v>0.70300942821177403</v>
      </c>
    </row>
    <row r="424" spans="1:40" x14ac:dyDescent="0.35">
      <c r="A424" s="53" t="s">
        <v>232</v>
      </c>
      <c r="B424" s="53">
        <v>1</v>
      </c>
      <c r="C424" s="53">
        <v>80</v>
      </c>
      <c r="D424" s="53">
        <v>1473</v>
      </c>
      <c r="E424" s="53">
        <v>32.57</v>
      </c>
      <c r="F424" s="53">
        <v>1.05</v>
      </c>
      <c r="G424" s="53">
        <v>5.51</v>
      </c>
      <c r="H424" s="53">
        <v>17.510000000000002</v>
      </c>
      <c r="I424" s="53">
        <v>1.1599999999999999</v>
      </c>
      <c r="J424" s="53">
        <v>17.28</v>
      </c>
      <c r="K424" s="53">
        <v>2.2100000000000002E-2</v>
      </c>
      <c r="L424" s="53">
        <v>60.054299999999998</v>
      </c>
      <c r="M424" s="53">
        <v>3.7000000000000002E-3</v>
      </c>
      <c r="N424" s="53">
        <v>1.1900000000000001E-2</v>
      </c>
      <c r="O424" s="53">
        <v>66.611900000000006</v>
      </c>
      <c r="P424" s="53">
        <v>1.17E-2</v>
      </c>
      <c r="Q424" s="53">
        <v>422.03500000000003</v>
      </c>
      <c r="R424" s="53">
        <v>343.68200000000002</v>
      </c>
      <c r="S424" s="53">
        <v>423.32799999999997</v>
      </c>
      <c r="T424" s="53">
        <v>326.22199999999998</v>
      </c>
      <c r="U424" s="53">
        <v>449.51799999999997</v>
      </c>
      <c r="V424" s="53">
        <v>347.56200000000001</v>
      </c>
      <c r="W424" s="53">
        <v>451.78100000000001</v>
      </c>
      <c r="X424" s="53">
        <v>330.42599999999999</v>
      </c>
      <c r="Y424" s="53">
        <v>437.58699999999999</v>
      </c>
      <c r="Z424" s="53">
        <v>337.45100000000002</v>
      </c>
      <c r="AA424" s="53">
        <v>437.87799999999999</v>
      </c>
      <c r="AB424" s="53">
        <v>334.62900000000002</v>
      </c>
      <c r="AC424" s="53">
        <v>437.55500000000001</v>
      </c>
      <c r="AD424" s="53">
        <v>340.12599999999998</v>
      </c>
      <c r="AG424" s="14" t="s">
        <v>222</v>
      </c>
      <c r="AH424" s="14" t="s">
        <v>222</v>
      </c>
      <c r="AI424" s="14" t="s">
        <v>222</v>
      </c>
      <c r="AJ424" s="55">
        <v>5.2386913066101903E-5</v>
      </c>
      <c r="AK424" s="55">
        <v>6.07175451404301E-5</v>
      </c>
      <c r="AL424" s="55">
        <v>3.6397897617628898E-5</v>
      </c>
      <c r="AM424" s="55">
        <v>4.1027282900307203E-5</v>
      </c>
      <c r="AN424" s="51">
        <v>0.68454578842998004</v>
      </c>
    </row>
    <row r="425" spans="1:40" x14ac:dyDescent="0.35">
      <c r="A425" s="53" t="s">
        <v>232</v>
      </c>
      <c r="B425" s="53">
        <v>1</v>
      </c>
      <c r="C425" s="53">
        <v>90</v>
      </c>
      <c r="D425" s="53">
        <v>1473</v>
      </c>
      <c r="E425" s="53">
        <v>33.71</v>
      </c>
      <c r="F425" s="53">
        <v>1.03</v>
      </c>
      <c r="G425" s="53">
        <v>4.5199999999999996</v>
      </c>
      <c r="H425" s="53">
        <v>16.239999999999998</v>
      </c>
      <c r="I425" s="53">
        <v>0.93</v>
      </c>
      <c r="J425" s="53">
        <v>15.63</v>
      </c>
      <c r="K425" s="53">
        <v>2.29E-2</v>
      </c>
      <c r="L425" s="53">
        <v>58.799599999999998</v>
      </c>
      <c r="M425" s="53">
        <v>3.0999999999999999E-3</v>
      </c>
      <c r="N425" s="53">
        <v>1.0999999999999999E-2</v>
      </c>
      <c r="O425" s="53">
        <v>53.066499999999998</v>
      </c>
      <c r="P425" s="53">
        <v>1.06E-2</v>
      </c>
      <c r="Q425" s="53">
        <v>260.78800000000001</v>
      </c>
      <c r="R425" s="53">
        <v>319.33699999999999</v>
      </c>
      <c r="S425" s="53">
        <v>262.10599999999999</v>
      </c>
      <c r="T425" s="53">
        <v>303.149</v>
      </c>
      <c r="U425" s="53">
        <v>289.96499999999997</v>
      </c>
      <c r="V425" s="53">
        <v>323.10199999999998</v>
      </c>
      <c r="W425" s="53">
        <v>292.41199999999998</v>
      </c>
      <c r="X425" s="53">
        <v>307.66699999999997</v>
      </c>
      <c r="Y425" s="53">
        <v>275.65899999999999</v>
      </c>
      <c r="Z425" s="53">
        <v>313.50200000000001</v>
      </c>
      <c r="AA425" s="53">
        <v>276.036</v>
      </c>
      <c r="AB425" s="53">
        <v>311.24299999999999</v>
      </c>
      <c r="AC425" s="53">
        <v>275.84699999999998</v>
      </c>
      <c r="AD425" s="53">
        <v>315.76100000000002</v>
      </c>
      <c r="AG425" s="14" t="s">
        <v>222</v>
      </c>
      <c r="AH425" s="14" t="s">
        <v>222</v>
      </c>
      <c r="AI425" s="14" t="s">
        <v>222</v>
      </c>
      <c r="AJ425" s="55">
        <v>5.6298346475527497E-5</v>
      </c>
      <c r="AK425" s="55">
        <v>5.3702839847741301E-5</v>
      </c>
      <c r="AL425" s="55">
        <v>3.7109262723593301E-5</v>
      </c>
      <c r="AM425" s="55">
        <v>4.2023917272617902E-5</v>
      </c>
      <c r="AN425" s="51">
        <v>0.71938478702999198</v>
      </c>
    </row>
    <row r="426" spans="1:40" x14ac:dyDescent="0.35">
      <c r="A426" s="53" t="s">
        <v>233</v>
      </c>
      <c r="B426" s="53">
        <v>1</v>
      </c>
      <c r="C426" s="53">
        <v>40</v>
      </c>
      <c r="D426" s="53">
        <v>700</v>
      </c>
      <c r="E426" s="53">
        <v>29.12</v>
      </c>
      <c r="F426" s="53">
        <v>1</v>
      </c>
      <c r="G426" s="53">
        <v>0.59</v>
      </c>
      <c r="H426" s="53">
        <v>14.74</v>
      </c>
      <c r="I426" s="53">
        <v>1.1399999999999999</v>
      </c>
      <c r="J426" s="53">
        <v>14.33</v>
      </c>
      <c r="K426" s="53">
        <v>4.1599999999999998E-2</v>
      </c>
      <c r="L426" s="53">
        <v>57.1755</v>
      </c>
      <c r="M426" s="53">
        <v>8.0000000000000004E-4</v>
      </c>
      <c r="N426" s="53">
        <v>2.1100000000000001E-2</v>
      </c>
      <c r="O426" s="53">
        <v>65.071700000000007</v>
      </c>
      <c r="P426" s="53">
        <v>2.0500000000000001E-2</v>
      </c>
      <c r="Q426" s="53">
        <v>630.59500000000003</v>
      </c>
      <c r="R426" s="53">
        <v>46.296999999999997</v>
      </c>
      <c r="S426" s="53">
        <v>631.20500000000004</v>
      </c>
      <c r="T426" s="53">
        <v>31.565000000000001</v>
      </c>
      <c r="U426" s="53">
        <v>655.69</v>
      </c>
      <c r="V426" s="53">
        <v>45.686999999999998</v>
      </c>
      <c r="W426" s="53">
        <v>655.58900000000006</v>
      </c>
      <c r="X426" s="53">
        <v>31.361999999999998</v>
      </c>
      <c r="Y426" s="53">
        <v>644.41300000000001</v>
      </c>
      <c r="Z426" s="53">
        <v>38.677</v>
      </c>
      <c r="AA426" s="53">
        <v>644.33799999999997</v>
      </c>
      <c r="AB426" s="53">
        <v>38.484999999999999</v>
      </c>
      <c r="AC426" s="53">
        <v>644.47199999999998</v>
      </c>
      <c r="AD426" s="53">
        <v>39.055999999999997</v>
      </c>
      <c r="AG426" s="14" t="s">
        <v>222</v>
      </c>
      <c r="AH426" s="14" t="s">
        <v>222</v>
      </c>
      <c r="AI426" s="14" t="s">
        <v>222</v>
      </c>
      <c r="AJ426" s="51">
        <v>1.6411736224489901E-4</v>
      </c>
      <c r="AK426" s="51">
        <v>2.0297813877551E-4</v>
      </c>
      <c r="AL426" s="51">
        <v>1.7678359693877599E-4</v>
      </c>
      <c r="AM426" s="51">
        <v>1.74901305102041E-4</v>
      </c>
      <c r="AN426" s="51">
        <v>0.95802019110352699</v>
      </c>
    </row>
    <row r="427" spans="1:40" x14ac:dyDescent="0.35">
      <c r="A427" s="53" t="s">
        <v>233</v>
      </c>
      <c r="B427" s="53">
        <v>1</v>
      </c>
      <c r="C427" s="53">
        <v>50</v>
      </c>
      <c r="D427" s="53">
        <v>700</v>
      </c>
      <c r="E427" s="53">
        <v>30.3</v>
      </c>
      <c r="F427" s="53">
        <v>0.89</v>
      </c>
      <c r="G427" s="53">
        <v>0.47</v>
      </c>
      <c r="H427" s="53">
        <v>14.36</v>
      </c>
      <c r="I427" s="53">
        <v>1.05</v>
      </c>
      <c r="J427" s="53">
        <v>13.91</v>
      </c>
      <c r="K427" s="53">
        <v>4.3299999999999998E-2</v>
      </c>
      <c r="L427" s="53">
        <v>51.260300000000001</v>
      </c>
      <c r="M427" s="53">
        <v>6.9999999999999999E-4</v>
      </c>
      <c r="N427" s="53">
        <v>2.0500000000000001E-2</v>
      </c>
      <c r="O427" s="53">
        <v>60.117600000000003</v>
      </c>
      <c r="P427" s="53">
        <v>1.9900000000000001E-2</v>
      </c>
      <c r="Q427" s="53">
        <v>576.37400000000002</v>
      </c>
      <c r="R427" s="53">
        <v>44.207999999999998</v>
      </c>
      <c r="S427" s="53">
        <v>576.46600000000001</v>
      </c>
      <c r="T427" s="53">
        <v>29.846</v>
      </c>
      <c r="U427" s="53">
        <v>603.05899999999997</v>
      </c>
      <c r="V427" s="53">
        <v>45.040999999999997</v>
      </c>
      <c r="W427" s="53">
        <v>603.70799999999997</v>
      </c>
      <c r="X427" s="53">
        <v>31.143000000000001</v>
      </c>
      <c r="Y427" s="53">
        <v>591.37800000000004</v>
      </c>
      <c r="Z427" s="53">
        <v>37.49</v>
      </c>
      <c r="AA427" s="53">
        <v>591.37800000000004</v>
      </c>
      <c r="AB427" s="53">
        <v>37.271000000000001</v>
      </c>
      <c r="AC427" s="53">
        <v>591.351</v>
      </c>
      <c r="AD427" s="53">
        <v>37.735999999999997</v>
      </c>
      <c r="AG427" s="14" t="s">
        <v>222</v>
      </c>
      <c r="AH427" s="14" t="s">
        <v>222</v>
      </c>
      <c r="AI427" s="14" t="s">
        <v>222</v>
      </c>
      <c r="AJ427" s="51">
        <v>1.7065626224489701E-4</v>
      </c>
      <c r="AK427" s="51">
        <v>2.19254481632653E-4</v>
      </c>
      <c r="AL427" s="51">
        <v>1.8896036836734699E-4</v>
      </c>
      <c r="AM427" s="51">
        <v>1.8666427142857101E-4</v>
      </c>
      <c r="AN427" s="51">
        <v>0.963360578527379</v>
      </c>
    </row>
    <row r="428" spans="1:40" x14ac:dyDescent="0.35">
      <c r="A428" s="53" t="s">
        <v>233</v>
      </c>
      <c r="B428" s="53">
        <v>1</v>
      </c>
      <c r="C428" s="53">
        <v>60</v>
      </c>
      <c r="D428" s="53">
        <v>700</v>
      </c>
      <c r="E428" s="53">
        <v>30.17</v>
      </c>
      <c r="F428" s="53">
        <v>0.95</v>
      </c>
      <c r="G428" s="53">
        <v>0.54</v>
      </c>
      <c r="H428" s="53">
        <v>14.6</v>
      </c>
      <c r="I428" s="53">
        <v>0.95</v>
      </c>
      <c r="J428" s="53">
        <v>13.24</v>
      </c>
      <c r="K428" s="53">
        <v>4.3099999999999999E-2</v>
      </c>
      <c r="L428" s="53">
        <v>54.402299999999997</v>
      </c>
      <c r="M428" s="53">
        <v>8.0000000000000004E-4</v>
      </c>
      <c r="N428" s="53">
        <v>2.0899999999999998E-2</v>
      </c>
      <c r="O428" s="53">
        <v>54.567100000000003</v>
      </c>
      <c r="P428" s="53">
        <v>1.89E-2</v>
      </c>
      <c r="Q428" s="53">
        <v>493.512</v>
      </c>
      <c r="R428" s="53">
        <v>40.24</v>
      </c>
      <c r="S428" s="53">
        <v>493.87400000000002</v>
      </c>
      <c r="T428" s="53">
        <v>25.643000000000001</v>
      </c>
      <c r="U428" s="53">
        <v>520.71199999999999</v>
      </c>
      <c r="V428" s="53">
        <v>40.420999999999999</v>
      </c>
      <c r="W428" s="53">
        <v>520.71199999999999</v>
      </c>
      <c r="X428" s="53">
        <v>27.184000000000001</v>
      </c>
      <c r="Y428" s="53">
        <v>507.88400000000001</v>
      </c>
      <c r="Z428" s="53">
        <v>33.542999999999999</v>
      </c>
      <c r="AA428" s="53">
        <v>507.91699999999997</v>
      </c>
      <c r="AB428" s="53">
        <v>33.283999999999999</v>
      </c>
      <c r="AC428" s="53">
        <v>507.86799999999999</v>
      </c>
      <c r="AD428" s="53">
        <v>33.817999999999998</v>
      </c>
      <c r="AG428" s="14" t="s">
        <v>222</v>
      </c>
      <c r="AH428" s="14" t="s">
        <v>222</v>
      </c>
      <c r="AI428" s="14" t="s">
        <v>222</v>
      </c>
      <c r="AJ428" s="51">
        <v>1.7326962857142799E-4</v>
      </c>
      <c r="AK428" s="51">
        <v>2.1159568367346899E-4</v>
      </c>
      <c r="AL428" s="51">
        <v>1.8089473061224501E-4</v>
      </c>
      <c r="AM428" s="51">
        <v>1.8717234183673401E-4</v>
      </c>
      <c r="AN428" s="51">
        <v>0.95635293890754902</v>
      </c>
    </row>
    <row r="429" spans="1:40" x14ac:dyDescent="0.35">
      <c r="A429" s="53" t="s">
        <v>233</v>
      </c>
      <c r="B429" s="53">
        <v>1</v>
      </c>
      <c r="C429" s="53">
        <v>70</v>
      </c>
      <c r="D429" s="53">
        <v>700</v>
      </c>
      <c r="E429" s="53">
        <v>30.5</v>
      </c>
      <c r="F429" s="53">
        <v>0.91</v>
      </c>
      <c r="G429" s="53">
        <v>0.65</v>
      </c>
      <c r="H429" s="53">
        <v>14.49</v>
      </c>
      <c r="I429" s="53">
        <v>0.95</v>
      </c>
      <c r="J429" s="53">
        <v>12.92</v>
      </c>
      <c r="K429" s="53">
        <v>4.36E-2</v>
      </c>
      <c r="L429" s="53">
        <v>52.048999999999999</v>
      </c>
      <c r="M429" s="53">
        <v>8.9999999999999998E-4</v>
      </c>
      <c r="N429" s="53">
        <v>2.07E-2</v>
      </c>
      <c r="O429" s="53">
        <v>54.340400000000002</v>
      </c>
      <c r="P429" s="53">
        <v>1.8499999999999999E-2</v>
      </c>
      <c r="Q429" s="53">
        <v>438.14699999999999</v>
      </c>
      <c r="R429" s="53">
        <v>37.218000000000004</v>
      </c>
      <c r="S429" s="53">
        <v>438.48399999999998</v>
      </c>
      <c r="T429" s="53">
        <v>22.728000000000002</v>
      </c>
      <c r="U429" s="53">
        <v>465.66699999999997</v>
      </c>
      <c r="V429" s="53">
        <v>37.218000000000004</v>
      </c>
      <c r="W429" s="53">
        <v>465.779</v>
      </c>
      <c r="X429" s="53">
        <v>24.300999999999998</v>
      </c>
      <c r="Y429" s="53">
        <v>453.14</v>
      </c>
      <c r="Z429" s="53">
        <v>30.652000000000001</v>
      </c>
      <c r="AA429" s="53">
        <v>453.14</v>
      </c>
      <c r="AB429" s="53">
        <v>30.381</v>
      </c>
      <c r="AC429" s="53">
        <v>453.18099999999998</v>
      </c>
      <c r="AD429" s="53">
        <v>31.027000000000001</v>
      </c>
      <c r="AG429" s="14" t="s">
        <v>222</v>
      </c>
      <c r="AH429" s="14" t="s">
        <v>222</v>
      </c>
      <c r="AI429" s="14" t="s">
        <v>222</v>
      </c>
      <c r="AJ429" s="51">
        <v>1.65863929591837E-4</v>
      </c>
      <c r="AK429" s="51">
        <v>2.1942431428571401E-4</v>
      </c>
      <c r="AL429" s="51">
        <v>1.73853387755102E-4</v>
      </c>
      <c r="AM429" s="51">
        <v>1.8962729285714299E-4</v>
      </c>
      <c r="AN429" s="51">
        <v>0.94339935460829505</v>
      </c>
    </row>
    <row r="430" spans="1:40" x14ac:dyDescent="0.35">
      <c r="A430" s="53" t="s">
        <v>233</v>
      </c>
      <c r="B430" s="53">
        <v>1</v>
      </c>
      <c r="C430" s="53">
        <v>80</v>
      </c>
      <c r="D430" s="53">
        <v>700</v>
      </c>
      <c r="E430" s="53">
        <v>30.38</v>
      </c>
      <c r="F430" s="53">
        <v>0.88</v>
      </c>
      <c r="G430" s="53">
        <v>0.48</v>
      </c>
      <c r="H430" s="53">
        <v>13.56</v>
      </c>
      <c r="I430" s="53">
        <v>0.85</v>
      </c>
      <c r="J430" s="53">
        <v>12.35</v>
      </c>
      <c r="K430" s="53">
        <v>4.3400000000000001E-2</v>
      </c>
      <c r="L430" s="53">
        <v>50.557000000000002</v>
      </c>
      <c r="M430" s="53">
        <v>6.9999999999999999E-4</v>
      </c>
      <c r="N430" s="53">
        <v>1.9400000000000001E-2</v>
      </c>
      <c r="O430" s="53">
        <v>48.9435</v>
      </c>
      <c r="P430" s="53">
        <v>1.7600000000000001E-2</v>
      </c>
      <c r="Q430" s="53">
        <v>355.30500000000001</v>
      </c>
      <c r="R430" s="53">
        <v>30.745999999999999</v>
      </c>
      <c r="S430" s="53">
        <v>356.04500000000002</v>
      </c>
      <c r="T430" s="53">
        <v>17.21</v>
      </c>
      <c r="U430" s="53">
        <v>383.06400000000002</v>
      </c>
      <c r="V430" s="53">
        <v>32.701999999999998</v>
      </c>
      <c r="W430" s="53">
        <v>383.858</v>
      </c>
      <c r="X430" s="53">
        <v>20.382000000000001</v>
      </c>
      <c r="Y430" s="53">
        <v>369.94799999999998</v>
      </c>
      <c r="Z430" s="53">
        <v>25.402999999999999</v>
      </c>
      <c r="AA430" s="53">
        <v>369.94799999999998</v>
      </c>
      <c r="AB430" s="53">
        <v>25.202999999999999</v>
      </c>
      <c r="AC430" s="53">
        <v>369.875</v>
      </c>
      <c r="AD430" s="53">
        <v>25.677</v>
      </c>
      <c r="AG430" s="14" t="s">
        <v>222</v>
      </c>
      <c r="AH430" s="14" t="s">
        <v>222</v>
      </c>
      <c r="AI430" s="14" t="s">
        <v>222</v>
      </c>
      <c r="AJ430" s="51">
        <v>1.7080053673469399E-4</v>
      </c>
      <c r="AK430" s="51">
        <v>1.98218191836734E-4</v>
      </c>
      <c r="AL430" s="51">
        <v>1.7266254183673501E-4</v>
      </c>
      <c r="AM430" s="51">
        <v>1.8184591122448999E-4</v>
      </c>
      <c r="AN430" s="51">
        <v>0.96067875588218199</v>
      </c>
    </row>
    <row r="431" spans="1:40" x14ac:dyDescent="0.35">
      <c r="A431" s="53" t="s">
        <v>233</v>
      </c>
      <c r="B431" s="53">
        <v>1</v>
      </c>
      <c r="C431" s="53">
        <v>90</v>
      </c>
      <c r="D431" s="53">
        <v>700</v>
      </c>
      <c r="E431" s="53">
        <v>31.91</v>
      </c>
      <c r="F431" s="53">
        <v>0.77</v>
      </c>
      <c r="G431" s="53">
        <v>0.41</v>
      </c>
      <c r="H431" s="53">
        <v>12.8</v>
      </c>
      <c r="I431" s="53">
        <v>0.8</v>
      </c>
      <c r="J431" s="53">
        <v>12.1</v>
      </c>
      <c r="K431" s="53">
        <v>4.5600000000000002E-2</v>
      </c>
      <c r="L431" s="53">
        <v>43.869100000000003</v>
      </c>
      <c r="M431" s="53">
        <v>5.9999999999999995E-4</v>
      </c>
      <c r="N431" s="53">
        <v>1.83E-2</v>
      </c>
      <c r="O431" s="53">
        <v>45.705399999999997</v>
      </c>
      <c r="P431" s="53">
        <v>1.7299999999999999E-2</v>
      </c>
      <c r="Q431" s="53">
        <v>298.51</v>
      </c>
      <c r="R431" s="53">
        <v>22.75</v>
      </c>
      <c r="S431" s="53">
        <v>300.27100000000002</v>
      </c>
      <c r="T431" s="53">
        <v>10.074</v>
      </c>
      <c r="U431" s="53">
        <v>328.91</v>
      </c>
      <c r="V431" s="53">
        <v>27.210999999999999</v>
      </c>
      <c r="W431" s="53">
        <v>329.49700000000001</v>
      </c>
      <c r="X431" s="53">
        <v>15.121</v>
      </c>
      <c r="Y431" s="53">
        <v>315.07499999999999</v>
      </c>
      <c r="Z431" s="53">
        <v>18.942</v>
      </c>
      <c r="AA431" s="53">
        <v>315.10500000000002</v>
      </c>
      <c r="AB431" s="53">
        <v>18.73</v>
      </c>
      <c r="AC431" s="53">
        <v>315.06</v>
      </c>
      <c r="AD431" s="53">
        <v>19.138000000000002</v>
      </c>
      <c r="AG431" s="14" t="s">
        <v>222</v>
      </c>
      <c r="AH431" s="14" t="s">
        <v>222</v>
      </c>
      <c r="AI431" s="14" t="s">
        <v>222</v>
      </c>
      <c r="AJ431" s="51">
        <v>1.75631686734694E-4</v>
      </c>
      <c r="AK431" s="51">
        <v>2.0742046122449001E-4</v>
      </c>
      <c r="AL431" s="51">
        <v>1.87381989795918E-4</v>
      </c>
      <c r="AM431" s="51">
        <v>1.81748018367347E-4</v>
      </c>
      <c r="AN431" s="51">
        <v>0.96365471419467896</v>
      </c>
    </row>
    <row r="432" spans="1:40" x14ac:dyDescent="0.35">
      <c r="A432" s="53" t="s">
        <v>234</v>
      </c>
      <c r="B432" s="53">
        <v>1</v>
      </c>
      <c r="C432" s="53">
        <v>40</v>
      </c>
      <c r="D432" s="53">
        <v>1131</v>
      </c>
      <c r="E432" s="53">
        <v>36.25</v>
      </c>
      <c r="F432" s="53">
        <v>0.78</v>
      </c>
      <c r="G432" s="53">
        <v>0.85</v>
      </c>
      <c r="H432" s="53">
        <v>17.13</v>
      </c>
      <c r="I432" s="53">
        <v>1.35</v>
      </c>
      <c r="J432" s="53">
        <v>15.99</v>
      </c>
      <c r="K432" s="53">
        <v>3.2099999999999997E-2</v>
      </c>
      <c r="L432" s="53">
        <v>44.597200000000001</v>
      </c>
      <c r="M432" s="53">
        <v>6.9999999999999999E-4</v>
      </c>
      <c r="N432" s="53">
        <v>1.5100000000000001E-2</v>
      </c>
      <c r="O432" s="53">
        <v>77.093299999999999</v>
      </c>
      <c r="P432" s="53">
        <v>1.41E-2</v>
      </c>
      <c r="Q432" s="53">
        <v>550.29300000000001</v>
      </c>
      <c r="R432" s="53">
        <v>174.40299999999999</v>
      </c>
      <c r="S432" s="53">
        <v>549.83600000000001</v>
      </c>
      <c r="T432" s="53">
        <v>157.27799999999999</v>
      </c>
      <c r="U432" s="53">
        <v>520.61</v>
      </c>
      <c r="V432" s="53">
        <v>173.946</v>
      </c>
      <c r="W432" s="53">
        <v>517.87</v>
      </c>
      <c r="X432" s="53">
        <v>158.19200000000001</v>
      </c>
      <c r="Y432" s="53">
        <v>529.19600000000003</v>
      </c>
      <c r="Z432" s="53">
        <v>166.673</v>
      </c>
      <c r="AA432" s="53">
        <v>529.16399999999999</v>
      </c>
      <c r="AB432" s="53">
        <v>166.41300000000001</v>
      </c>
      <c r="AC432" s="53">
        <v>529.13099999999997</v>
      </c>
      <c r="AD432" s="53">
        <v>167.25800000000001</v>
      </c>
      <c r="AG432" s="14" t="s">
        <v>226</v>
      </c>
      <c r="AH432" s="14" t="s">
        <v>226</v>
      </c>
      <c r="AI432" s="14" t="s">
        <v>223</v>
      </c>
      <c r="AJ432" s="55">
        <v>6.0661583647406501E-5</v>
      </c>
      <c r="AK432" s="51">
        <v>1.3983912697463399E-4</v>
      </c>
      <c r="AL432" s="55">
        <v>7.9119829716509297E-5</v>
      </c>
      <c r="AM432" s="51">
        <v>1.06755600741424E-4</v>
      </c>
      <c r="AN432" s="51">
        <v>0.92705621781222802</v>
      </c>
    </row>
    <row r="433" spans="1:40" x14ac:dyDescent="0.35">
      <c r="A433" s="53" t="s">
        <v>234</v>
      </c>
      <c r="B433" s="53">
        <v>1</v>
      </c>
      <c r="C433" s="53">
        <v>50</v>
      </c>
      <c r="D433" s="53">
        <v>1131</v>
      </c>
      <c r="E433" s="53">
        <v>44.47</v>
      </c>
      <c r="F433" s="53">
        <v>0.71</v>
      </c>
      <c r="G433" s="53">
        <v>1.89</v>
      </c>
      <c r="H433" s="53">
        <v>16.28</v>
      </c>
      <c r="I433" s="53">
        <v>1.92</v>
      </c>
      <c r="J433" s="53">
        <v>35.94</v>
      </c>
      <c r="K433" s="53">
        <v>3.9300000000000002E-2</v>
      </c>
      <c r="L433" s="53">
        <v>40.956200000000003</v>
      </c>
      <c r="M433" s="53">
        <v>1.6999999999999999E-3</v>
      </c>
      <c r="N433" s="53">
        <v>1.44E-2</v>
      </c>
      <c r="O433" s="53">
        <v>109.7406</v>
      </c>
      <c r="P433" s="53">
        <v>3.1800000000000002E-2</v>
      </c>
      <c r="Q433" s="53">
        <v>681.17700000000002</v>
      </c>
      <c r="R433" s="53">
        <v>174.63</v>
      </c>
      <c r="S433" s="53">
        <v>682.048</v>
      </c>
      <c r="T433" s="53">
        <v>158.37200000000001</v>
      </c>
      <c r="U433" s="53">
        <v>646.33900000000006</v>
      </c>
      <c r="V433" s="53">
        <v>180.001</v>
      </c>
      <c r="W433" s="53">
        <v>648.80600000000004</v>
      </c>
      <c r="X433" s="53">
        <v>144.14599999999999</v>
      </c>
      <c r="Y433" s="53">
        <v>659.83799999999997</v>
      </c>
      <c r="Z433" s="53">
        <v>165.48500000000001</v>
      </c>
      <c r="AA433" s="53">
        <v>659.98400000000004</v>
      </c>
      <c r="AB433" s="53">
        <v>164.46899999999999</v>
      </c>
      <c r="AC433" s="53">
        <v>659.83799999999997</v>
      </c>
      <c r="AD433" s="53">
        <v>166.35599999999999</v>
      </c>
      <c r="AG433" s="14" t="s">
        <v>226</v>
      </c>
      <c r="AH433" s="14" t="s">
        <v>226</v>
      </c>
      <c r="AI433" s="14" t="s">
        <v>223</v>
      </c>
      <c r="AJ433" s="51">
        <v>1.7519126716652401E-4</v>
      </c>
      <c r="AK433" s="51">
        <v>1.3872169218730101E-4</v>
      </c>
      <c r="AL433" s="51">
        <v>1.5747094423610499E-4</v>
      </c>
      <c r="AM433" s="51">
        <v>2.01913182937879E-4</v>
      </c>
      <c r="AN433" s="51">
        <v>1.14485278949221</v>
      </c>
    </row>
    <row r="434" spans="1:40" x14ac:dyDescent="0.35">
      <c r="A434" s="53" t="s">
        <v>234</v>
      </c>
      <c r="B434" s="53">
        <v>1</v>
      </c>
      <c r="C434" s="53">
        <v>60</v>
      </c>
      <c r="D434" s="53">
        <v>1131</v>
      </c>
      <c r="E434" s="53">
        <v>35.85</v>
      </c>
      <c r="F434" s="53">
        <v>0.9</v>
      </c>
      <c r="G434" s="53">
        <v>2.12</v>
      </c>
      <c r="H434" s="53">
        <v>17.22</v>
      </c>
      <c r="I434" s="53">
        <v>1.24</v>
      </c>
      <c r="J434" s="53">
        <v>18.23</v>
      </c>
      <c r="K434" s="53">
        <v>3.1699999999999999E-2</v>
      </c>
      <c r="L434" s="53">
        <v>51.8307</v>
      </c>
      <c r="M434" s="53">
        <v>1.9E-3</v>
      </c>
      <c r="N434" s="53">
        <v>1.52E-2</v>
      </c>
      <c r="O434" s="53">
        <v>70.818100000000001</v>
      </c>
      <c r="P434" s="53">
        <v>1.61E-2</v>
      </c>
      <c r="Q434" s="53">
        <v>773.09199999999998</v>
      </c>
      <c r="R434" s="53">
        <v>181.25899999999999</v>
      </c>
      <c r="S434" s="53">
        <v>774.74400000000003</v>
      </c>
      <c r="T434" s="53">
        <v>164.12100000000001</v>
      </c>
      <c r="U434" s="53">
        <v>742.94399999999996</v>
      </c>
      <c r="V434" s="53">
        <v>177.95500000000001</v>
      </c>
      <c r="W434" s="53">
        <v>744.39</v>
      </c>
      <c r="X434" s="53">
        <v>159.78399999999999</v>
      </c>
      <c r="Y434" s="53">
        <v>756.27300000000002</v>
      </c>
      <c r="Z434" s="53">
        <v>171.09800000000001</v>
      </c>
      <c r="AA434" s="53">
        <v>756.39700000000005</v>
      </c>
      <c r="AB434" s="53">
        <v>170.071</v>
      </c>
      <c r="AC434" s="53">
        <v>756.21100000000001</v>
      </c>
      <c r="AD434" s="53">
        <v>172.18600000000001</v>
      </c>
      <c r="AG434" s="14" t="s">
        <v>226</v>
      </c>
      <c r="AH434" s="14" t="s">
        <v>226</v>
      </c>
      <c r="AI434" s="14" t="s">
        <v>223</v>
      </c>
      <c r="AJ434" s="55">
        <v>9.0796247305851798E-5</v>
      </c>
      <c r="AK434" s="51">
        <v>1.19230493268634E-4</v>
      </c>
      <c r="AL434" s="55">
        <v>8.5117502800663902E-5</v>
      </c>
      <c r="AM434" s="51">
        <v>1.0169839410363499E-4</v>
      </c>
      <c r="AN434" s="51">
        <v>0.88948624538619003</v>
      </c>
    </row>
    <row r="435" spans="1:40" x14ac:dyDescent="0.35">
      <c r="A435" s="53" t="s">
        <v>234</v>
      </c>
      <c r="B435" s="53">
        <v>1</v>
      </c>
      <c r="C435" s="53">
        <v>70</v>
      </c>
      <c r="D435" s="53">
        <v>1131</v>
      </c>
      <c r="E435" s="53">
        <v>34.5</v>
      </c>
      <c r="F435" s="53">
        <v>1.1299999999999999</v>
      </c>
      <c r="G435" s="53">
        <v>2.66</v>
      </c>
      <c r="H435" s="53">
        <v>19.13</v>
      </c>
      <c r="I435" s="53">
        <v>1.1399999999999999</v>
      </c>
      <c r="J435" s="53">
        <v>18.43</v>
      </c>
      <c r="K435" s="53">
        <v>3.0499999999999999E-2</v>
      </c>
      <c r="L435" s="53">
        <v>64.708500000000001</v>
      </c>
      <c r="M435" s="53">
        <v>2.3999999999999998E-3</v>
      </c>
      <c r="N435" s="53">
        <v>1.6899999999999998E-2</v>
      </c>
      <c r="O435" s="53">
        <v>65.468999999999994</v>
      </c>
      <c r="P435" s="53">
        <v>1.6299999999999999E-2</v>
      </c>
      <c r="Q435" s="53">
        <v>893.505</v>
      </c>
      <c r="R435" s="53">
        <v>196.637</v>
      </c>
      <c r="S435" s="53">
        <v>896.68899999999996</v>
      </c>
      <c r="T435" s="53">
        <v>177.774</v>
      </c>
      <c r="U435" s="53">
        <v>864.38599999999997</v>
      </c>
      <c r="V435" s="53">
        <v>192.03899999999999</v>
      </c>
      <c r="W435" s="53">
        <v>867.56899999999996</v>
      </c>
      <c r="X435" s="53">
        <v>173.88399999999999</v>
      </c>
      <c r="Y435" s="53">
        <v>880.18399999999997</v>
      </c>
      <c r="Z435" s="53">
        <v>184.84800000000001</v>
      </c>
      <c r="AA435" s="53">
        <v>880.53700000000003</v>
      </c>
      <c r="AB435" s="53">
        <v>183.55099999999999</v>
      </c>
      <c r="AC435" s="53">
        <v>879.94799999999998</v>
      </c>
      <c r="AD435" s="53">
        <v>186.14400000000001</v>
      </c>
      <c r="AG435" s="14" t="s">
        <v>226</v>
      </c>
      <c r="AH435" s="14" t="s">
        <v>226</v>
      </c>
      <c r="AI435" s="14" t="s">
        <v>223</v>
      </c>
      <c r="AJ435" s="51">
        <v>1.03162829776705E-4</v>
      </c>
      <c r="AK435" s="51">
        <v>1.1289048016629699E-4</v>
      </c>
      <c r="AL435" s="55">
        <v>9.5066446287840194E-5</v>
      </c>
      <c r="AM435" s="55">
        <v>9.0316043093871496E-5</v>
      </c>
      <c r="AN435" s="51">
        <v>0.85804049672101002</v>
      </c>
    </row>
    <row r="436" spans="1:40" x14ac:dyDescent="0.35">
      <c r="A436" s="53" t="s">
        <v>234</v>
      </c>
      <c r="B436" s="53">
        <v>1</v>
      </c>
      <c r="C436" s="53">
        <v>80</v>
      </c>
      <c r="D436" s="53">
        <v>1131</v>
      </c>
      <c r="E436" s="53">
        <v>33.65</v>
      </c>
      <c r="F436" s="53">
        <v>1.27</v>
      </c>
      <c r="G436" s="53">
        <v>2.58</v>
      </c>
      <c r="H436" s="53">
        <v>18.760000000000002</v>
      </c>
      <c r="I436" s="53">
        <v>1.1499999999999999</v>
      </c>
      <c r="J436" s="53">
        <v>19.54</v>
      </c>
      <c r="K436" s="53">
        <v>2.98E-2</v>
      </c>
      <c r="L436" s="53">
        <v>72.794700000000006</v>
      </c>
      <c r="M436" s="53">
        <v>2.3E-3</v>
      </c>
      <c r="N436" s="53">
        <v>1.66E-2</v>
      </c>
      <c r="O436" s="53">
        <v>65.743799999999993</v>
      </c>
      <c r="P436" s="53">
        <v>1.7299999999999999E-2</v>
      </c>
      <c r="Q436" s="53">
        <v>1012.587</v>
      </c>
      <c r="R436" s="53">
        <v>216.953</v>
      </c>
      <c r="S436" s="53">
        <v>1015.953</v>
      </c>
      <c r="T436" s="53">
        <v>198.49799999999999</v>
      </c>
      <c r="U436" s="53">
        <v>985.19500000000005</v>
      </c>
      <c r="V436" s="53">
        <v>212.774</v>
      </c>
      <c r="W436" s="53">
        <v>988.44500000000005</v>
      </c>
      <c r="X436" s="53">
        <v>193.50800000000001</v>
      </c>
      <c r="Y436" s="53">
        <v>1001.677</v>
      </c>
      <c r="Z436" s="53">
        <v>205.92699999999999</v>
      </c>
      <c r="AA436" s="53">
        <v>1001.909</v>
      </c>
      <c r="AB436" s="53">
        <v>204.76599999999999</v>
      </c>
      <c r="AC436" s="53">
        <v>1001.561</v>
      </c>
      <c r="AD436" s="53">
        <v>207.31899999999999</v>
      </c>
      <c r="AG436" s="14" t="s">
        <v>226</v>
      </c>
      <c r="AH436" s="14" t="s">
        <v>226</v>
      </c>
      <c r="AI436" s="14" t="s">
        <v>223</v>
      </c>
      <c r="AJ436" s="51">
        <v>1.15423102330355E-4</v>
      </c>
      <c r="AK436" s="55">
        <v>9.32085820315032E-5</v>
      </c>
      <c r="AL436" s="55">
        <v>8.5140523358670205E-5</v>
      </c>
      <c r="AM436" s="55">
        <v>9.4788577825621296E-5</v>
      </c>
      <c r="AN436" s="51">
        <v>0.86242462037652801</v>
      </c>
    </row>
    <row r="437" spans="1:40" x14ac:dyDescent="0.35">
      <c r="A437" s="53" t="s">
        <v>234</v>
      </c>
      <c r="B437" s="53">
        <v>1</v>
      </c>
      <c r="C437" s="53">
        <v>90</v>
      </c>
      <c r="D437" s="53">
        <v>1131</v>
      </c>
      <c r="E437" s="53">
        <v>31.97</v>
      </c>
      <c r="F437" s="53">
        <v>1.38</v>
      </c>
      <c r="G437" s="53">
        <v>2.5</v>
      </c>
      <c r="H437" s="53">
        <v>18.43</v>
      </c>
      <c r="I437" s="53">
        <v>1.1499999999999999</v>
      </c>
      <c r="J437" s="53">
        <v>18.77</v>
      </c>
      <c r="K437" s="53">
        <v>2.8299999999999999E-2</v>
      </c>
      <c r="L437" s="53">
        <v>78.789500000000004</v>
      </c>
      <c r="M437" s="53">
        <v>2.2000000000000001E-3</v>
      </c>
      <c r="N437" s="53">
        <v>1.6299999999999999E-2</v>
      </c>
      <c r="O437" s="53">
        <v>65.986199999999997</v>
      </c>
      <c r="P437" s="53">
        <v>1.66E-2</v>
      </c>
      <c r="Q437" s="53">
        <v>1124.171</v>
      </c>
      <c r="R437" s="53">
        <v>236.196</v>
      </c>
      <c r="S437" s="53">
        <v>1126.5730000000001</v>
      </c>
      <c r="T437" s="53">
        <v>217.923</v>
      </c>
      <c r="U437" s="53">
        <v>1098.693</v>
      </c>
      <c r="V437" s="53">
        <v>232.43700000000001</v>
      </c>
      <c r="W437" s="53">
        <v>1101.3030000000001</v>
      </c>
      <c r="X437" s="53">
        <v>213.85</v>
      </c>
      <c r="Y437" s="53">
        <v>1114.277</v>
      </c>
      <c r="Z437" s="53">
        <v>225.387</v>
      </c>
      <c r="AA437" s="53">
        <v>1114.4670000000001</v>
      </c>
      <c r="AB437" s="53">
        <v>224.22200000000001</v>
      </c>
      <c r="AC437" s="53">
        <v>1114.123</v>
      </c>
      <c r="AD437" s="53">
        <v>226.69399999999999</v>
      </c>
      <c r="AG437" s="14" t="s">
        <v>226</v>
      </c>
      <c r="AH437" s="14" t="s">
        <v>226</v>
      </c>
      <c r="AI437" s="14" t="s">
        <v>223</v>
      </c>
      <c r="AJ437" s="51">
        <v>1.06030166648295E-4</v>
      </c>
      <c r="AK437" s="55">
        <v>8.0817144988004101E-5</v>
      </c>
      <c r="AL437" s="55">
        <v>7.9865444615650797E-5</v>
      </c>
      <c r="AM437" s="55">
        <v>8.1492270324063994E-5</v>
      </c>
      <c r="AN437" s="51">
        <v>0.86358060775206402</v>
      </c>
    </row>
    <row r="438" spans="1:40" x14ac:dyDescent="0.35">
      <c r="A438" s="53" t="s">
        <v>235</v>
      </c>
      <c r="B438" s="53">
        <v>1</v>
      </c>
      <c r="C438" s="53">
        <v>40</v>
      </c>
      <c r="D438" s="53">
        <v>1601</v>
      </c>
      <c r="E438" s="53">
        <v>61.34</v>
      </c>
      <c r="F438" s="53">
        <v>0.61</v>
      </c>
      <c r="G438" s="53">
        <v>0</v>
      </c>
      <c r="H438" s="53">
        <v>19.05</v>
      </c>
      <c r="I438" s="53">
        <v>0.64</v>
      </c>
      <c r="J438" s="53">
        <v>18.309999999999999</v>
      </c>
      <c r="K438" s="53">
        <v>3.8300000000000001E-2</v>
      </c>
      <c r="L438" s="53">
        <v>34.691600000000001</v>
      </c>
      <c r="M438" s="53">
        <v>0</v>
      </c>
      <c r="N438" s="53">
        <v>1.1900000000000001E-2</v>
      </c>
      <c r="O438" s="53">
        <v>36.7331</v>
      </c>
      <c r="P438" s="53">
        <v>1.14E-2</v>
      </c>
      <c r="Q438" s="53">
        <v>1257.8409999999999</v>
      </c>
      <c r="R438" s="53">
        <v>159.11199999999999</v>
      </c>
      <c r="S438" s="53">
        <v>1257.652</v>
      </c>
      <c r="T438" s="53">
        <v>140.06399999999999</v>
      </c>
      <c r="U438" s="53">
        <v>1316.116</v>
      </c>
      <c r="V438" s="53">
        <v>156.09399999999999</v>
      </c>
      <c r="W438" s="53">
        <v>1315.3620000000001</v>
      </c>
      <c r="X438" s="53">
        <v>137.80099999999999</v>
      </c>
      <c r="Y438" s="53">
        <v>1288.204</v>
      </c>
      <c r="Z438" s="53">
        <v>148.36199999999999</v>
      </c>
      <c r="AA438" s="53">
        <v>1288.204</v>
      </c>
      <c r="AB438" s="53">
        <v>148.36199999999999</v>
      </c>
      <c r="AC438" s="53">
        <v>1288.204</v>
      </c>
      <c r="AD438" s="53">
        <v>148.36199999999999</v>
      </c>
      <c r="AG438" s="14" t="s">
        <v>222</v>
      </c>
      <c r="AH438" s="14" t="s">
        <v>222</v>
      </c>
      <c r="AI438" s="14" t="s">
        <v>222</v>
      </c>
      <c r="AJ438" s="55">
        <v>9.8463656966426297E-5</v>
      </c>
      <c r="AK438" s="51">
        <v>1.13215111495353E-4</v>
      </c>
      <c r="AL438" s="51">
        <v>1.04326721938701E-4</v>
      </c>
      <c r="AM438" s="51">
        <v>1.0690085482956701E-4</v>
      </c>
      <c r="AN438" s="51">
        <v>0.99786850756554402</v>
      </c>
    </row>
    <row r="439" spans="1:40" x14ac:dyDescent="0.35">
      <c r="A439" s="53" t="s">
        <v>235</v>
      </c>
      <c r="B439" s="53">
        <v>1</v>
      </c>
      <c r="C439" s="53">
        <v>50</v>
      </c>
      <c r="D439" s="53">
        <v>1601</v>
      </c>
      <c r="E439" s="53">
        <v>59.02</v>
      </c>
      <c r="F439" s="53">
        <v>0.64</v>
      </c>
      <c r="G439" s="53">
        <v>2.04</v>
      </c>
      <c r="H439" s="53">
        <v>20.170000000000002</v>
      </c>
      <c r="I439" s="53">
        <v>0.71</v>
      </c>
      <c r="J439" s="53">
        <v>19.05</v>
      </c>
      <c r="K439" s="53">
        <v>3.6900000000000002E-2</v>
      </c>
      <c r="L439" s="53">
        <v>36.699800000000003</v>
      </c>
      <c r="M439" s="53">
        <v>1.2999999999999999E-3</v>
      </c>
      <c r="N439" s="53">
        <v>1.26E-2</v>
      </c>
      <c r="O439" s="53">
        <v>40.896799999999999</v>
      </c>
      <c r="P439" s="53">
        <v>1.1900000000000001E-2</v>
      </c>
      <c r="Q439" s="53">
        <v>1084.9939999999999</v>
      </c>
      <c r="R439" s="53">
        <v>154.30199999999999</v>
      </c>
      <c r="S439" s="53">
        <v>1085.748</v>
      </c>
      <c r="T439" s="53">
        <v>134.14699999999999</v>
      </c>
      <c r="U439" s="53">
        <v>1140.752</v>
      </c>
      <c r="V439" s="53">
        <v>156.94</v>
      </c>
      <c r="W439" s="53">
        <v>1141.694</v>
      </c>
      <c r="X439" s="53">
        <v>137.91399999999999</v>
      </c>
      <c r="Y439" s="53">
        <v>1115.722</v>
      </c>
      <c r="Z439" s="53">
        <v>145.94200000000001</v>
      </c>
      <c r="AA439" s="53">
        <v>1115.6869999999999</v>
      </c>
      <c r="AB439" s="53">
        <v>144.92099999999999</v>
      </c>
      <c r="AC439" s="53">
        <v>1115.616</v>
      </c>
      <c r="AD439" s="53">
        <v>146.96199999999999</v>
      </c>
      <c r="AG439" s="14" t="s">
        <v>222</v>
      </c>
      <c r="AH439" s="14" t="s">
        <v>222</v>
      </c>
      <c r="AI439" s="14" t="s">
        <v>222</v>
      </c>
      <c r="AJ439" s="55">
        <v>9.4916648362730797E-5</v>
      </c>
      <c r="AK439" s="51">
        <v>1.1958082881522E-4</v>
      </c>
      <c r="AL439" s="55">
        <v>9.5592299628472494E-5</v>
      </c>
      <c r="AM439" s="55">
        <v>9.5580095162260006E-5</v>
      </c>
      <c r="AN439" s="51">
        <v>0.89125707819925903</v>
      </c>
    </row>
    <row r="440" spans="1:40" x14ac:dyDescent="0.35">
      <c r="A440" s="53" t="s">
        <v>235</v>
      </c>
      <c r="B440" s="53">
        <v>1</v>
      </c>
      <c r="C440" s="53">
        <v>60</v>
      </c>
      <c r="D440" s="53">
        <v>1601</v>
      </c>
      <c r="E440" s="53">
        <v>57.48</v>
      </c>
      <c r="F440" s="53">
        <v>0.68</v>
      </c>
      <c r="G440" s="53">
        <v>2.56</v>
      </c>
      <c r="H440" s="53">
        <v>20.63</v>
      </c>
      <c r="I440" s="53">
        <v>0.72</v>
      </c>
      <c r="J440" s="53">
        <v>18.72</v>
      </c>
      <c r="K440" s="53">
        <v>3.5900000000000001E-2</v>
      </c>
      <c r="L440" s="53">
        <v>39.174700000000001</v>
      </c>
      <c r="M440" s="53">
        <v>1.6000000000000001E-3</v>
      </c>
      <c r="N440" s="53">
        <v>1.29E-2</v>
      </c>
      <c r="O440" s="53">
        <v>40.982399999999998</v>
      </c>
      <c r="P440" s="53">
        <v>1.17E-2</v>
      </c>
      <c r="Q440" s="53">
        <v>921.03599999999994</v>
      </c>
      <c r="R440" s="53">
        <v>150.81399999999999</v>
      </c>
      <c r="S440" s="53">
        <v>920.178</v>
      </c>
      <c r="T440" s="53">
        <v>130.202</v>
      </c>
      <c r="U440" s="53">
        <v>974.62699999999995</v>
      </c>
      <c r="V440" s="53">
        <v>148.75299999999999</v>
      </c>
      <c r="W440" s="53">
        <v>974.62699999999995</v>
      </c>
      <c r="X440" s="53">
        <v>130.03100000000001</v>
      </c>
      <c r="Y440" s="53">
        <v>949.58</v>
      </c>
      <c r="Z440" s="53">
        <v>139.62200000000001</v>
      </c>
      <c r="AA440" s="53">
        <v>949.48900000000003</v>
      </c>
      <c r="AB440" s="53">
        <v>138.28100000000001</v>
      </c>
      <c r="AC440" s="53">
        <v>949.55</v>
      </c>
      <c r="AD440" s="53">
        <v>140.84100000000001</v>
      </c>
      <c r="AG440" s="14" t="s">
        <v>222</v>
      </c>
      <c r="AH440" s="14" t="s">
        <v>222</v>
      </c>
      <c r="AI440" s="14" t="s">
        <v>222</v>
      </c>
      <c r="AJ440" s="55">
        <v>9.1473500127379394E-5</v>
      </c>
      <c r="AK440" s="51">
        <v>1.16641586828345E-4</v>
      </c>
      <c r="AL440" s="55">
        <v>9.2793286402431804E-5</v>
      </c>
      <c r="AM440" s="55">
        <v>8.6787117358334294E-5</v>
      </c>
      <c r="AN440" s="51">
        <v>0.86288988649329001</v>
      </c>
    </row>
    <row r="441" spans="1:40" x14ac:dyDescent="0.35">
      <c r="A441" s="53" t="s">
        <v>235</v>
      </c>
      <c r="B441" s="53">
        <v>1</v>
      </c>
      <c r="C441" s="53">
        <v>70</v>
      </c>
      <c r="D441" s="53">
        <v>1601</v>
      </c>
      <c r="E441" s="53">
        <v>52.14</v>
      </c>
      <c r="F441" s="53">
        <v>0.69</v>
      </c>
      <c r="G441" s="53">
        <v>1.1499999999999999</v>
      </c>
      <c r="H441" s="53">
        <v>19.55</v>
      </c>
      <c r="I441" s="53">
        <v>0.82</v>
      </c>
      <c r="J441" s="53">
        <v>18.97</v>
      </c>
      <c r="K441" s="53">
        <v>3.2599999999999997E-2</v>
      </c>
      <c r="L441" s="53">
        <v>39.787700000000001</v>
      </c>
      <c r="M441" s="53">
        <v>6.9999999999999999E-4</v>
      </c>
      <c r="N441" s="53">
        <v>1.2200000000000001E-2</v>
      </c>
      <c r="O441" s="53">
        <v>47.045200000000001</v>
      </c>
      <c r="P441" s="53">
        <v>1.1900000000000001E-2</v>
      </c>
      <c r="Q441" s="53">
        <v>768.851</v>
      </c>
      <c r="R441" s="53">
        <v>158.124</v>
      </c>
      <c r="S441" s="53">
        <v>766.673</v>
      </c>
      <c r="T441" s="53">
        <v>138.696</v>
      </c>
      <c r="U441" s="53">
        <v>817.08699999999999</v>
      </c>
      <c r="V441" s="53">
        <v>154.27199999999999</v>
      </c>
      <c r="W441" s="53">
        <v>815.74699999999996</v>
      </c>
      <c r="X441" s="53">
        <v>135.346</v>
      </c>
      <c r="Y441" s="53">
        <v>794.68899999999996</v>
      </c>
      <c r="Z441" s="53">
        <v>146.50399999999999</v>
      </c>
      <c r="AA441" s="53">
        <v>794.57100000000003</v>
      </c>
      <c r="AB441" s="53">
        <v>145.93299999999999</v>
      </c>
      <c r="AC441" s="53">
        <v>794.721</v>
      </c>
      <c r="AD441" s="53">
        <v>147.06899999999999</v>
      </c>
      <c r="AG441" s="14" t="s">
        <v>222</v>
      </c>
      <c r="AH441" s="14" t="s">
        <v>222</v>
      </c>
      <c r="AI441" s="14" t="s">
        <v>222</v>
      </c>
      <c r="AJ441" s="55">
        <v>8.0659969311809706E-5</v>
      </c>
      <c r="AK441" s="51">
        <v>1.0285752541451101E-4</v>
      </c>
      <c r="AL441" s="55">
        <v>8.4581298930517E-5</v>
      </c>
      <c r="AM441" s="55">
        <v>8.7509102485524806E-5</v>
      </c>
      <c r="AN441" s="51">
        <v>0.93773294841824195</v>
      </c>
    </row>
    <row r="442" spans="1:40" x14ac:dyDescent="0.35">
      <c r="A442" s="53" t="s">
        <v>235</v>
      </c>
      <c r="B442" s="53">
        <v>1</v>
      </c>
      <c r="C442" s="53">
        <v>80</v>
      </c>
      <c r="D442" s="53">
        <v>1601</v>
      </c>
      <c r="E442" s="53">
        <v>51.25</v>
      </c>
      <c r="F442" s="53">
        <v>0.78</v>
      </c>
      <c r="G442" s="53">
        <v>0.9</v>
      </c>
      <c r="H442" s="53">
        <v>20.260000000000002</v>
      </c>
      <c r="I442" s="53">
        <v>0.86</v>
      </c>
      <c r="J442" s="53">
        <v>20.239999999999998</v>
      </c>
      <c r="K442" s="53">
        <v>3.2000000000000001E-2</v>
      </c>
      <c r="L442" s="53">
        <v>44.621699999999997</v>
      </c>
      <c r="M442" s="53">
        <v>5.9999999999999995E-4</v>
      </c>
      <c r="N442" s="53">
        <v>1.2699999999999999E-2</v>
      </c>
      <c r="O442" s="53">
        <v>49.127600000000001</v>
      </c>
      <c r="P442" s="53">
        <v>1.26E-2</v>
      </c>
      <c r="Q442" s="53">
        <v>627.48900000000003</v>
      </c>
      <c r="R442" s="53">
        <v>170.864</v>
      </c>
      <c r="S442" s="53">
        <v>626.45699999999999</v>
      </c>
      <c r="T442" s="53">
        <v>150.62899999999999</v>
      </c>
      <c r="U442" s="53">
        <v>673.947</v>
      </c>
      <c r="V442" s="53">
        <v>168.179</v>
      </c>
      <c r="W442" s="53">
        <v>673.327</v>
      </c>
      <c r="X442" s="53">
        <v>147.94499999999999</v>
      </c>
      <c r="Y442" s="53">
        <v>651.64700000000005</v>
      </c>
      <c r="Z442" s="53">
        <v>160.333</v>
      </c>
      <c r="AA442" s="53">
        <v>651.45399999999995</v>
      </c>
      <c r="AB442" s="53">
        <v>159.83000000000001</v>
      </c>
      <c r="AC442" s="53">
        <v>651.67200000000003</v>
      </c>
      <c r="AD442" s="53">
        <v>160.702</v>
      </c>
      <c r="AG442" s="14" t="s">
        <v>222</v>
      </c>
      <c r="AH442" s="14" t="s">
        <v>222</v>
      </c>
      <c r="AI442" s="14" t="s">
        <v>222</v>
      </c>
      <c r="AJ442" s="55">
        <v>8.7069582135774606E-5</v>
      </c>
      <c r="AK442" s="55">
        <v>9.7476772598013397E-5</v>
      </c>
      <c r="AL442" s="55">
        <v>7.9427021329969797E-5</v>
      </c>
      <c r="AM442" s="55">
        <v>9.7211029880216399E-5</v>
      </c>
      <c r="AN442" s="51">
        <v>0.95714733279338005</v>
      </c>
    </row>
    <row r="443" spans="1:40" x14ac:dyDescent="0.35">
      <c r="A443" s="53" t="s">
        <v>235</v>
      </c>
      <c r="B443" s="53">
        <v>1</v>
      </c>
      <c r="C443" s="53">
        <v>90</v>
      </c>
      <c r="D443" s="53">
        <v>1601</v>
      </c>
      <c r="E443" s="53">
        <v>48.8</v>
      </c>
      <c r="F443" s="53">
        <v>0.74</v>
      </c>
      <c r="G443" s="53">
        <v>3.44</v>
      </c>
      <c r="H443" s="53">
        <v>18.62</v>
      </c>
      <c r="I443" s="53">
        <v>0.77</v>
      </c>
      <c r="J443" s="53">
        <v>17.559999999999999</v>
      </c>
      <c r="K443" s="53">
        <v>3.0499999999999999E-2</v>
      </c>
      <c r="L443" s="53">
        <v>42.609200000000001</v>
      </c>
      <c r="M443" s="53">
        <v>2.2000000000000001E-3</v>
      </c>
      <c r="N443" s="53">
        <v>1.1599999999999999E-2</v>
      </c>
      <c r="O443" s="53">
        <v>43.900700000000001</v>
      </c>
      <c r="P443" s="53">
        <v>1.0999999999999999E-2</v>
      </c>
      <c r="Q443" s="53">
        <v>489.73500000000001</v>
      </c>
      <c r="R443" s="53">
        <v>174.37299999999999</v>
      </c>
      <c r="S443" s="53">
        <v>488.87400000000002</v>
      </c>
      <c r="T443" s="53">
        <v>155.77600000000001</v>
      </c>
      <c r="U443" s="53">
        <v>535.02499999999998</v>
      </c>
      <c r="V443" s="53">
        <v>173.34</v>
      </c>
      <c r="W443" s="53">
        <v>534.85299999999995</v>
      </c>
      <c r="X443" s="53">
        <v>155.77600000000001</v>
      </c>
      <c r="Y443" s="53">
        <v>513.15499999999997</v>
      </c>
      <c r="Z443" s="53">
        <v>165.07400000000001</v>
      </c>
      <c r="AA443" s="53">
        <v>513.15499999999997</v>
      </c>
      <c r="AB443" s="53">
        <v>163.352</v>
      </c>
      <c r="AC443" s="53">
        <v>513.15499999999997</v>
      </c>
      <c r="AD443" s="53">
        <v>166.797</v>
      </c>
      <c r="AG443" s="14" t="s">
        <v>222</v>
      </c>
      <c r="AH443" s="14" t="s">
        <v>222</v>
      </c>
      <c r="AI443" s="14" t="s">
        <v>222</v>
      </c>
      <c r="AJ443" s="55">
        <v>7.4653319813779698E-5</v>
      </c>
      <c r="AK443" s="55">
        <v>8.6522317016886005E-5</v>
      </c>
      <c r="AL443" s="55">
        <v>6.2212089492786506E-5</v>
      </c>
      <c r="AM443" s="55">
        <v>6.7949588034648694E-5</v>
      </c>
      <c r="AN443" s="51">
        <v>0.80757662936480701</v>
      </c>
    </row>
    <row r="444" spans="1:40" x14ac:dyDescent="0.35">
      <c r="A444" s="53" t="s">
        <v>236</v>
      </c>
      <c r="B444" s="53">
        <v>1</v>
      </c>
      <c r="C444" s="53">
        <v>30</v>
      </c>
      <c r="D444" s="53">
        <v>1816</v>
      </c>
      <c r="E444" s="53">
        <v>46.45</v>
      </c>
      <c r="F444" s="53">
        <v>1.1000000000000001</v>
      </c>
      <c r="G444" s="53">
        <v>2.81</v>
      </c>
      <c r="H444" s="53">
        <v>25.68</v>
      </c>
      <c r="I444" s="53">
        <v>1.21</v>
      </c>
      <c r="J444" s="53">
        <v>25.21</v>
      </c>
      <c r="K444" s="53">
        <v>2.5600000000000001E-2</v>
      </c>
      <c r="L444" s="53">
        <v>62.937199999999997</v>
      </c>
      <c r="M444" s="53">
        <v>1.5E-3</v>
      </c>
      <c r="N444" s="53">
        <v>1.41E-2</v>
      </c>
      <c r="O444" s="53">
        <v>69.122100000000003</v>
      </c>
      <c r="P444" s="53">
        <v>1.3899999999999999E-2</v>
      </c>
      <c r="Q444" s="53">
        <v>1444.1089999999999</v>
      </c>
      <c r="R444" s="53">
        <v>459.13099999999997</v>
      </c>
      <c r="S444" s="53">
        <v>1444.829</v>
      </c>
      <c r="T444" s="53">
        <v>433.46100000000001</v>
      </c>
      <c r="U444" s="53">
        <v>1483.2139999999999</v>
      </c>
      <c r="V444" s="53">
        <v>460.81099999999998</v>
      </c>
      <c r="W444" s="53">
        <v>1484.174</v>
      </c>
      <c r="X444" s="53">
        <v>435.62099999999998</v>
      </c>
      <c r="Y444" s="53">
        <v>1465.413</v>
      </c>
      <c r="Z444" s="53">
        <v>447.44400000000002</v>
      </c>
      <c r="AA444" s="53">
        <v>1465.4480000000001</v>
      </c>
      <c r="AB444" s="53">
        <v>446.00700000000001</v>
      </c>
      <c r="AC444" s="53">
        <v>1465.3789999999999</v>
      </c>
      <c r="AD444" s="53">
        <v>448.81299999999999</v>
      </c>
      <c r="AG444" s="14" t="s">
        <v>222</v>
      </c>
      <c r="AH444" s="14" t="s">
        <v>222</v>
      </c>
      <c r="AI444" s="14" t="s">
        <v>222</v>
      </c>
      <c r="AJ444" s="55">
        <v>6.9930207686448202E-5</v>
      </c>
      <c r="AK444" s="55">
        <v>8.1637742824429101E-5</v>
      </c>
      <c r="AL444" s="55">
        <v>6.6591596176424905E-5</v>
      </c>
      <c r="AM444" s="55">
        <v>6.8087468039841706E-5</v>
      </c>
      <c r="AN444" s="51">
        <v>0.88857218008368599</v>
      </c>
    </row>
    <row r="445" spans="1:40" x14ac:dyDescent="0.35">
      <c r="A445" s="53" t="s">
        <v>236</v>
      </c>
      <c r="B445" s="53">
        <v>1</v>
      </c>
      <c r="C445" s="53">
        <v>40</v>
      </c>
      <c r="D445" s="53">
        <v>1816</v>
      </c>
      <c r="E445" s="53">
        <v>49.93</v>
      </c>
      <c r="F445" s="53">
        <v>0.92</v>
      </c>
      <c r="G445" s="53">
        <v>4.08</v>
      </c>
      <c r="H445" s="53">
        <v>23.75</v>
      </c>
      <c r="I445" s="53">
        <v>1.08</v>
      </c>
      <c r="J445" s="53">
        <v>24.07</v>
      </c>
      <c r="K445" s="53">
        <v>2.75E-2</v>
      </c>
      <c r="L445" s="53">
        <v>52.546999999999997</v>
      </c>
      <c r="M445" s="53">
        <v>2.2000000000000001E-3</v>
      </c>
      <c r="N445" s="53">
        <v>1.3100000000000001E-2</v>
      </c>
      <c r="O445" s="53">
        <v>61.837600000000002</v>
      </c>
      <c r="P445" s="53">
        <v>1.3299999999999999E-2</v>
      </c>
      <c r="Q445" s="53">
        <v>1261.846</v>
      </c>
      <c r="R445" s="53">
        <v>449.71800000000002</v>
      </c>
      <c r="S445" s="53">
        <v>1263.3</v>
      </c>
      <c r="T445" s="53">
        <v>426.017</v>
      </c>
      <c r="U445" s="53">
        <v>1305.614</v>
      </c>
      <c r="V445" s="53">
        <v>453.49900000000002</v>
      </c>
      <c r="W445" s="53">
        <v>1307.5039999999999</v>
      </c>
      <c r="X445" s="53">
        <v>429.50599999999997</v>
      </c>
      <c r="Y445" s="53">
        <v>1286.5650000000001</v>
      </c>
      <c r="Z445" s="53">
        <v>439.54</v>
      </c>
      <c r="AA445" s="53">
        <v>1286.711</v>
      </c>
      <c r="AB445" s="53">
        <v>437.50400000000002</v>
      </c>
      <c r="AC445" s="53">
        <v>1286.42</v>
      </c>
      <c r="AD445" s="53">
        <v>441.57499999999999</v>
      </c>
      <c r="AG445" s="14" t="s">
        <v>222</v>
      </c>
      <c r="AH445" s="14" t="s">
        <v>222</v>
      </c>
      <c r="AI445" s="14" t="s">
        <v>222</v>
      </c>
      <c r="AJ445" s="55">
        <v>7.3293856220526098E-5</v>
      </c>
      <c r="AK445" s="55">
        <v>8.6581434574463305E-5</v>
      </c>
      <c r="AL445" s="55">
        <v>6.8122610265578898E-5</v>
      </c>
      <c r="AM445" s="55">
        <v>6.4601117968765304E-5</v>
      </c>
      <c r="AN445" s="51">
        <v>0.83017036325230498</v>
      </c>
    </row>
    <row r="446" spans="1:40" x14ac:dyDescent="0.35">
      <c r="A446" s="53" t="s">
        <v>236</v>
      </c>
      <c r="B446" s="53">
        <v>1</v>
      </c>
      <c r="C446" s="53">
        <v>50</v>
      </c>
      <c r="D446" s="53">
        <v>1816</v>
      </c>
      <c r="E446" s="53">
        <v>53.77</v>
      </c>
      <c r="F446" s="53">
        <v>0.91</v>
      </c>
      <c r="G446" s="53">
        <v>5.42</v>
      </c>
      <c r="H446" s="53">
        <v>24.07</v>
      </c>
      <c r="I446" s="53">
        <v>1.04</v>
      </c>
      <c r="J446" s="53">
        <v>25.67</v>
      </c>
      <c r="K446" s="53">
        <v>2.9600000000000001E-2</v>
      </c>
      <c r="L446" s="53">
        <v>51.995899999999999</v>
      </c>
      <c r="M446" s="53">
        <v>3.0000000000000001E-3</v>
      </c>
      <c r="N446" s="53">
        <v>1.3299999999999999E-2</v>
      </c>
      <c r="O446" s="53">
        <v>59.869300000000003</v>
      </c>
      <c r="P446" s="53">
        <v>1.41E-2</v>
      </c>
      <c r="Q446" s="53">
        <v>1076.8109999999999</v>
      </c>
      <c r="R446" s="53">
        <v>413.86399999999998</v>
      </c>
      <c r="S446" s="53">
        <v>1071.4269999999999</v>
      </c>
      <c r="T446" s="53">
        <v>390.40499999999997</v>
      </c>
      <c r="U446" s="53">
        <v>1116.327</v>
      </c>
      <c r="V446" s="53">
        <v>412.03800000000001</v>
      </c>
      <c r="W446" s="53">
        <v>1123.634</v>
      </c>
      <c r="X446" s="53">
        <v>387.42500000000001</v>
      </c>
      <c r="Y446" s="53">
        <v>1098.0640000000001</v>
      </c>
      <c r="Z446" s="53">
        <v>396.18099999999998</v>
      </c>
      <c r="AA446" s="53">
        <v>1098.0999999999999</v>
      </c>
      <c r="AB446" s="53">
        <v>393.66899999999998</v>
      </c>
      <c r="AC446" s="53">
        <v>1098.3119999999999</v>
      </c>
      <c r="AD446" s="53">
        <v>399.08300000000003</v>
      </c>
      <c r="AG446" s="14" t="s">
        <v>222</v>
      </c>
      <c r="AH446" s="14" t="s">
        <v>222</v>
      </c>
      <c r="AI446" s="14" t="s">
        <v>222</v>
      </c>
      <c r="AJ446" s="55">
        <v>8.5718466482465999E-5</v>
      </c>
      <c r="AK446" s="55">
        <v>9.0025064617740106E-5</v>
      </c>
      <c r="AL446" s="55">
        <v>8.2602935058413707E-5</v>
      </c>
      <c r="AM446" s="55">
        <v>3.7886612999475998E-5</v>
      </c>
      <c r="AN446" s="51">
        <v>0.685598766017672</v>
      </c>
    </row>
    <row r="447" spans="1:40" x14ac:dyDescent="0.35">
      <c r="A447" s="53" t="s">
        <v>236</v>
      </c>
      <c r="B447" s="53">
        <v>1</v>
      </c>
      <c r="C447" s="53">
        <v>60</v>
      </c>
      <c r="D447" s="53">
        <v>1816</v>
      </c>
      <c r="E447" s="53">
        <v>56.95</v>
      </c>
      <c r="F447" s="53">
        <v>1.01</v>
      </c>
      <c r="G447" s="53">
        <v>5.0199999999999996</v>
      </c>
      <c r="H447" s="53">
        <v>28.32</v>
      </c>
      <c r="I447" s="53">
        <v>1.08</v>
      </c>
      <c r="J447" s="53">
        <v>28.52</v>
      </c>
      <c r="K447" s="53">
        <v>3.1399999999999997E-2</v>
      </c>
      <c r="L447" s="53">
        <v>58.0884</v>
      </c>
      <c r="M447" s="53">
        <v>2.8E-3</v>
      </c>
      <c r="N447" s="53">
        <v>1.5599999999999999E-2</v>
      </c>
      <c r="O447" s="53">
        <v>61.9206</v>
      </c>
      <c r="P447" s="53">
        <v>1.5699999999999999E-2</v>
      </c>
      <c r="Q447" s="53">
        <v>874.90800000000002</v>
      </c>
      <c r="R447" s="53">
        <v>406.21300000000002</v>
      </c>
      <c r="S447" s="53">
        <v>879.87300000000005</v>
      </c>
      <c r="T447" s="53">
        <v>378.33300000000003</v>
      </c>
      <c r="U447" s="53">
        <v>924.17399999999998</v>
      </c>
      <c r="V447" s="53">
        <v>413.851</v>
      </c>
      <c r="W447" s="53">
        <v>927.99300000000005</v>
      </c>
      <c r="X447" s="53">
        <v>385.59</v>
      </c>
      <c r="Y447" s="53">
        <v>902.596</v>
      </c>
      <c r="Z447" s="53">
        <v>396.09199999999998</v>
      </c>
      <c r="AA447" s="53">
        <v>902.97799999999995</v>
      </c>
      <c r="AB447" s="53">
        <v>393.61</v>
      </c>
      <c r="AC447" s="53">
        <v>902.21400000000006</v>
      </c>
      <c r="AD447" s="53">
        <v>398.57499999999999</v>
      </c>
      <c r="AG447" s="14" t="s">
        <v>222</v>
      </c>
      <c r="AH447" s="14" t="s">
        <v>222</v>
      </c>
      <c r="AI447" s="14" t="s">
        <v>222</v>
      </c>
      <c r="AJ447" s="51">
        <v>1.02739094581449E-4</v>
      </c>
      <c r="AK447" s="51">
        <v>1.0941816061707999E-4</v>
      </c>
      <c r="AL447" s="55">
        <v>8.8672297395641405E-5</v>
      </c>
      <c r="AM447" s="55">
        <v>8.6034116559364804E-5</v>
      </c>
      <c r="AN447" s="51">
        <v>0.82347602862566405</v>
      </c>
    </row>
    <row r="448" spans="1:40" x14ac:dyDescent="0.35">
      <c r="A448" s="53" t="s">
        <v>236</v>
      </c>
      <c r="B448" s="53">
        <v>1</v>
      </c>
      <c r="C448" s="53">
        <v>70</v>
      </c>
      <c r="D448" s="53">
        <v>1816</v>
      </c>
      <c r="E448" s="53">
        <v>56.53</v>
      </c>
      <c r="F448" s="53">
        <v>1.02</v>
      </c>
      <c r="G448" s="53">
        <v>5.25</v>
      </c>
      <c r="H448" s="53">
        <v>28.12</v>
      </c>
      <c r="I448" s="53">
        <v>1.05</v>
      </c>
      <c r="J448" s="53">
        <v>27.58</v>
      </c>
      <c r="K448" s="53">
        <v>3.1099999999999999E-2</v>
      </c>
      <c r="L448" s="53">
        <v>58.162300000000002</v>
      </c>
      <c r="M448" s="53">
        <v>2.8999999999999998E-3</v>
      </c>
      <c r="N448" s="53">
        <v>1.55E-2</v>
      </c>
      <c r="O448" s="53">
        <v>60.430700000000002</v>
      </c>
      <c r="P448" s="53">
        <v>1.52E-2</v>
      </c>
      <c r="Q448" s="53">
        <v>722.06799999999998</v>
      </c>
      <c r="R448" s="53">
        <v>385.49700000000001</v>
      </c>
      <c r="S448" s="53">
        <v>726.35799999999995</v>
      </c>
      <c r="T448" s="53">
        <v>357.70499999999998</v>
      </c>
      <c r="U448" s="53">
        <v>771.30899999999997</v>
      </c>
      <c r="V448" s="53">
        <v>391.279</v>
      </c>
      <c r="W448" s="53">
        <v>774.29399999999998</v>
      </c>
      <c r="X448" s="53">
        <v>363.86</v>
      </c>
      <c r="Y448" s="53">
        <v>749.3</v>
      </c>
      <c r="Z448" s="53">
        <v>374.678</v>
      </c>
      <c r="AA448" s="53">
        <v>749.85900000000004</v>
      </c>
      <c r="AB448" s="53">
        <v>371.88099999999997</v>
      </c>
      <c r="AC448" s="53">
        <v>749.3</v>
      </c>
      <c r="AD448" s="53">
        <v>377.10300000000001</v>
      </c>
      <c r="AG448" s="14" t="s">
        <v>222</v>
      </c>
      <c r="AH448" s="14" t="s">
        <v>222</v>
      </c>
      <c r="AI448" s="14" t="s">
        <v>222</v>
      </c>
      <c r="AJ448" s="55">
        <v>9.9006560019600606E-5</v>
      </c>
      <c r="AK448" s="51">
        <v>1.07709104642531E-4</v>
      </c>
      <c r="AL448" s="55">
        <v>8.65387054498437E-5</v>
      </c>
      <c r="AM448" s="55">
        <v>8.1096943135176101E-5</v>
      </c>
      <c r="AN448" s="51">
        <v>0.81094796980680195</v>
      </c>
    </row>
    <row r="449" spans="1:40" x14ac:dyDescent="0.35">
      <c r="A449" s="53" t="s">
        <v>236</v>
      </c>
      <c r="B449" s="53">
        <v>1</v>
      </c>
      <c r="C449" s="53">
        <v>80</v>
      </c>
      <c r="D449" s="53">
        <v>1816</v>
      </c>
      <c r="E449" s="53">
        <v>57.05</v>
      </c>
      <c r="F449" s="53">
        <v>0.91</v>
      </c>
      <c r="G449" s="53">
        <v>3.85</v>
      </c>
      <c r="H449" s="53">
        <v>26.98</v>
      </c>
      <c r="I449" s="53">
        <v>1.1000000000000001</v>
      </c>
      <c r="J449" s="53">
        <v>27.67</v>
      </c>
      <c r="K449" s="53">
        <v>3.1399999999999997E-2</v>
      </c>
      <c r="L449" s="53">
        <v>52.059100000000001</v>
      </c>
      <c r="M449" s="53">
        <v>2.0999999999999999E-3</v>
      </c>
      <c r="N449" s="53">
        <v>1.49E-2</v>
      </c>
      <c r="O449" s="53">
        <v>63.223799999999997</v>
      </c>
      <c r="P449" s="53">
        <v>1.52E-2</v>
      </c>
      <c r="Q449" s="53">
        <v>512.32799999999997</v>
      </c>
      <c r="R449" s="53">
        <v>342.25099999999998</v>
      </c>
      <c r="S449" s="53">
        <v>518.45100000000002</v>
      </c>
      <c r="T449" s="53">
        <v>315.976</v>
      </c>
      <c r="U449" s="53">
        <v>561.19000000000005</v>
      </c>
      <c r="V449" s="53">
        <v>353.82400000000001</v>
      </c>
      <c r="W449" s="53">
        <v>567.25099999999998</v>
      </c>
      <c r="X449" s="53">
        <v>326.82100000000003</v>
      </c>
      <c r="Y449" s="53">
        <v>542.34500000000003</v>
      </c>
      <c r="Z449" s="53">
        <v>335.13900000000001</v>
      </c>
      <c r="AA449" s="53">
        <v>542.73</v>
      </c>
      <c r="AB449" s="53">
        <v>333.24400000000003</v>
      </c>
      <c r="AC449" s="53">
        <v>542.05600000000004</v>
      </c>
      <c r="AD449" s="53">
        <v>337.03399999999999</v>
      </c>
      <c r="AG449" s="14" t="s">
        <v>222</v>
      </c>
      <c r="AH449" s="14" t="s">
        <v>222</v>
      </c>
      <c r="AI449" s="14" t="s">
        <v>222</v>
      </c>
      <c r="AJ449" s="55">
        <v>9.4322086834597803E-5</v>
      </c>
      <c r="AK449" s="51">
        <v>1.1297489929821101E-4</v>
      </c>
      <c r="AL449" s="55">
        <v>9.0809786418812901E-5</v>
      </c>
      <c r="AM449" s="55">
        <v>8.7840803995080404E-5</v>
      </c>
      <c r="AN449" s="51">
        <v>0.86180987841008705</v>
      </c>
    </row>
    <row r="450" spans="1:40" x14ac:dyDescent="0.35">
      <c r="A450" s="53" t="s">
        <v>236</v>
      </c>
      <c r="B450" s="53">
        <v>1</v>
      </c>
      <c r="C450" s="53">
        <v>90</v>
      </c>
      <c r="D450" s="53">
        <v>1816</v>
      </c>
      <c r="E450" s="53">
        <v>56.12</v>
      </c>
      <c r="F450" s="53">
        <v>0.99</v>
      </c>
      <c r="G450" s="53">
        <v>3.91</v>
      </c>
      <c r="H450" s="53">
        <v>27.2</v>
      </c>
      <c r="I450" s="53">
        <v>1</v>
      </c>
      <c r="J450" s="53">
        <v>26.79</v>
      </c>
      <c r="K450" s="53">
        <v>3.09E-2</v>
      </c>
      <c r="L450" s="53">
        <v>56.950600000000001</v>
      </c>
      <c r="M450" s="53">
        <v>2.2000000000000001E-3</v>
      </c>
      <c r="N450" s="53">
        <v>1.4999999999999999E-2</v>
      </c>
      <c r="O450" s="53">
        <v>57.378599999999999</v>
      </c>
      <c r="P450" s="53">
        <v>1.4800000000000001E-2</v>
      </c>
      <c r="Q450" s="53">
        <v>357.43299999999999</v>
      </c>
      <c r="R450" s="53">
        <v>302.54700000000003</v>
      </c>
      <c r="S450" s="53">
        <v>365.38900000000001</v>
      </c>
      <c r="T450" s="53">
        <v>276.53800000000001</v>
      </c>
      <c r="U450" s="53">
        <v>405.78</v>
      </c>
      <c r="V450" s="53">
        <v>316.31700000000001</v>
      </c>
      <c r="W450" s="53">
        <v>412.20600000000002</v>
      </c>
      <c r="X450" s="53">
        <v>290.30799999999999</v>
      </c>
      <c r="Y450" s="53">
        <v>385.52699999999999</v>
      </c>
      <c r="Z450" s="53">
        <v>296.392</v>
      </c>
      <c r="AA450" s="53">
        <v>385.983</v>
      </c>
      <c r="AB450" s="53">
        <v>294.56700000000001</v>
      </c>
      <c r="AC450" s="53">
        <v>385.19799999999998</v>
      </c>
      <c r="AD450" s="53">
        <v>298.39400000000001</v>
      </c>
      <c r="AG450" s="14" t="s">
        <v>222</v>
      </c>
      <c r="AH450" s="14" t="s">
        <v>222</v>
      </c>
      <c r="AI450" s="14" t="s">
        <v>222</v>
      </c>
      <c r="AJ450" s="55">
        <v>9.92763672822587E-5</v>
      </c>
      <c r="AK450" s="51">
        <v>1.03359222779891E-4</v>
      </c>
      <c r="AL450" s="55">
        <v>8.8407307808467106E-5</v>
      </c>
      <c r="AM450" s="55">
        <v>8.4977074954152094E-5</v>
      </c>
      <c r="AN450" s="51">
        <v>0.85564625004640704</v>
      </c>
    </row>
    <row r="451" spans="1:40" x14ac:dyDescent="0.35">
      <c r="A451" s="53" t="s">
        <v>237</v>
      </c>
      <c r="B451" s="53">
        <v>1</v>
      </c>
      <c r="C451" s="53">
        <v>40</v>
      </c>
      <c r="D451" s="53">
        <v>1.92</v>
      </c>
      <c r="E451" s="53">
        <v>0.06</v>
      </c>
      <c r="F451" s="53">
        <v>0.83</v>
      </c>
      <c r="G451" s="53">
        <v>0</v>
      </c>
      <c r="H451" s="53">
        <v>0.03</v>
      </c>
      <c r="I451" s="53">
        <v>1.1499999999999999</v>
      </c>
      <c r="J451" s="53">
        <v>0.03</v>
      </c>
      <c r="K451" s="53">
        <v>3.3300000000000003E-2</v>
      </c>
      <c r="L451" s="53">
        <v>47.5351</v>
      </c>
      <c r="M451" s="53">
        <v>1.1999999999999999E-3</v>
      </c>
      <c r="N451" s="53">
        <v>1.5699999999999999E-2</v>
      </c>
      <c r="O451" s="53">
        <v>66.135199999999998</v>
      </c>
      <c r="P451" s="53">
        <v>1.47E-2</v>
      </c>
      <c r="Q451" s="53">
        <v>0.88200000000000001</v>
      </c>
      <c r="R451" s="53">
        <v>-0.25800000000000001</v>
      </c>
      <c r="S451" s="53">
        <v>0.88</v>
      </c>
      <c r="T451" s="53">
        <v>-0.28799999999999998</v>
      </c>
      <c r="U451" s="53">
        <v>0.82699999999999996</v>
      </c>
      <c r="V451" s="53">
        <v>-0.25700000000000001</v>
      </c>
      <c r="W451" s="53">
        <v>0.82399999999999995</v>
      </c>
      <c r="X451" s="53">
        <v>-0.28499999999999998</v>
      </c>
      <c r="Y451" s="53">
        <v>0.84699999999999998</v>
      </c>
      <c r="Z451" s="53">
        <v>-0.27</v>
      </c>
      <c r="AA451" s="53">
        <v>0.84599999999999997</v>
      </c>
      <c r="AB451" s="53">
        <v>-0.27100000000000002</v>
      </c>
      <c r="AC451" s="53">
        <v>0.84699999999999998</v>
      </c>
      <c r="AD451" s="53">
        <v>-0.26900000000000002</v>
      </c>
      <c r="AG451" s="14" t="s">
        <v>226</v>
      </c>
      <c r="AH451" s="14" t="s">
        <v>226</v>
      </c>
      <c r="AI451" s="14" t="s">
        <v>223</v>
      </c>
      <c r="AJ451" s="55">
        <v>8.1244574652777806E-5</v>
      </c>
      <c r="AK451" s="51">
        <v>1.3916015624999999E-4</v>
      </c>
      <c r="AL451" s="55">
        <v>8.6805555555555694E-5</v>
      </c>
      <c r="AM451" s="51">
        <v>1.15288628472222E-4</v>
      </c>
      <c r="AN451" s="51">
        <v>0.91692307692307695</v>
      </c>
    </row>
    <row r="452" spans="1:40" x14ac:dyDescent="0.35">
      <c r="A452" s="53" t="s">
        <v>237</v>
      </c>
      <c r="B452" s="53">
        <v>1</v>
      </c>
      <c r="C452" s="53">
        <v>50</v>
      </c>
      <c r="D452" s="53">
        <v>1.92</v>
      </c>
      <c r="E452" s="53">
        <v>7.0000000000000007E-2</v>
      </c>
      <c r="F452" s="53">
        <v>0.76</v>
      </c>
      <c r="G452" s="53">
        <v>0</v>
      </c>
      <c r="H452" s="53">
        <v>0.03</v>
      </c>
      <c r="I452" s="53">
        <v>1.21</v>
      </c>
      <c r="J452" s="53">
        <v>0.03</v>
      </c>
      <c r="K452" s="53">
        <v>3.5000000000000003E-2</v>
      </c>
      <c r="L452" s="53">
        <v>43.432099999999998</v>
      </c>
      <c r="M452" s="53">
        <v>1.1999999999999999E-3</v>
      </c>
      <c r="N452" s="53">
        <v>1.52E-2</v>
      </c>
      <c r="O452" s="53">
        <v>69.111400000000003</v>
      </c>
      <c r="P452" s="53">
        <v>1.6199999999999999E-2</v>
      </c>
      <c r="Q452" s="53">
        <v>1.1220000000000001</v>
      </c>
      <c r="R452" s="53">
        <v>-0.27200000000000002</v>
      </c>
      <c r="S452" s="53">
        <v>1.119</v>
      </c>
      <c r="T452" s="53">
        <v>-0.30099999999999999</v>
      </c>
      <c r="U452" s="53">
        <v>1.0620000000000001</v>
      </c>
      <c r="V452" s="53">
        <v>-0.26900000000000002</v>
      </c>
      <c r="W452" s="53">
        <v>1.0609999999999999</v>
      </c>
      <c r="X452" s="53">
        <v>-0.3</v>
      </c>
      <c r="Y452" s="53">
        <v>1.0840000000000001</v>
      </c>
      <c r="Z452" s="53">
        <v>-0.28399999999999997</v>
      </c>
      <c r="AA452" s="53">
        <v>1.0840000000000001</v>
      </c>
      <c r="AB452" s="53">
        <v>-0.28499999999999998</v>
      </c>
      <c r="AC452" s="53">
        <v>1.085</v>
      </c>
      <c r="AD452" s="53">
        <v>-0.28299999999999997</v>
      </c>
      <c r="AG452" s="14" t="s">
        <v>226</v>
      </c>
      <c r="AH452" s="14" t="s">
        <v>226</v>
      </c>
      <c r="AI452" s="14" t="s">
        <v>223</v>
      </c>
      <c r="AJ452" s="55">
        <v>9.4536675347222404E-5</v>
      </c>
      <c r="AK452" s="51">
        <v>1.44585503472222E-4</v>
      </c>
      <c r="AL452" s="51">
        <v>1.04573567708333E-4</v>
      </c>
      <c r="AM452" s="51">
        <v>1.21120876736111E-4</v>
      </c>
      <c r="AN452" s="51">
        <v>0.94384571752694302</v>
      </c>
    </row>
    <row r="453" spans="1:40" x14ac:dyDescent="0.35">
      <c r="A453" s="53" t="s">
        <v>237</v>
      </c>
      <c r="B453" s="53">
        <v>1</v>
      </c>
      <c r="C453" s="53">
        <v>60</v>
      </c>
      <c r="D453" s="53">
        <v>1.92</v>
      </c>
      <c r="E453" s="53">
        <v>0.06</v>
      </c>
      <c r="F453" s="53">
        <v>0.83</v>
      </c>
      <c r="G453" s="53">
        <v>0</v>
      </c>
      <c r="H453" s="53">
        <v>0.03</v>
      </c>
      <c r="I453" s="53">
        <v>1.19</v>
      </c>
      <c r="J453" s="53">
        <v>0.03</v>
      </c>
      <c r="K453" s="53">
        <v>3.1300000000000001E-2</v>
      </c>
      <c r="L453" s="53">
        <v>47.419499999999999</v>
      </c>
      <c r="M453" s="53">
        <v>1E-3</v>
      </c>
      <c r="N453" s="53">
        <v>1.5100000000000001E-2</v>
      </c>
      <c r="O453" s="53">
        <v>68.404700000000005</v>
      </c>
      <c r="P453" s="53">
        <v>1.46E-2</v>
      </c>
      <c r="Q453" s="53">
        <v>1.2889999999999999</v>
      </c>
      <c r="R453" s="53">
        <v>-0.28299999999999997</v>
      </c>
      <c r="S453" s="53">
        <v>1.2869999999999999</v>
      </c>
      <c r="T453" s="53">
        <v>-0.312</v>
      </c>
      <c r="U453" s="53">
        <v>1.2350000000000001</v>
      </c>
      <c r="V453" s="53">
        <v>-0.27900000000000003</v>
      </c>
      <c r="W453" s="53">
        <v>1.234</v>
      </c>
      <c r="X453" s="53">
        <v>-0.307</v>
      </c>
      <c r="Y453" s="53">
        <v>1.2549999999999999</v>
      </c>
      <c r="Z453" s="53">
        <v>-0.29499999999999998</v>
      </c>
      <c r="AA453" s="53">
        <v>1.2549999999999999</v>
      </c>
      <c r="AB453" s="53">
        <v>-0.29599999999999999</v>
      </c>
      <c r="AC453" s="53">
        <v>1.2549999999999999</v>
      </c>
      <c r="AD453" s="53">
        <v>-0.29399999999999998</v>
      </c>
      <c r="AG453" s="14" t="s">
        <v>226</v>
      </c>
      <c r="AH453" s="14" t="s">
        <v>226</v>
      </c>
      <c r="AI453" s="14" t="s">
        <v>223</v>
      </c>
      <c r="AJ453" s="55">
        <v>7.8124999999999405E-5</v>
      </c>
      <c r="AK453" s="51">
        <v>1.30479600694445E-4</v>
      </c>
      <c r="AL453" s="55">
        <v>9.9012586805555095E-5</v>
      </c>
      <c r="AM453" s="55">
        <v>9.33159722222222E-5</v>
      </c>
      <c r="AN453" s="51">
        <v>0.92197659297789303</v>
      </c>
    </row>
    <row r="454" spans="1:40" x14ac:dyDescent="0.35">
      <c r="A454" s="53" t="s">
        <v>237</v>
      </c>
      <c r="B454" s="53">
        <v>1</v>
      </c>
      <c r="C454" s="53">
        <v>70</v>
      </c>
      <c r="D454" s="53">
        <v>1.92</v>
      </c>
      <c r="E454" s="53">
        <v>0.06</v>
      </c>
      <c r="F454" s="53">
        <v>1.06</v>
      </c>
      <c r="G454" s="53">
        <v>0</v>
      </c>
      <c r="H454" s="53">
        <v>0.03</v>
      </c>
      <c r="I454" s="53">
        <v>1.32</v>
      </c>
      <c r="J454" s="53">
        <v>0.03</v>
      </c>
      <c r="K454" s="53">
        <v>3.2899999999999999E-2</v>
      </c>
      <c r="L454" s="53">
        <v>60.955199999999998</v>
      </c>
      <c r="M454" s="53">
        <v>5.0000000000000001E-4</v>
      </c>
      <c r="N454" s="53">
        <v>1.78E-2</v>
      </c>
      <c r="O454" s="53">
        <v>75.677300000000002</v>
      </c>
      <c r="P454" s="53">
        <v>1.78E-2</v>
      </c>
      <c r="Q454" s="53">
        <v>1.4970000000000001</v>
      </c>
      <c r="R454" s="53">
        <v>-0.29299999999999998</v>
      </c>
      <c r="S454" s="53">
        <v>1.4930000000000001</v>
      </c>
      <c r="T454" s="53">
        <v>-0.32700000000000001</v>
      </c>
      <c r="U454" s="53">
        <v>1.446</v>
      </c>
      <c r="V454" s="53">
        <v>-0.28999999999999998</v>
      </c>
      <c r="W454" s="53">
        <v>1.4419999999999999</v>
      </c>
      <c r="X454" s="53">
        <v>-0.32400000000000001</v>
      </c>
      <c r="Y454" s="53">
        <v>1.466</v>
      </c>
      <c r="Z454" s="53">
        <v>-0.308</v>
      </c>
      <c r="AA454" s="53">
        <v>1.466</v>
      </c>
      <c r="AB454" s="53">
        <v>-0.309</v>
      </c>
      <c r="AC454" s="53">
        <v>1.466</v>
      </c>
      <c r="AD454" s="53">
        <v>-0.308</v>
      </c>
      <c r="AG454" s="14" t="s">
        <v>226</v>
      </c>
      <c r="AH454" s="14" t="s">
        <v>226</v>
      </c>
      <c r="AI454" s="14" t="s">
        <v>223</v>
      </c>
      <c r="AJ454" s="51">
        <v>1.01996527777778E-4</v>
      </c>
      <c r="AK454" s="51">
        <v>1.34819878472223E-4</v>
      </c>
      <c r="AL454" s="51">
        <v>1.16373697916667E-4</v>
      </c>
      <c r="AM454" s="51">
        <v>1.1352539062500001E-4</v>
      </c>
      <c r="AN454" s="51">
        <v>0.97079037800687296</v>
      </c>
    </row>
    <row r="455" spans="1:40" x14ac:dyDescent="0.35">
      <c r="A455" s="53" t="s">
        <v>237</v>
      </c>
      <c r="B455" s="53">
        <v>1</v>
      </c>
      <c r="C455" s="53">
        <v>80</v>
      </c>
      <c r="D455" s="53">
        <v>1.92</v>
      </c>
      <c r="E455" s="53">
        <v>0.06</v>
      </c>
      <c r="F455" s="53">
        <v>1.08</v>
      </c>
      <c r="G455" s="53">
        <v>0</v>
      </c>
      <c r="H455" s="53">
        <v>0.04</v>
      </c>
      <c r="I455" s="53">
        <v>1.38</v>
      </c>
      <c r="J455" s="53">
        <v>0.03</v>
      </c>
      <c r="K455" s="53">
        <v>3.0599999999999999E-2</v>
      </c>
      <c r="L455" s="53">
        <v>61.9422</v>
      </c>
      <c r="M455" s="53">
        <v>5.0000000000000001E-4</v>
      </c>
      <c r="N455" s="53">
        <v>1.8200000000000001E-2</v>
      </c>
      <c r="O455" s="53">
        <v>79.291200000000003</v>
      </c>
      <c r="P455" s="53">
        <v>1.77E-2</v>
      </c>
      <c r="Q455" s="53">
        <v>1.6479999999999999</v>
      </c>
      <c r="R455" s="53">
        <v>-0.30199999999999999</v>
      </c>
      <c r="S455" s="53">
        <v>1.6479999999999999</v>
      </c>
      <c r="T455" s="53">
        <v>-0.33700000000000002</v>
      </c>
      <c r="U455" s="53">
        <v>1.599</v>
      </c>
      <c r="V455" s="53">
        <v>-0.29899999999999999</v>
      </c>
      <c r="W455" s="53">
        <v>1.5980000000000001</v>
      </c>
      <c r="X455" s="53">
        <v>-0.33300000000000002</v>
      </c>
      <c r="Y455" s="53">
        <v>1.619</v>
      </c>
      <c r="Z455" s="53">
        <v>-0.317</v>
      </c>
      <c r="AA455" s="53">
        <v>1.619</v>
      </c>
      <c r="AB455" s="53">
        <v>-0.318</v>
      </c>
      <c r="AC455" s="53">
        <v>1.619</v>
      </c>
      <c r="AD455" s="53">
        <v>-0.317</v>
      </c>
      <c r="AG455" s="14" t="s">
        <v>226</v>
      </c>
      <c r="AH455" s="14" t="s">
        <v>226</v>
      </c>
      <c r="AI455" s="14" t="s">
        <v>223</v>
      </c>
      <c r="AJ455" s="55">
        <v>9.4672309027777696E-5</v>
      </c>
      <c r="AK455" s="51">
        <v>1.37668185763889E-4</v>
      </c>
      <c r="AL455" s="51">
        <v>1.1149088541666701E-4</v>
      </c>
      <c r="AM455" s="51">
        <v>1.13118489583333E-4</v>
      </c>
      <c r="AN455" s="51">
        <v>0.96672504378283697</v>
      </c>
    </row>
    <row r="456" spans="1:40" x14ac:dyDescent="0.35">
      <c r="A456" s="53" t="s">
        <v>237</v>
      </c>
      <c r="B456" s="53">
        <v>1</v>
      </c>
      <c r="C456" s="53">
        <v>90</v>
      </c>
      <c r="D456" s="53">
        <v>1.92</v>
      </c>
      <c r="E456" s="53">
        <v>0.06</v>
      </c>
      <c r="F456" s="53">
        <v>1.27</v>
      </c>
      <c r="G456" s="53">
        <v>0</v>
      </c>
      <c r="H456" s="53">
        <v>0.04</v>
      </c>
      <c r="I456" s="53">
        <v>1.31</v>
      </c>
      <c r="J456" s="53">
        <v>0.04</v>
      </c>
      <c r="K456" s="53">
        <v>3.15E-2</v>
      </c>
      <c r="L456" s="53">
        <v>72.738200000000006</v>
      </c>
      <c r="M456" s="53">
        <v>5.0000000000000001E-4</v>
      </c>
      <c r="N456" s="53">
        <v>1.8800000000000001E-2</v>
      </c>
      <c r="O456" s="53">
        <v>74.870900000000006</v>
      </c>
      <c r="P456" s="53">
        <v>1.8800000000000001E-2</v>
      </c>
      <c r="Q456" s="53">
        <v>1.849</v>
      </c>
      <c r="R456" s="53">
        <v>-0.31</v>
      </c>
      <c r="S456" s="53">
        <v>1.8460000000000001</v>
      </c>
      <c r="T456" s="53">
        <v>-0.34599999999999997</v>
      </c>
      <c r="U456" s="53">
        <v>1.8</v>
      </c>
      <c r="V456" s="53">
        <v>-0.308</v>
      </c>
      <c r="W456" s="53">
        <v>1.7989999999999999</v>
      </c>
      <c r="X456" s="53">
        <v>-0.34399999999999997</v>
      </c>
      <c r="Y456" s="53">
        <v>1.823</v>
      </c>
      <c r="Z456" s="53">
        <v>-0.32700000000000001</v>
      </c>
      <c r="AA456" s="53">
        <v>1.823</v>
      </c>
      <c r="AB456" s="53">
        <v>-0.32700000000000001</v>
      </c>
      <c r="AC456" s="53">
        <v>1.823</v>
      </c>
      <c r="AD456" s="53">
        <v>-0.32600000000000001</v>
      </c>
      <c r="AG456" s="14" t="s">
        <v>226</v>
      </c>
      <c r="AH456" s="14" t="s">
        <v>226</v>
      </c>
      <c r="AI456" s="14" t="s">
        <v>223</v>
      </c>
      <c r="AJ456" s="51">
        <v>1.14881727430555E-4</v>
      </c>
      <c r="AK456" s="51">
        <v>1.20035807291667E-4</v>
      </c>
      <c r="AL456" s="51">
        <v>1.13389756944444E-4</v>
      </c>
      <c r="AM456" s="51">
        <v>1.14881727430556E-4</v>
      </c>
      <c r="AN456" s="51">
        <v>0.971709006928406</v>
      </c>
    </row>
    <row r="457" spans="1:40" x14ac:dyDescent="0.35">
      <c r="A457" s="40" t="s">
        <v>196</v>
      </c>
      <c r="B457" s="14">
        <v>1</v>
      </c>
      <c r="C457" s="43">
        <v>20</v>
      </c>
      <c r="D457" s="14">
        <v>3230</v>
      </c>
      <c r="E457" s="45">
        <v>55.92</v>
      </c>
      <c r="F457" s="45">
        <v>1.1499999999999999</v>
      </c>
      <c r="G457" s="45">
        <v>6.06</v>
      </c>
      <c r="H457" s="45">
        <v>42.25</v>
      </c>
      <c r="I457" s="46"/>
      <c r="J457" s="46"/>
      <c r="K457" s="45">
        <v>1.7299999999999999E-2</v>
      </c>
      <c r="L457" s="45">
        <v>65.829499999999996</v>
      </c>
      <c r="M457" s="45">
        <v>1.9E-3</v>
      </c>
      <c r="N457" s="45">
        <v>1.3100000000000001E-2</v>
      </c>
      <c r="O457" s="51">
        <v>82.835442470000004</v>
      </c>
      <c r="P457" s="51">
        <v>1.3194726E-2</v>
      </c>
      <c r="Q457" s="40"/>
      <c r="R457" s="40"/>
      <c r="S457" s="40"/>
      <c r="T457" s="40"/>
      <c r="U457" s="40"/>
      <c r="V457" s="40"/>
      <c r="W457" s="40"/>
      <c r="X457" s="40"/>
      <c r="Y457" s="40"/>
      <c r="Z457" s="40"/>
      <c r="AA457" s="40"/>
      <c r="AB457" s="40"/>
      <c r="AC457" s="40"/>
      <c r="AD457" s="40"/>
      <c r="AG457" s="14" t="s">
        <v>224</v>
      </c>
      <c r="AH457" s="14" t="s">
        <v>223</v>
      </c>
      <c r="AI457" s="14" t="s">
        <v>224</v>
      </c>
      <c r="AJ457" s="55">
        <v>4.8399999999999997E-5</v>
      </c>
      <c r="AK457" s="55">
        <v>6.6099999999999994E-5</v>
      </c>
      <c r="AL457" s="55">
        <v>6.0600000000000003E-5</v>
      </c>
      <c r="AM457" s="55">
        <v>3.8600000000000003E-5</v>
      </c>
      <c r="AN457" s="51">
        <v>0.86612040899999998</v>
      </c>
    </row>
    <row r="458" spans="1:40" s="41" customFormat="1" x14ac:dyDescent="0.35">
      <c r="A458" s="51" t="s">
        <v>196</v>
      </c>
      <c r="B458" s="14">
        <v>1</v>
      </c>
      <c r="C458" s="42">
        <v>30</v>
      </c>
      <c r="D458" s="14">
        <v>3230</v>
      </c>
      <c r="E458" s="45">
        <v>58</v>
      </c>
      <c r="F458" s="45">
        <v>1.1200000000000001</v>
      </c>
      <c r="G458" s="45">
        <v>5.83</v>
      </c>
      <c r="H458" s="45">
        <v>41.41</v>
      </c>
      <c r="I458" s="47"/>
      <c r="J458" s="47"/>
      <c r="K458" s="45">
        <v>1.7999999999999999E-2</v>
      </c>
      <c r="L458" s="45">
        <v>63.989600000000003</v>
      </c>
      <c r="M458" s="45">
        <v>1.8E-3</v>
      </c>
      <c r="N458" s="45">
        <v>1.2800000000000001E-2</v>
      </c>
      <c r="O458" s="51">
        <v>79.278582720000003</v>
      </c>
      <c r="P458" s="51">
        <v>1.2818530999999999E-2</v>
      </c>
      <c r="AG458" s="14" t="s">
        <v>224</v>
      </c>
      <c r="AH458" s="14" t="s">
        <v>223</v>
      </c>
      <c r="AI458" s="14" t="s">
        <v>224</v>
      </c>
      <c r="AJ458" s="55">
        <v>4.9299999999999999E-5</v>
      </c>
      <c r="AK458" s="55">
        <v>6.5699999999999998E-5</v>
      </c>
      <c r="AL458" s="55">
        <v>5.5000000000000002E-5</v>
      </c>
      <c r="AM458" s="55">
        <v>4.5099999999999998E-5</v>
      </c>
      <c r="AN458" s="51">
        <v>0.86970662899999995</v>
      </c>
    </row>
    <row r="459" spans="1:40" s="41" customFormat="1" x14ac:dyDescent="0.35">
      <c r="A459" s="51" t="s">
        <v>196</v>
      </c>
      <c r="B459" s="14">
        <v>1</v>
      </c>
      <c r="C459" s="44">
        <v>40</v>
      </c>
      <c r="D459" s="14">
        <v>3230</v>
      </c>
      <c r="E459" s="45">
        <v>56.09</v>
      </c>
      <c r="F459" s="45">
        <v>1.21</v>
      </c>
      <c r="G459" s="45">
        <v>7.93</v>
      </c>
      <c r="H459" s="45">
        <v>41.79</v>
      </c>
      <c r="I459" s="47"/>
      <c r="J459" s="47"/>
      <c r="K459" s="45">
        <v>1.7399999999999999E-2</v>
      </c>
      <c r="L459" s="45">
        <v>69.275300000000001</v>
      </c>
      <c r="M459" s="45">
        <v>2.5000000000000001E-3</v>
      </c>
      <c r="N459" s="45">
        <v>1.29E-2</v>
      </c>
      <c r="O459" s="51">
        <v>77.438079939999994</v>
      </c>
      <c r="P459" s="51">
        <v>1.2942583000000001E-2</v>
      </c>
      <c r="AG459" s="14" t="s">
        <v>224</v>
      </c>
      <c r="AH459" s="14" t="s">
        <v>223</v>
      </c>
      <c r="AI459" s="14" t="s">
        <v>224</v>
      </c>
      <c r="AJ459" s="55">
        <v>5.1499999999999998E-5</v>
      </c>
      <c r="AK459" s="55">
        <v>6.05E-5</v>
      </c>
      <c r="AL459" s="55">
        <v>4.4199999999999997E-5</v>
      </c>
      <c r="AM459" s="55">
        <v>4.6699999999999997E-5</v>
      </c>
      <c r="AN459" s="51">
        <v>0.81170534500000002</v>
      </c>
    </row>
    <row r="460" spans="1:40" s="41" customFormat="1" x14ac:dyDescent="0.35">
      <c r="A460" s="51" t="s">
        <v>196</v>
      </c>
      <c r="B460" s="14">
        <v>1</v>
      </c>
      <c r="C460" s="44">
        <v>50</v>
      </c>
      <c r="D460" s="14">
        <v>3230</v>
      </c>
      <c r="E460" s="45">
        <v>48.79</v>
      </c>
      <c r="F460" s="45">
        <v>1.17</v>
      </c>
      <c r="G460" s="45">
        <v>3.61</v>
      </c>
      <c r="H460" s="45">
        <v>40.85</v>
      </c>
      <c r="I460" s="47"/>
      <c r="J460" s="47"/>
      <c r="K460" s="45">
        <v>1.5100000000000001E-2</v>
      </c>
      <c r="L460" s="45">
        <v>66.7761</v>
      </c>
      <c r="M460" s="45">
        <v>1.1000000000000001E-3</v>
      </c>
      <c r="N460" s="45">
        <v>1.26E-2</v>
      </c>
      <c r="O460" s="51">
        <v>97.967614940000004</v>
      </c>
      <c r="P460" s="51">
        <v>1.2736150999999999E-2</v>
      </c>
      <c r="AG460" s="14" t="s">
        <v>224</v>
      </c>
      <c r="AH460" s="14" t="s">
        <v>223</v>
      </c>
      <c r="AI460" s="14" t="s">
        <v>224</v>
      </c>
      <c r="AJ460" s="55">
        <v>3.5200000000000002E-5</v>
      </c>
      <c r="AK460" s="55">
        <v>6.0600000000000003E-5</v>
      </c>
      <c r="AL460" s="55">
        <v>4.5099999999999998E-5</v>
      </c>
      <c r="AM460" s="55">
        <v>4.2500000000000003E-5</v>
      </c>
      <c r="AN460" s="51">
        <v>0.91358315400000001</v>
      </c>
    </row>
    <row r="461" spans="1:40" s="41" customFormat="1" x14ac:dyDescent="0.35">
      <c r="A461" s="51" t="s">
        <v>196</v>
      </c>
      <c r="B461" s="14">
        <v>1</v>
      </c>
      <c r="C461" s="44">
        <v>60</v>
      </c>
      <c r="D461" s="14">
        <v>3230</v>
      </c>
      <c r="E461" s="45">
        <v>52.95</v>
      </c>
      <c r="F461" s="45">
        <v>1.21</v>
      </c>
      <c r="G461" s="45">
        <v>5.33</v>
      </c>
      <c r="H461" s="45">
        <v>40.74</v>
      </c>
      <c r="I461" s="47"/>
      <c r="J461" s="47"/>
      <c r="K461" s="45">
        <v>1.6400000000000001E-2</v>
      </c>
      <c r="L461" s="45">
        <v>69.424300000000002</v>
      </c>
      <c r="M461" s="45">
        <v>1.6999999999999999E-3</v>
      </c>
      <c r="N461" s="45">
        <v>1.26E-2</v>
      </c>
      <c r="O461" s="51">
        <v>81.092216480000005</v>
      </c>
      <c r="P461" s="51">
        <v>1.2617468999999999E-2</v>
      </c>
      <c r="AG461" s="14" t="s">
        <v>224</v>
      </c>
      <c r="AH461" s="14" t="s">
        <v>223</v>
      </c>
      <c r="AI461" s="14" t="s">
        <v>224</v>
      </c>
      <c r="AJ461" s="55">
        <v>4.6499999999999999E-5</v>
      </c>
      <c r="AK461" s="55">
        <v>5.7000000000000003E-5</v>
      </c>
      <c r="AL461" s="55">
        <v>4.74E-5</v>
      </c>
      <c r="AM461" s="55">
        <v>4.2500000000000003E-5</v>
      </c>
      <c r="AN461" s="51">
        <v>0.86921159999999997</v>
      </c>
    </row>
    <row r="462" spans="1:40" s="41" customFormat="1" x14ac:dyDescent="0.35">
      <c r="A462" s="51" t="s">
        <v>196</v>
      </c>
      <c r="B462" s="14">
        <v>1</v>
      </c>
      <c r="C462" s="44">
        <v>70</v>
      </c>
      <c r="D462" s="14">
        <v>3230</v>
      </c>
      <c r="E462" s="45">
        <v>50.31</v>
      </c>
      <c r="F462" s="45">
        <v>1.1399999999999999</v>
      </c>
      <c r="G462" s="45">
        <v>9.42</v>
      </c>
      <c r="H462" s="45">
        <v>38.11</v>
      </c>
      <c r="I462" s="47"/>
      <c r="J462" s="47"/>
      <c r="K462" s="45">
        <v>1.5599999999999999E-2</v>
      </c>
      <c r="L462" s="45">
        <v>65.436999999999998</v>
      </c>
      <c r="M462" s="45">
        <v>2.8999999999999998E-3</v>
      </c>
      <c r="N462" s="45">
        <v>1.18E-2</v>
      </c>
      <c r="O462" s="51">
        <v>85.007915659999995</v>
      </c>
      <c r="P462" s="51">
        <v>1.180787E-2</v>
      </c>
      <c r="AG462" s="14" t="s">
        <v>224</v>
      </c>
      <c r="AH462" s="14" t="s">
        <v>223</v>
      </c>
      <c r="AI462" s="14" t="s">
        <v>224</v>
      </c>
      <c r="AJ462" s="55">
        <v>3.79E-5</v>
      </c>
      <c r="AK462" s="55">
        <v>5.41E-5</v>
      </c>
      <c r="AL462" s="55">
        <v>3.6300000000000001E-5</v>
      </c>
      <c r="AM462" s="55">
        <v>3.3000000000000003E-5</v>
      </c>
      <c r="AN462" s="51">
        <v>0.75278092799999996</v>
      </c>
    </row>
    <row r="463" spans="1:40" s="41" customFormat="1" x14ac:dyDescent="0.35">
      <c r="A463" s="51" t="s">
        <v>196</v>
      </c>
      <c r="B463" s="14">
        <v>1</v>
      </c>
      <c r="C463" s="44">
        <v>80</v>
      </c>
      <c r="D463" s="14">
        <v>3230</v>
      </c>
      <c r="E463" s="45">
        <v>46.79</v>
      </c>
      <c r="F463" s="45">
        <v>1.04</v>
      </c>
      <c r="G463" s="45">
        <v>5.48</v>
      </c>
      <c r="H463" s="45">
        <v>33.06</v>
      </c>
      <c r="I463" s="47"/>
      <c r="J463" s="47"/>
      <c r="K463" s="45">
        <v>1.4500000000000001E-2</v>
      </c>
      <c r="L463" s="45">
        <v>59.531100000000002</v>
      </c>
      <c r="M463" s="45">
        <v>1.6999999999999999E-3</v>
      </c>
      <c r="N463" s="45">
        <v>1.0200000000000001E-2</v>
      </c>
      <c r="O463" s="51">
        <v>83.675199030000002</v>
      </c>
      <c r="P463" s="51">
        <v>1.0345478E-2</v>
      </c>
      <c r="AG463" s="14" t="s">
        <v>224</v>
      </c>
      <c r="AH463" s="14" t="s">
        <v>223</v>
      </c>
      <c r="AI463" s="14" t="s">
        <v>224</v>
      </c>
      <c r="AJ463" s="55">
        <v>2.9600000000000001E-5</v>
      </c>
      <c r="AK463" s="55">
        <v>4.5500000000000001E-5</v>
      </c>
      <c r="AL463" s="55">
        <v>3.5299999999999997E-5</v>
      </c>
      <c r="AM463" s="55">
        <v>2.73E-5</v>
      </c>
      <c r="AN463" s="51">
        <v>0.83397343400000001</v>
      </c>
    </row>
    <row r="464" spans="1:40" s="41" customFormat="1" x14ac:dyDescent="0.35">
      <c r="A464" s="51" t="s">
        <v>196</v>
      </c>
      <c r="B464" s="14">
        <v>1</v>
      </c>
      <c r="C464" s="44">
        <v>90</v>
      </c>
      <c r="D464" s="14">
        <v>3230</v>
      </c>
      <c r="E464" s="45">
        <v>41.9</v>
      </c>
      <c r="F464" s="45">
        <v>1.08</v>
      </c>
      <c r="G464" s="45">
        <v>4.13</v>
      </c>
      <c r="H464" s="45">
        <v>26.83</v>
      </c>
      <c r="I464" s="47"/>
      <c r="J464" s="47"/>
      <c r="K464" s="45">
        <v>1.2999999999999999E-2</v>
      </c>
      <c r="L464" s="45">
        <v>61.705800000000004</v>
      </c>
      <c r="M464" s="45">
        <v>1.2999999999999999E-3</v>
      </c>
      <c r="N464" s="45">
        <v>8.3000000000000001E-3</v>
      </c>
      <c r="O464" s="51">
        <v>68.696553230000006</v>
      </c>
      <c r="P464" s="51">
        <v>8.3106090000000001E-3</v>
      </c>
      <c r="AG464" s="14" t="s">
        <v>224</v>
      </c>
      <c r="AH464" s="14" t="s">
        <v>223</v>
      </c>
      <c r="AI464" s="14" t="s">
        <v>224</v>
      </c>
      <c r="AJ464" s="55">
        <v>2.51E-5</v>
      </c>
      <c r="AK464" s="55">
        <v>2.87E-5</v>
      </c>
      <c r="AL464" s="55">
        <v>2.2200000000000001E-5</v>
      </c>
      <c r="AM464" s="55">
        <v>2.3300000000000001E-5</v>
      </c>
      <c r="AN464" s="51">
        <v>0.84614861399999997</v>
      </c>
    </row>
    <row r="465" spans="1:40" s="41" customFormat="1" x14ac:dyDescent="0.35">
      <c r="A465" s="51" t="s">
        <v>196</v>
      </c>
      <c r="B465" s="14">
        <v>2</v>
      </c>
      <c r="C465" s="44">
        <v>20</v>
      </c>
      <c r="D465" s="41">
        <v>3803</v>
      </c>
      <c r="E465" s="45">
        <v>68.36</v>
      </c>
      <c r="F465" s="45">
        <v>1.1499999999999999</v>
      </c>
      <c r="G465" s="45">
        <v>8.19</v>
      </c>
      <c r="H465" s="45">
        <v>41.78</v>
      </c>
      <c r="K465" s="45">
        <v>1.7999999999999999E-2</v>
      </c>
      <c r="L465" s="45">
        <v>66.161799999999999</v>
      </c>
      <c r="M465" s="45">
        <v>2.2000000000000001E-3</v>
      </c>
      <c r="N465" s="45">
        <v>1.0999999999999999E-2</v>
      </c>
      <c r="O465" s="51">
        <v>59.748546709999999</v>
      </c>
      <c r="P465" s="51">
        <v>1.0986930000000001E-2</v>
      </c>
      <c r="AG465" s="14" t="s">
        <v>224</v>
      </c>
      <c r="AH465" s="14" t="s">
        <v>223</v>
      </c>
      <c r="AI465" s="14" t="s">
        <v>224</v>
      </c>
      <c r="AJ465" s="55">
        <v>5.2500000000000002E-5</v>
      </c>
      <c r="AK465" s="55">
        <v>4.6300000000000001E-5</v>
      </c>
      <c r="AL465" s="55">
        <v>3.9199999999999997E-5</v>
      </c>
      <c r="AM465" s="55">
        <v>4.0299999999999997E-5</v>
      </c>
      <c r="AN465" s="51">
        <v>0.80445189100000003</v>
      </c>
    </row>
    <row r="466" spans="1:40" s="41" customFormat="1" x14ac:dyDescent="0.35">
      <c r="A466" s="51" t="s">
        <v>196</v>
      </c>
      <c r="B466" s="14">
        <v>2</v>
      </c>
      <c r="C466" s="44">
        <v>30</v>
      </c>
      <c r="D466" s="41">
        <v>3803</v>
      </c>
      <c r="E466" s="45">
        <v>67.069999999999993</v>
      </c>
      <c r="F466" s="45">
        <v>1.17</v>
      </c>
      <c r="G466" s="45">
        <v>8.8000000000000007</v>
      </c>
      <c r="H466" s="45">
        <v>41.9</v>
      </c>
      <c r="K466" s="45">
        <v>1.7600000000000001E-2</v>
      </c>
      <c r="L466" s="45">
        <v>67.248500000000007</v>
      </c>
      <c r="M466" s="45">
        <v>2.3E-3</v>
      </c>
      <c r="N466" s="45">
        <v>1.0999999999999999E-2</v>
      </c>
      <c r="O466" s="51">
        <v>61.002846679999998</v>
      </c>
      <c r="P466" s="51">
        <v>1.1028295E-2</v>
      </c>
      <c r="AG466" s="14" t="s">
        <v>224</v>
      </c>
      <c r="AH466" s="14" t="s">
        <v>223</v>
      </c>
      <c r="AI466" s="14" t="s">
        <v>224</v>
      </c>
      <c r="AJ466" s="55">
        <v>5.1600000000000001E-5</v>
      </c>
      <c r="AK466" s="55">
        <v>4.5599999999999997E-5</v>
      </c>
      <c r="AL466" s="55">
        <v>3.8300000000000003E-5</v>
      </c>
      <c r="AM466" s="55">
        <v>3.8500000000000001E-5</v>
      </c>
      <c r="AN466" s="51">
        <v>0.79095054399999998</v>
      </c>
    </row>
    <row r="467" spans="1:40" s="41" customFormat="1" x14ac:dyDescent="0.35">
      <c r="A467" s="51" t="s">
        <v>196</v>
      </c>
      <c r="B467" s="14">
        <v>2</v>
      </c>
      <c r="C467" s="44">
        <v>40</v>
      </c>
      <c r="D467" s="41">
        <v>3803</v>
      </c>
      <c r="E467" s="45">
        <v>65.66</v>
      </c>
      <c r="F467" s="45">
        <v>1.2</v>
      </c>
      <c r="G467" s="45">
        <v>7.44</v>
      </c>
      <c r="H467" s="45">
        <v>41.42</v>
      </c>
      <c r="K467" s="45">
        <v>1.7299999999999999E-2</v>
      </c>
      <c r="L467" s="45">
        <v>68.591899999999995</v>
      </c>
      <c r="M467" s="45">
        <v>2E-3</v>
      </c>
      <c r="N467" s="45">
        <v>1.09E-2</v>
      </c>
      <c r="O467" s="51">
        <v>60.798000709999997</v>
      </c>
      <c r="P467" s="51">
        <v>1.0894944E-2</v>
      </c>
      <c r="AG467" s="14" t="s">
        <v>224</v>
      </c>
      <c r="AH467" s="14" t="s">
        <v>223</v>
      </c>
      <c r="AI467" s="14" t="s">
        <v>224</v>
      </c>
      <c r="AJ467" s="55">
        <v>5.0599999999999997E-5</v>
      </c>
      <c r="AK467" s="55">
        <v>4.35E-5</v>
      </c>
      <c r="AL467" s="55">
        <v>3.9199999999999997E-5</v>
      </c>
      <c r="AM467" s="55">
        <v>3.79E-5</v>
      </c>
      <c r="AN467" s="51">
        <v>0.82056829099999995</v>
      </c>
    </row>
    <row r="468" spans="1:40" s="41" customFormat="1" x14ac:dyDescent="0.35">
      <c r="A468" s="51" t="s">
        <v>196</v>
      </c>
      <c r="B468" s="14">
        <v>2</v>
      </c>
      <c r="C468" s="44">
        <v>50</v>
      </c>
      <c r="D468" s="41">
        <v>3803</v>
      </c>
      <c r="E468" s="45">
        <v>60.93</v>
      </c>
      <c r="F468" s="45">
        <v>1.24</v>
      </c>
      <c r="G468" s="45">
        <v>5.75</v>
      </c>
      <c r="H468" s="45">
        <v>41.54</v>
      </c>
      <c r="K468" s="45">
        <v>1.6E-2</v>
      </c>
      <c r="L468" s="45">
        <v>70.964399999999998</v>
      </c>
      <c r="M468" s="45">
        <v>1.5E-3</v>
      </c>
      <c r="N468" s="45">
        <v>1.09E-2</v>
      </c>
      <c r="O468" s="51">
        <v>66.30995532</v>
      </c>
      <c r="P468" s="51">
        <v>1.0926207E-2</v>
      </c>
      <c r="AG468" s="14" t="s">
        <v>224</v>
      </c>
      <c r="AH468" s="14" t="s">
        <v>223</v>
      </c>
      <c r="AI468" s="14" t="s">
        <v>224</v>
      </c>
      <c r="AJ468" s="55">
        <v>4.57E-5</v>
      </c>
      <c r="AK468" s="55">
        <v>4.1900000000000002E-5</v>
      </c>
      <c r="AL468" s="55">
        <v>3.6900000000000002E-5</v>
      </c>
      <c r="AM468" s="55">
        <v>3.8699999999999999E-5</v>
      </c>
      <c r="AN468" s="51">
        <v>0.86405885000000004</v>
      </c>
    </row>
    <row r="469" spans="1:40" x14ac:dyDescent="0.35">
      <c r="A469" s="51" t="s">
        <v>196</v>
      </c>
      <c r="B469" s="14">
        <v>2</v>
      </c>
      <c r="C469" s="44">
        <v>60</v>
      </c>
      <c r="D469" s="41">
        <v>3803</v>
      </c>
      <c r="E469" s="45">
        <v>60.49</v>
      </c>
      <c r="F469" s="45">
        <v>1.17</v>
      </c>
      <c r="G469" s="45">
        <v>8.64</v>
      </c>
      <c r="H469" s="45">
        <v>41.15</v>
      </c>
      <c r="K469" s="45">
        <v>1.5900000000000001E-2</v>
      </c>
      <c r="L469" s="45">
        <v>67.225700000000003</v>
      </c>
      <c r="M469" s="45">
        <v>2.3E-3</v>
      </c>
      <c r="N469" s="45">
        <v>1.0800000000000001E-2</v>
      </c>
      <c r="O469" s="51">
        <v>69.223757019999994</v>
      </c>
      <c r="P469" s="51">
        <v>1.0839029E-2</v>
      </c>
      <c r="S469" s="41"/>
      <c r="AG469" s="14" t="s">
        <v>224</v>
      </c>
      <c r="AH469" s="14" t="s">
        <v>223</v>
      </c>
      <c r="AI469" s="14" t="s">
        <v>224</v>
      </c>
      <c r="AJ469" s="55">
        <v>4.1999999999999998E-5</v>
      </c>
      <c r="AK469" s="55">
        <v>4.3999999999999999E-5</v>
      </c>
      <c r="AL469" s="55">
        <v>3.15E-5</v>
      </c>
      <c r="AM469" s="55">
        <v>3.6600000000000002E-5</v>
      </c>
      <c r="AN469" s="51">
        <v>0.79159083399999997</v>
      </c>
    </row>
    <row r="470" spans="1:40" x14ac:dyDescent="0.35">
      <c r="A470" s="51" t="s">
        <v>196</v>
      </c>
      <c r="B470" s="14">
        <v>2</v>
      </c>
      <c r="C470" s="44">
        <v>70</v>
      </c>
      <c r="D470" s="41">
        <v>3803</v>
      </c>
      <c r="E470" s="45">
        <v>55.63</v>
      </c>
      <c r="F470" s="45">
        <v>1.2</v>
      </c>
      <c r="G470" s="45">
        <v>6.1</v>
      </c>
      <c r="H470" s="45">
        <v>38.36</v>
      </c>
      <c r="K470" s="45">
        <v>1.46E-2</v>
      </c>
      <c r="L470" s="45">
        <v>68.651499999999999</v>
      </c>
      <c r="M470" s="45">
        <v>1.6000000000000001E-3</v>
      </c>
      <c r="N470" s="45">
        <v>1.01E-2</v>
      </c>
      <c r="O470" s="51">
        <v>69.553134749999998</v>
      </c>
      <c r="P470" s="51">
        <v>1.0089604E-2</v>
      </c>
      <c r="AG470" s="14" t="s">
        <v>224</v>
      </c>
      <c r="AH470" s="14" t="s">
        <v>223</v>
      </c>
      <c r="AI470" s="14" t="s">
        <v>224</v>
      </c>
      <c r="AJ470" s="55">
        <v>3.6600000000000002E-5</v>
      </c>
      <c r="AK470" s="55">
        <v>3.7100000000000001E-5</v>
      </c>
      <c r="AL470" s="55">
        <v>3.0000000000000001E-5</v>
      </c>
      <c r="AM470" s="55">
        <v>3.2100000000000001E-5</v>
      </c>
      <c r="AN470" s="51">
        <v>0.84160373600000005</v>
      </c>
    </row>
    <row r="471" spans="1:40" x14ac:dyDescent="0.35">
      <c r="A471" s="51" t="s">
        <v>196</v>
      </c>
      <c r="B471" s="14">
        <v>2</v>
      </c>
      <c r="C471" s="44">
        <v>80</v>
      </c>
      <c r="D471" s="41">
        <v>3803</v>
      </c>
      <c r="E471" s="45">
        <v>50.71</v>
      </c>
      <c r="F471" s="45">
        <v>1.19</v>
      </c>
      <c r="G471" s="45">
        <v>5.36</v>
      </c>
      <c r="H471" s="45">
        <v>33.53</v>
      </c>
      <c r="K471" s="45">
        <v>1.3299999999999999E-2</v>
      </c>
      <c r="L471" s="45">
        <v>67.97</v>
      </c>
      <c r="M471" s="45">
        <v>1.4E-3</v>
      </c>
      <c r="N471" s="45">
        <v>8.8000000000000005E-3</v>
      </c>
      <c r="O471" s="51">
        <v>65.329587869999997</v>
      </c>
      <c r="P471" s="51">
        <v>8.8203320000000002E-3</v>
      </c>
      <c r="AG471" s="14" t="s">
        <v>224</v>
      </c>
      <c r="AH471" s="14" t="s">
        <v>223</v>
      </c>
      <c r="AI471" s="14" t="s">
        <v>224</v>
      </c>
      <c r="AJ471" s="55">
        <v>3.0199999999999999E-5</v>
      </c>
      <c r="AK471" s="55">
        <v>2.8600000000000001E-5</v>
      </c>
      <c r="AL471" s="55">
        <v>2.0800000000000001E-5</v>
      </c>
      <c r="AM471" s="55">
        <v>2.87E-5</v>
      </c>
      <c r="AN471" s="51">
        <v>0.84083445099999998</v>
      </c>
    </row>
    <row r="472" spans="1:40" x14ac:dyDescent="0.35">
      <c r="A472" s="51" t="s">
        <v>196</v>
      </c>
      <c r="B472" s="14">
        <v>2</v>
      </c>
      <c r="C472" s="44">
        <v>90</v>
      </c>
      <c r="D472" s="41">
        <v>3803</v>
      </c>
      <c r="E472" s="45">
        <v>49.31</v>
      </c>
      <c r="F472" s="45">
        <v>1.03</v>
      </c>
      <c r="G472" s="45">
        <v>6.07</v>
      </c>
      <c r="H472" s="45">
        <v>30.04</v>
      </c>
      <c r="K472" s="45">
        <v>1.2999999999999999E-2</v>
      </c>
      <c r="L472" s="45">
        <v>58.742699999999999</v>
      </c>
      <c r="M472" s="45">
        <v>1.6000000000000001E-3</v>
      </c>
      <c r="N472" s="45">
        <v>7.9000000000000008E-3</v>
      </c>
      <c r="O472" s="51">
        <v>66.597421960000005</v>
      </c>
      <c r="P472" s="51">
        <v>7.8999329999999996E-3</v>
      </c>
      <c r="AG472" s="14" t="s">
        <v>224</v>
      </c>
      <c r="AH472" s="14" t="s">
        <v>223</v>
      </c>
      <c r="AI472" s="14" t="s">
        <v>224</v>
      </c>
      <c r="AJ472" s="55">
        <v>2.3499999999999999E-5</v>
      </c>
      <c r="AK472" s="55">
        <v>2.7699999999999999E-5</v>
      </c>
      <c r="AL472" s="55">
        <v>1.8700000000000001E-5</v>
      </c>
      <c r="AM472" s="55">
        <v>2.2099999999999998E-5</v>
      </c>
      <c r="AN472" s="51">
        <v>0.79851157800000006</v>
      </c>
    </row>
    <row r="473" spans="1:40" x14ac:dyDescent="0.35">
      <c r="A473" s="51" t="s">
        <v>196</v>
      </c>
      <c r="B473" s="14">
        <v>3</v>
      </c>
      <c r="C473" s="44">
        <v>20</v>
      </c>
      <c r="D473" s="41">
        <v>2887</v>
      </c>
      <c r="E473" s="49">
        <v>61.736805829262138</v>
      </c>
      <c r="F473" s="50">
        <v>1.0381770357530185</v>
      </c>
      <c r="G473" s="50">
        <v>6.9257457360200965</v>
      </c>
      <c r="H473" s="50">
        <v>32.31440429591737</v>
      </c>
      <c r="K473" s="50">
        <v>2.1388119116321543E-2</v>
      </c>
      <c r="L473" s="50">
        <v>59.48316253605033</v>
      </c>
      <c r="M473" s="50">
        <v>2.3993576081829541E-3</v>
      </c>
      <c r="N473" s="50">
        <v>1.1195012747589597E-2</v>
      </c>
      <c r="AG473" s="14" t="s">
        <v>224</v>
      </c>
      <c r="AH473" s="14" t="s">
        <v>223</v>
      </c>
      <c r="AI473" s="14" t="s">
        <v>224</v>
      </c>
    </row>
    <row r="474" spans="1:40" x14ac:dyDescent="0.35">
      <c r="A474" s="51" t="s">
        <v>196</v>
      </c>
      <c r="B474" s="14">
        <v>3</v>
      </c>
      <c r="C474" s="44">
        <v>30</v>
      </c>
      <c r="D474" s="41">
        <v>2887</v>
      </c>
      <c r="E474" s="49">
        <v>62.935121553866892</v>
      </c>
      <c r="F474" s="50">
        <v>0.95460534534213193</v>
      </c>
      <c r="G474" s="50">
        <v>8.1049123992798506</v>
      </c>
      <c r="H474" s="50">
        <v>31.331193098891095</v>
      </c>
      <c r="K474" s="50">
        <v>2.1803264006189812E-2</v>
      </c>
      <c r="L474" s="50">
        <v>54.694857388732601</v>
      </c>
      <c r="M474" s="50">
        <v>2.8078684910028931E-3</v>
      </c>
      <c r="N474" s="50">
        <v>1.0854388740305247E-2</v>
      </c>
      <c r="AG474" s="14" t="s">
        <v>224</v>
      </c>
      <c r="AH474" s="14" t="s">
        <v>223</v>
      </c>
      <c r="AI474" s="14" t="s">
        <v>224</v>
      </c>
    </row>
    <row r="475" spans="1:40" x14ac:dyDescent="0.35">
      <c r="A475" s="51" t="s">
        <v>196</v>
      </c>
      <c r="B475" s="14">
        <v>3</v>
      </c>
      <c r="C475" s="44">
        <v>40</v>
      </c>
      <c r="D475" s="41">
        <v>2887</v>
      </c>
      <c r="E475" s="49">
        <v>60.886429440393314</v>
      </c>
      <c r="F475" s="50">
        <v>1.108359921906765</v>
      </c>
      <c r="G475" s="50">
        <v>8.5350053895706655</v>
      </c>
      <c r="H475" s="50">
        <v>33.44240093055523</v>
      </c>
      <c r="K475" s="50">
        <v>2.1093514443233437E-2</v>
      </c>
      <c r="L475" s="50">
        <v>63.504345706707156</v>
      </c>
      <c r="M475" s="50">
        <v>2.956870046620705E-3</v>
      </c>
      <c r="N475" s="50">
        <v>1.1585796269030047E-2</v>
      </c>
      <c r="AG475" s="14" t="s">
        <v>224</v>
      </c>
      <c r="AH475" s="14" t="s">
        <v>223</v>
      </c>
      <c r="AI475" s="14" t="s">
        <v>224</v>
      </c>
    </row>
    <row r="476" spans="1:40" x14ac:dyDescent="0.35">
      <c r="A476" s="51" t="s">
        <v>196</v>
      </c>
      <c r="B476" s="14">
        <v>3</v>
      </c>
      <c r="C476" s="44">
        <v>50</v>
      </c>
      <c r="D476" s="41">
        <v>2887</v>
      </c>
      <c r="E476" s="49">
        <v>57.010559583291275</v>
      </c>
      <c r="F476" s="50">
        <v>1.1461597739535196</v>
      </c>
      <c r="G476" s="50">
        <v>9.3198942590568006</v>
      </c>
      <c r="H476" s="50">
        <v>32.859723979364155</v>
      </c>
      <c r="K476" s="50">
        <v>1.9750756827746848E-2</v>
      </c>
      <c r="L476" s="50">
        <v>65.670117695205136</v>
      </c>
      <c r="M476" s="50">
        <v>3.2287872021676081E-3</v>
      </c>
      <c r="N476" s="50">
        <v>1.1383933476308386E-2</v>
      </c>
      <c r="AG476" s="14" t="s">
        <v>224</v>
      </c>
      <c r="AH476" s="14" t="s">
        <v>223</v>
      </c>
      <c r="AI476" s="14" t="s">
        <v>224</v>
      </c>
    </row>
    <row r="477" spans="1:40" x14ac:dyDescent="0.35">
      <c r="A477" s="51" t="s">
        <v>196</v>
      </c>
      <c r="B477" s="14">
        <v>3</v>
      </c>
      <c r="C477" s="44">
        <v>60</v>
      </c>
      <c r="D477" s="41">
        <v>2887</v>
      </c>
      <c r="E477" s="49">
        <v>54.66014819775021</v>
      </c>
      <c r="F477" s="50">
        <v>1.093006035413866</v>
      </c>
      <c r="G477" s="50">
        <v>9.1749999999999972</v>
      </c>
      <c r="H477" s="50">
        <v>30.694803468991303</v>
      </c>
      <c r="K477" s="50">
        <v>1.8936479541919352E-2</v>
      </c>
      <c r="L477" s="50">
        <v>62.624632811541112</v>
      </c>
      <c r="M477" s="50">
        <v>3.1785899878745876E-3</v>
      </c>
      <c r="N477" s="50">
        <v>1.0633917709679993E-2</v>
      </c>
      <c r="AG477" s="14" t="s">
        <v>224</v>
      </c>
      <c r="AH477" s="14" t="s">
        <v>223</v>
      </c>
      <c r="AI477" s="14" t="s">
        <v>224</v>
      </c>
    </row>
    <row r="478" spans="1:40" x14ac:dyDescent="0.35">
      <c r="A478" s="51" t="s">
        <v>196</v>
      </c>
      <c r="B478" s="14">
        <v>3</v>
      </c>
      <c r="C478" s="44">
        <v>70</v>
      </c>
      <c r="D478" s="41">
        <v>2887</v>
      </c>
      <c r="E478" s="49">
        <v>52.455040272599085</v>
      </c>
      <c r="F478" s="50">
        <v>1.0471295530884799</v>
      </c>
      <c r="G478" s="50">
        <v>8.8915291148373257</v>
      </c>
      <c r="H478" s="50">
        <v>27.078872446983471</v>
      </c>
      <c r="K478" s="50">
        <v>1.8172541234227988E-2</v>
      </c>
      <c r="L478" s="50">
        <v>59.99610399538998</v>
      </c>
      <c r="M478" s="50">
        <v>3.0803842421054306E-3</v>
      </c>
      <c r="N478" s="50">
        <v>9.3812133888735386E-3</v>
      </c>
      <c r="AG478" s="14" t="s">
        <v>224</v>
      </c>
      <c r="AH478" s="14" t="s">
        <v>223</v>
      </c>
      <c r="AI478" s="14" t="s">
        <v>224</v>
      </c>
    </row>
    <row r="479" spans="1:40" x14ac:dyDescent="0.35">
      <c r="A479" s="51" t="s">
        <v>196</v>
      </c>
      <c r="B479" s="14">
        <v>3</v>
      </c>
      <c r="C479" s="44">
        <v>80</v>
      </c>
      <c r="D479" s="41">
        <v>2887</v>
      </c>
      <c r="E479" s="49">
        <v>46.742719219146863</v>
      </c>
      <c r="F479" s="50">
        <v>1.1042519864865254</v>
      </c>
      <c r="G479" s="50">
        <v>8.4700758556225413</v>
      </c>
      <c r="H479" s="50">
        <v>24.599622476777974</v>
      </c>
      <c r="K479" s="50">
        <v>1.6193562868230336E-2</v>
      </c>
      <c r="L479" s="50">
        <v>63.268978344615121</v>
      </c>
      <c r="M479" s="50">
        <v>2.9343758377351607E-3</v>
      </c>
      <c r="N479" s="50">
        <v>8.5223012218181102E-3</v>
      </c>
      <c r="AG479" s="14" t="s">
        <v>224</v>
      </c>
      <c r="AH479" s="14" t="s">
        <v>223</v>
      </c>
      <c r="AI479" s="14" t="s">
        <v>224</v>
      </c>
    </row>
    <row r="480" spans="1:40" x14ac:dyDescent="0.35">
      <c r="A480" s="51" t="s">
        <v>196</v>
      </c>
      <c r="B480" s="14">
        <v>3</v>
      </c>
      <c r="C480" s="44">
        <v>90</v>
      </c>
      <c r="D480" s="41">
        <v>2887</v>
      </c>
      <c r="E480" s="49">
        <v>42.17433214646087</v>
      </c>
      <c r="F480" s="50">
        <v>1.0255561770860133</v>
      </c>
      <c r="G480" s="50">
        <v>6.8766457666510705</v>
      </c>
      <c r="H480" s="50">
        <v>20.731369395194317</v>
      </c>
      <c r="K480" s="50">
        <v>1.4610889363055905E-2</v>
      </c>
      <c r="L480" s="50">
        <v>58.760040600599837</v>
      </c>
      <c r="M480" s="50">
        <v>2.3823473988051516E-3</v>
      </c>
      <c r="N480" s="50">
        <v>7.182182364522542E-3</v>
      </c>
      <c r="AG480" s="14" t="s">
        <v>224</v>
      </c>
      <c r="AH480" s="14" t="s">
        <v>223</v>
      </c>
      <c r="AI480" s="14" t="s">
        <v>224</v>
      </c>
    </row>
    <row r="481" spans="1:40" x14ac:dyDescent="0.35">
      <c r="A481" s="48" t="s">
        <v>197</v>
      </c>
      <c r="B481" s="14">
        <v>1</v>
      </c>
      <c r="C481" s="44">
        <v>20</v>
      </c>
      <c r="D481" s="41">
        <v>2642</v>
      </c>
      <c r="E481" s="50">
        <v>42.498924692278933</v>
      </c>
      <c r="F481" s="50">
        <v>1.0077081156977878</v>
      </c>
      <c r="G481" s="50">
        <v>7.6398232963858561</v>
      </c>
      <c r="H481" s="50">
        <v>20.966811870191421</v>
      </c>
      <c r="I481" s="47"/>
      <c r="J481" s="47"/>
      <c r="K481" s="50">
        <v>1.6085891253701336E-2</v>
      </c>
      <c r="L481" s="50">
        <v>57.737422010564103</v>
      </c>
      <c r="M481" s="50">
        <v>2.8916817927274246E-3</v>
      </c>
      <c r="N481" s="50">
        <v>7.9359621007537556E-3</v>
      </c>
      <c r="O481" s="51">
        <v>62.26705209</v>
      </c>
      <c r="P481" s="51">
        <v>7.9471869999999997E-3</v>
      </c>
      <c r="AG481" s="14" t="s">
        <v>223</v>
      </c>
      <c r="AH481" s="14" t="s">
        <v>223</v>
      </c>
      <c r="AI481" s="14" t="s">
        <v>224</v>
      </c>
      <c r="AJ481" s="55">
        <v>2.6100000000000001E-5</v>
      </c>
      <c r="AK481" s="55">
        <v>2.83E-5</v>
      </c>
      <c r="AL481" s="55">
        <v>1.4399999999999999E-5</v>
      </c>
      <c r="AM481" s="55">
        <v>2.0299999999999999E-5</v>
      </c>
      <c r="AN481" s="51">
        <v>0.63670485700000001</v>
      </c>
    </row>
    <row r="482" spans="1:40" x14ac:dyDescent="0.35">
      <c r="A482" s="51" t="s">
        <v>197</v>
      </c>
      <c r="B482" s="14">
        <v>1</v>
      </c>
      <c r="C482" s="44">
        <v>30</v>
      </c>
      <c r="D482" s="41">
        <v>2642</v>
      </c>
      <c r="E482" s="50">
        <v>41.234471016371593</v>
      </c>
      <c r="F482" s="50">
        <v>1.1106635663133058</v>
      </c>
      <c r="G482" s="50">
        <v>9.9745927235150731</v>
      </c>
      <c r="H482" s="50">
        <v>22.252123494174651</v>
      </c>
      <c r="I482" s="47"/>
      <c r="J482" s="47"/>
      <c r="K482" s="50">
        <v>1.5607294101578953E-2</v>
      </c>
      <c r="L482" s="50">
        <v>63.636334808700852</v>
      </c>
      <c r="M482" s="50">
        <v>3.7753946720344711E-3</v>
      </c>
      <c r="N482" s="50">
        <v>8.4224540099071352E-3</v>
      </c>
      <c r="O482" s="51">
        <v>70.727799340000004</v>
      </c>
      <c r="P482" s="51">
        <v>8.4676490000000007E-3</v>
      </c>
      <c r="AG482" s="14" t="s">
        <v>223</v>
      </c>
      <c r="AH482" s="14" t="s">
        <v>223</v>
      </c>
      <c r="AI482" s="14" t="s">
        <v>224</v>
      </c>
      <c r="AJ482" s="55">
        <v>2.5299999999999998E-5</v>
      </c>
      <c r="AK482" s="55">
        <v>2.8399999999999999E-5</v>
      </c>
      <c r="AL482" s="55">
        <v>1.26E-5</v>
      </c>
      <c r="AM482" s="55">
        <v>1.7200000000000001E-5</v>
      </c>
      <c r="AN482" s="51">
        <v>0.55407915900000004</v>
      </c>
    </row>
    <row r="483" spans="1:40" x14ac:dyDescent="0.35">
      <c r="A483" s="51" t="s">
        <v>197</v>
      </c>
      <c r="B483" s="14">
        <v>1</v>
      </c>
      <c r="C483" s="44">
        <v>40</v>
      </c>
      <c r="D483" s="41">
        <v>2642</v>
      </c>
      <c r="E483" s="50">
        <v>36.21255307210474</v>
      </c>
      <c r="F483" s="50">
        <v>1.2045661402174477</v>
      </c>
      <c r="G483" s="50">
        <v>10.387848670441807</v>
      </c>
      <c r="H483" s="50">
        <v>21.990782159805065</v>
      </c>
      <c r="I483" s="47"/>
      <c r="J483" s="47"/>
      <c r="K483" s="50">
        <v>1.3706492457269015E-2</v>
      </c>
      <c r="L483" s="50">
        <v>69.01655597882349</v>
      </c>
      <c r="M483" s="50">
        <v>3.9318125171997759E-3</v>
      </c>
      <c r="N483" s="50">
        <v>8.323536018094272E-3</v>
      </c>
      <c r="O483" s="51">
        <v>76.618972749999998</v>
      </c>
      <c r="P483" s="51">
        <v>8.6200010000000004E-3</v>
      </c>
      <c r="AG483" s="14" t="s">
        <v>223</v>
      </c>
      <c r="AH483" s="14" t="s">
        <v>223</v>
      </c>
      <c r="AI483" s="14" t="s">
        <v>224</v>
      </c>
      <c r="AJ483" s="55">
        <v>2.3200000000000001E-5</v>
      </c>
      <c r="AK483" s="55">
        <v>2.5199999999999999E-5</v>
      </c>
      <c r="AL483" s="55">
        <v>1.0499999999999999E-5</v>
      </c>
      <c r="AM483" s="55">
        <v>1.56E-5</v>
      </c>
      <c r="AN483" s="51">
        <v>0.53824395000000003</v>
      </c>
    </row>
    <row r="484" spans="1:40" x14ac:dyDescent="0.35">
      <c r="A484" s="51" t="s">
        <v>197</v>
      </c>
      <c r="B484" s="14">
        <v>1</v>
      </c>
      <c r="C484" s="44">
        <v>50</v>
      </c>
      <c r="D484" s="41">
        <v>2642</v>
      </c>
      <c r="E484" s="50">
        <v>37.804738168647667</v>
      </c>
      <c r="F484" s="50">
        <v>1.4081023565649924</v>
      </c>
      <c r="G484" s="50">
        <v>13.954571150701799</v>
      </c>
      <c r="H484" s="50">
        <v>25.446963532020831</v>
      </c>
      <c r="I484" s="47"/>
      <c r="J484" s="47"/>
      <c r="K484" s="50">
        <v>1.4309136324242114E-2</v>
      </c>
      <c r="L484" s="50">
        <v>80.678322153599439</v>
      </c>
      <c r="M484" s="50">
        <v>5.2818210260037086E-3</v>
      </c>
      <c r="N484" s="50">
        <v>9.6317045919836614E-3</v>
      </c>
      <c r="O484" s="51">
        <v>57.486525790000002</v>
      </c>
      <c r="P484" s="51">
        <v>1.2520385E-2</v>
      </c>
      <c r="AG484" s="14" t="s">
        <v>223</v>
      </c>
      <c r="AH484" s="14" t="s">
        <v>223</v>
      </c>
      <c r="AI484" s="14" t="s">
        <v>224</v>
      </c>
      <c r="AJ484" s="55">
        <v>6.9499999999999995E-5</v>
      </c>
      <c r="AK484" s="55">
        <v>6.4999999999999996E-6</v>
      </c>
      <c r="AL484" s="55">
        <v>6.1700000000000002E-6</v>
      </c>
      <c r="AM484" s="55">
        <v>2.48E-5</v>
      </c>
      <c r="AN484" s="51">
        <v>0.40762241999999999</v>
      </c>
    </row>
    <row r="485" spans="1:40" x14ac:dyDescent="0.35">
      <c r="A485" s="51" t="s">
        <v>197</v>
      </c>
      <c r="B485" s="14">
        <v>1</v>
      </c>
      <c r="C485" s="44">
        <v>60</v>
      </c>
      <c r="D485" s="41">
        <v>2642</v>
      </c>
      <c r="E485" s="50">
        <v>37.754269957185002</v>
      </c>
      <c r="F485" s="50">
        <v>1.2273958255333755</v>
      </c>
      <c r="G485" s="50">
        <v>11.601396467667152</v>
      </c>
      <c r="H485" s="50">
        <v>22.418209116697955</v>
      </c>
      <c r="I485" s="47"/>
      <c r="J485" s="47"/>
      <c r="K485" s="50">
        <v>1.429003404889667E-2</v>
      </c>
      <c r="L485" s="50">
        <v>70.324600595037936</v>
      </c>
      <c r="M485" s="50">
        <v>4.3911417364372266E-3</v>
      </c>
      <c r="N485" s="50">
        <v>8.4853176066229958E-3</v>
      </c>
      <c r="O485" s="51">
        <v>67.435914449999999</v>
      </c>
      <c r="P485" s="51">
        <v>8.5248849999999994E-3</v>
      </c>
      <c r="AG485" s="14" t="s">
        <v>223</v>
      </c>
      <c r="AH485" s="14" t="s">
        <v>223</v>
      </c>
      <c r="AI485" s="14" t="s">
        <v>224</v>
      </c>
      <c r="AJ485" s="55">
        <v>2.6800000000000001E-5</v>
      </c>
      <c r="AK485" s="55">
        <v>2.55E-5</v>
      </c>
      <c r="AL485" s="55">
        <v>1.0000000000000001E-5</v>
      </c>
      <c r="AM485" s="55">
        <v>1.52E-5</v>
      </c>
      <c r="AN485" s="51">
        <v>0.48098457300000003</v>
      </c>
    </row>
    <row r="486" spans="1:40" x14ac:dyDescent="0.35">
      <c r="A486" s="51" t="s">
        <v>197</v>
      </c>
      <c r="B486" s="14">
        <v>1</v>
      </c>
      <c r="C486" s="44">
        <v>70</v>
      </c>
      <c r="D486" s="41">
        <v>2642</v>
      </c>
      <c r="E486" s="50">
        <v>38.462719612632604</v>
      </c>
      <c r="F486" s="50">
        <v>1.2384860878224666</v>
      </c>
      <c r="G486" s="50">
        <v>12.27000000000001</v>
      </c>
      <c r="H486" s="50">
        <v>22.104698595547504</v>
      </c>
      <c r="I486" s="47"/>
      <c r="J486" s="47"/>
      <c r="K486" s="50">
        <v>1.4558183047930584E-2</v>
      </c>
      <c r="L486" s="50">
        <v>70.960025817895954</v>
      </c>
      <c r="M486" s="50">
        <v>4.6442089326268017E-3</v>
      </c>
      <c r="N486" s="50">
        <v>8.3666535183752853E-3</v>
      </c>
      <c r="O486" s="51">
        <v>68.146274509999998</v>
      </c>
      <c r="P486" s="51">
        <v>8.3930020000000001E-3</v>
      </c>
      <c r="AG486" s="14" t="s">
        <v>223</v>
      </c>
      <c r="AH486" s="14" t="s">
        <v>223</v>
      </c>
      <c r="AI486" s="14" t="s">
        <v>224</v>
      </c>
      <c r="AJ486" s="55">
        <v>2.5999999999999998E-5</v>
      </c>
      <c r="AK486" s="55">
        <v>2.4600000000000002E-5</v>
      </c>
      <c r="AL486" s="55">
        <v>1.0200000000000001E-5</v>
      </c>
      <c r="AM486" s="55">
        <v>1.24E-5</v>
      </c>
      <c r="AN486" s="51">
        <v>0.44663301</v>
      </c>
    </row>
    <row r="487" spans="1:40" x14ac:dyDescent="0.35">
      <c r="A487" s="51" t="s">
        <v>197</v>
      </c>
      <c r="B487" s="14">
        <v>1</v>
      </c>
      <c r="C487" s="44">
        <v>80</v>
      </c>
      <c r="D487" s="41">
        <v>2642</v>
      </c>
      <c r="E487" s="50">
        <v>35.759835010805041</v>
      </c>
      <c r="F487" s="50">
        <v>1.1300076362950042</v>
      </c>
      <c r="G487" s="50">
        <v>11.01624709236315</v>
      </c>
      <c r="H487" s="50">
        <v>21.079340596897261</v>
      </c>
      <c r="I487" s="47"/>
      <c r="J487" s="47"/>
      <c r="K487" s="50">
        <v>1.3535138157004179E-2</v>
      </c>
      <c r="L487" s="50">
        <v>64.744668377257881</v>
      </c>
      <c r="M487" s="50">
        <v>4.1696620334455529E-3</v>
      </c>
      <c r="N487" s="50">
        <v>7.9785543515886685E-3</v>
      </c>
      <c r="O487" s="51">
        <v>67.922249989999997</v>
      </c>
      <c r="P487" s="51">
        <v>8.3439680000000002E-3</v>
      </c>
      <c r="AG487" s="14" t="s">
        <v>223</v>
      </c>
      <c r="AH487" s="14" t="s">
        <v>223</v>
      </c>
      <c r="AI487" s="14" t="s">
        <v>224</v>
      </c>
      <c r="AJ487" s="55">
        <v>2.48E-5</v>
      </c>
      <c r="AK487" s="55">
        <v>2.48E-5</v>
      </c>
      <c r="AL487" s="55">
        <v>1.03E-5</v>
      </c>
      <c r="AM487" s="55">
        <v>1.36E-5</v>
      </c>
      <c r="AN487" s="51">
        <v>0.48197024199999999</v>
      </c>
    </row>
    <row r="488" spans="1:40" x14ac:dyDescent="0.35">
      <c r="A488" s="51" t="s">
        <v>197</v>
      </c>
      <c r="B488" s="14">
        <v>1</v>
      </c>
      <c r="C488" s="44">
        <v>90</v>
      </c>
      <c r="D488" s="41">
        <v>2642</v>
      </c>
      <c r="E488" s="50">
        <v>37.787749337582916</v>
      </c>
      <c r="F488" s="50">
        <v>1.2690280210119518</v>
      </c>
      <c r="G488" s="50">
        <v>8.9818539288946617</v>
      </c>
      <c r="H488" s="50">
        <v>23.255607925831551</v>
      </c>
      <c r="I488" s="47"/>
      <c r="J488" s="47"/>
      <c r="K488" s="50">
        <v>1.4302706032393231E-2</v>
      </c>
      <c r="L488" s="50">
        <v>72.709949687823979</v>
      </c>
      <c r="M488" s="50">
        <v>3.3996419110123625E-3</v>
      </c>
      <c r="N488" s="50">
        <v>8.8022740067492632E-3</v>
      </c>
      <c r="O488" s="51">
        <v>69.816865370000002</v>
      </c>
      <c r="P488" s="51">
        <v>9.1853649999999992E-3</v>
      </c>
      <c r="AG488" s="14" t="s">
        <v>223</v>
      </c>
      <c r="AH488" s="14" t="s">
        <v>223</v>
      </c>
      <c r="AI488" s="14" t="s">
        <v>224</v>
      </c>
      <c r="AJ488" s="55">
        <v>2.9600000000000001E-5</v>
      </c>
      <c r="AK488" s="55">
        <v>2.6100000000000001E-5</v>
      </c>
      <c r="AL488" s="55">
        <v>1.5099999999999999E-5</v>
      </c>
      <c r="AM488" s="55">
        <v>1.9199999999999999E-5</v>
      </c>
      <c r="AN488" s="51">
        <v>0.61668995599999998</v>
      </c>
    </row>
    <row r="489" spans="1:40" x14ac:dyDescent="0.35">
      <c r="A489" s="51" t="s">
        <v>197</v>
      </c>
      <c r="B489" s="14">
        <v>2</v>
      </c>
      <c r="C489" s="44">
        <v>20</v>
      </c>
      <c r="D489" s="14">
        <v>2251</v>
      </c>
      <c r="E489" s="50">
        <v>37.697461452994503</v>
      </c>
      <c r="F489" s="50">
        <v>0.88479632474866532</v>
      </c>
      <c r="G489" s="50">
        <v>6.6827015495232249</v>
      </c>
      <c r="H489" s="50">
        <v>17.97895714439521</v>
      </c>
      <c r="K489" s="50">
        <v>1.6746984208349403E-2</v>
      </c>
      <c r="L489" s="50">
        <v>50.695095136785106</v>
      </c>
      <c r="M489" s="50">
        <v>2.9687701241773545E-3</v>
      </c>
      <c r="N489" s="50">
        <v>7.9870977984874327E-3</v>
      </c>
      <c r="O489" s="51">
        <v>53.667491159999997</v>
      </c>
      <c r="P489" s="51">
        <v>7.9870540000000004E-3</v>
      </c>
      <c r="AG489" s="14" t="s">
        <v>223</v>
      </c>
      <c r="AH489" s="14" t="s">
        <v>223</v>
      </c>
      <c r="AI489" s="14" t="s">
        <v>224</v>
      </c>
      <c r="AJ489" s="55">
        <v>2.9799999999999999E-5</v>
      </c>
      <c r="AK489" s="55">
        <v>3.3500000000000001E-5</v>
      </c>
      <c r="AL489" s="55">
        <v>1.4600000000000001E-5</v>
      </c>
      <c r="AM489" s="55">
        <v>2.5299999999999998E-5</v>
      </c>
      <c r="AN489" s="51">
        <v>0.631163009</v>
      </c>
    </row>
    <row r="490" spans="1:40" x14ac:dyDescent="0.35">
      <c r="A490" s="51" t="s">
        <v>197</v>
      </c>
      <c r="B490" s="14">
        <v>2</v>
      </c>
      <c r="C490" s="44">
        <v>30</v>
      </c>
      <c r="D490" s="14">
        <v>2251</v>
      </c>
      <c r="E490" s="50">
        <v>36.44604368103623</v>
      </c>
      <c r="F490" s="50">
        <v>1.0487925527155888</v>
      </c>
      <c r="G490" s="50">
        <v>8.8624883638851681</v>
      </c>
      <c r="H490" s="50">
        <v>20.632736124905978</v>
      </c>
      <c r="K490" s="50">
        <v>1.6191045615742437E-2</v>
      </c>
      <c r="L490" s="50">
        <v>60.091386855355147</v>
      </c>
      <c r="M490" s="50">
        <v>3.9371338800022956E-3</v>
      </c>
      <c r="N490" s="50">
        <v>9.1660311527791988E-3</v>
      </c>
      <c r="O490" s="51">
        <v>91.933918349999999</v>
      </c>
      <c r="P490" s="51">
        <v>9.6671510000000006E-3</v>
      </c>
      <c r="AG490" s="14" t="s">
        <v>223</v>
      </c>
      <c r="AH490" s="14" t="s">
        <v>223</v>
      </c>
      <c r="AI490" s="14" t="s">
        <v>224</v>
      </c>
      <c r="AJ490" s="55">
        <v>2.2500000000000001E-5</v>
      </c>
      <c r="AK490" s="55">
        <v>3.5099999999999999E-5</v>
      </c>
      <c r="AL490" s="55">
        <v>1.0900000000000001E-5</v>
      </c>
      <c r="AM490" s="55">
        <v>2.3300000000000001E-5</v>
      </c>
      <c r="AN490" s="51">
        <v>0.59534559799999998</v>
      </c>
    </row>
    <row r="491" spans="1:40" x14ac:dyDescent="0.35">
      <c r="A491" s="51" t="s">
        <v>197</v>
      </c>
      <c r="B491" s="14">
        <v>2</v>
      </c>
      <c r="C491" s="44">
        <v>40</v>
      </c>
      <c r="D491" s="14">
        <v>2251</v>
      </c>
      <c r="E491" s="50">
        <v>35.333261949613338</v>
      </c>
      <c r="F491" s="50">
        <v>1.2598712585009149</v>
      </c>
      <c r="G491" s="50">
        <v>8.4645614180534743</v>
      </c>
      <c r="H491" s="50">
        <v>21.490323403802002</v>
      </c>
      <c r="K491" s="50">
        <v>1.5696695668419962E-2</v>
      </c>
      <c r="L491" s="50">
        <v>72.185305841937961</v>
      </c>
      <c r="M491" s="50">
        <v>3.76035602756707E-3</v>
      </c>
      <c r="N491" s="50">
        <v>9.5470117298098629E-3</v>
      </c>
      <c r="O491" s="51">
        <v>68.55159304</v>
      </c>
      <c r="P491" s="51">
        <v>9.7464849999999992E-3</v>
      </c>
      <c r="AG491" s="14" t="s">
        <v>223</v>
      </c>
      <c r="AH491" s="14" t="s">
        <v>223</v>
      </c>
      <c r="AI491" s="14" t="s">
        <v>224</v>
      </c>
      <c r="AJ491" s="55">
        <v>3.3300000000000003E-5</v>
      </c>
      <c r="AK491" s="55">
        <v>3.1199999999999999E-5</v>
      </c>
      <c r="AL491" s="55">
        <v>1.5699999999999999E-5</v>
      </c>
      <c r="AM491" s="55">
        <v>2.41E-5</v>
      </c>
      <c r="AN491" s="51">
        <v>0.61655663900000002</v>
      </c>
    </row>
    <row r="492" spans="1:40" x14ac:dyDescent="0.35">
      <c r="A492" s="51" t="s">
        <v>197</v>
      </c>
      <c r="B492" s="14">
        <v>2</v>
      </c>
      <c r="C492" s="44">
        <v>50</v>
      </c>
      <c r="D492" s="14">
        <v>2251</v>
      </c>
      <c r="E492" s="50">
        <v>38.240660297646613</v>
      </c>
      <c r="F492" s="50">
        <v>1.0771120730618204</v>
      </c>
      <c r="G492" s="50">
        <v>10.364000192975688</v>
      </c>
      <c r="H492" s="50">
        <v>20.414279316204198</v>
      </c>
      <c r="K492" s="50">
        <v>1.698829866621351E-2</v>
      </c>
      <c r="L492" s="50">
        <v>61.713975849029083</v>
      </c>
      <c r="M492" s="50">
        <v>4.6041760075413987E-3</v>
      </c>
      <c r="N492" s="50">
        <v>9.0689823705927125E-3</v>
      </c>
      <c r="O492" s="51">
        <v>69.690332929999997</v>
      </c>
      <c r="P492" s="51">
        <v>9.3953679999999994E-3</v>
      </c>
      <c r="AG492" s="14" t="s">
        <v>223</v>
      </c>
      <c r="AH492" s="14" t="s">
        <v>223</v>
      </c>
      <c r="AI492" s="14" t="s">
        <v>224</v>
      </c>
      <c r="AJ492" s="55">
        <v>3.1699999999999998E-5</v>
      </c>
      <c r="AK492" s="55">
        <v>3.4400000000000003E-5</v>
      </c>
      <c r="AL492" s="55">
        <v>1.6099999999999998E-5</v>
      </c>
      <c r="AM492" s="55">
        <v>1.7099999999999999E-5</v>
      </c>
      <c r="AN492" s="51">
        <v>0.50190131400000004</v>
      </c>
    </row>
    <row r="493" spans="1:40" x14ac:dyDescent="0.35">
      <c r="A493" s="51" t="s">
        <v>197</v>
      </c>
      <c r="B493" s="14">
        <v>2</v>
      </c>
      <c r="C493" s="44">
        <v>60</v>
      </c>
      <c r="D493" s="14">
        <v>2251</v>
      </c>
      <c r="E493" s="50">
        <v>38.095596858429651</v>
      </c>
      <c r="F493" s="50">
        <v>1.1746753801153873</v>
      </c>
      <c r="G493" s="50">
        <v>9.1259684417599995</v>
      </c>
      <c r="H493" s="50">
        <v>20.651905481093042</v>
      </c>
      <c r="K493" s="50">
        <v>1.6923854668338362E-2</v>
      </c>
      <c r="L493" s="50">
        <v>67.303941578537405</v>
      </c>
      <c r="M493" s="50">
        <v>4.0541841145091068E-3</v>
      </c>
      <c r="N493" s="50">
        <v>9.1745470817827818E-3</v>
      </c>
      <c r="O493" s="51">
        <v>60.955957820000002</v>
      </c>
      <c r="P493" s="51">
        <v>9.2587039999999995E-3</v>
      </c>
      <c r="AG493" s="14" t="s">
        <v>223</v>
      </c>
      <c r="AH493" s="14" t="s">
        <v>223</v>
      </c>
      <c r="AI493" s="14" t="s">
        <v>224</v>
      </c>
      <c r="AJ493" s="55">
        <v>3.6199999999999999E-5</v>
      </c>
      <c r="AK493" s="55">
        <v>3.1600000000000002E-5</v>
      </c>
      <c r="AL493" s="55">
        <v>1.6900000000000001E-5</v>
      </c>
      <c r="AM493" s="55">
        <v>2.0999999999999999E-5</v>
      </c>
      <c r="AN493" s="51">
        <v>0.55954722199999996</v>
      </c>
    </row>
    <row r="494" spans="1:40" x14ac:dyDescent="0.35">
      <c r="A494" s="51" t="s">
        <v>197</v>
      </c>
      <c r="B494" s="14">
        <v>2</v>
      </c>
      <c r="C494" s="44">
        <v>70</v>
      </c>
      <c r="D494" s="14">
        <v>2251</v>
      </c>
      <c r="E494" s="50">
        <v>38.238385164648363</v>
      </c>
      <c r="F494" s="50">
        <v>1.1642030052001686</v>
      </c>
      <c r="G494" s="50">
        <v>10.714126189288606</v>
      </c>
      <c r="H494" s="50">
        <v>20.229476018918554</v>
      </c>
      <c r="K494" s="50">
        <v>1.6987287945201407E-2</v>
      </c>
      <c r="L494" s="50">
        <v>66.7039186944167</v>
      </c>
      <c r="M494" s="50">
        <v>4.7597184314920509E-3</v>
      </c>
      <c r="N494" s="50">
        <v>8.9868840599371634E-3</v>
      </c>
      <c r="O494" s="51">
        <v>60.46446503</v>
      </c>
      <c r="P494" s="51">
        <v>9.0766979999999994E-3</v>
      </c>
      <c r="AG494" s="14" t="s">
        <v>223</v>
      </c>
      <c r="AH494" s="14" t="s">
        <v>223</v>
      </c>
      <c r="AI494" s="14" t="s">
        <v>224</v>
      </c>
      <c r="AJ494" s="55">
        <v>3.5299999999999997E-5</v>
      </c>
      <c r="AK494" s="55">
        <v>3.0599999999999998E-5</v>
      </c>
      <c r="AL494" s="55">
        <v>1.6200000000000001E-5</v>
      </c>
      <c r="AM494" s="55">
        <v>1.49E-5</v>
      </c>
      <c r="AN494" s="51">
        <v>0.47268671000000001</v>
      </c>
    </row>
    <row r="495" spans="1:40" x14ac:dyDescent="0.35">
      <c r="A495" s="51" t="s">
        <v>197</v>
      </c>
      <c r="B495" s="14">
        <v>2</v>
      </c>
      <c r="C495" s="44">
        <v>80</v>
      </c>
      <c r="D495" s="14">
        <v>2251</v>
      </c>
      <c r="E495" s="50">
        <v>36.526647806772552</v>
      </c>
      <c r="F495" s="50">
        <v>1.2239492130228071</v>
      </c>
      <c r="G495" s="50">
        <v>9.7778934336594165</v>
      </c>
      <c r="H495" s="50">
        <v>20.248913551101946</v>
      </c>
      <c r="K495" s="50">
        <v>1.6226853756895847E-2</v>
      </c>
      <c r="L495" s="50">
        <v>70.12712424456538</v>
      </c>
      <c r="M495" s="50">
        <v>4.3437998372542943E-3</v>
      </c>
      <c r="N495" s="50">
        <v>8.9955191253229434E-3</v>
      </c>
      <c r="O495" s="51">
        <v>66.256500680000002</v>
      </c>
      <c r="P495" s="51">
        <v>9.0599319999999997E-3</v>
      </c>
      <c r="AG495" s="14" t="s">
        <v>223</v>
      </c>
      <c r="AH495" s="14" t="s">
        <v>223</v>
      </c>
      <c r="AI495" s="14" t="s">
        <v>224</v>
      </c>
      <c r="AJ495" s="55">
        <v>3.1300000000000002E-5</v>
      </c>
      <c r="AK495" s="55">
        <v>2.8799999999999999E-5</v>
      </c>
      <c r="AL495" s="55">
        <v>1.7E-5</v>
      </c>
      <c r="AM495" s="55">
        <v>1.4100000000000001E-5</v>
      </c>
      <c r="AN495" s="51">
        <v>0.51838105599999995</v>
      </c>
    </row>
    <row r="496" spans="1:40" x14ac:dyDescent="0.35">
      <c r="A496" s="51" t="s">
        <v>197</v>
      </c>
      <c r="B496" s="14">
        <v>2</v>
      </c>
      <c r="C496" s="44">
        <v>90</v>
      </c>
      <c r="D496" s="14">
        <v>2251</v>
      </c>
      <c r="E496" s="50">
        <v>39.535401857069857</v>
      </c>
      <c r="F496" s="50">
        <v>1.1032759286845117</v>
      </c>
      <c r="G496" s="50">
        <v>8.8322647152358371</v>
      </c>
      <c r="H496" s="50">
        <v>20.515157810750573</v>
      </c>
      <c r="K496" s="50">
        <v>1.8826381836699931E-2</v>
      </c>
      <c r="L496" s="50">
        <v>63.21305435199892</v>
      </c>
      <c r="M496" s="50">
        <v>4.2058403405884938E-3</v>
      </c>
      <c r="N496" s="50">
        <v>9.769122767024083E-3</v>
      </c>
      <c r="O496" s="51">
        <v>59.679519599999999</v>
      </c>
      <c r="P496" s="51">
        <v>9.118714E-3</v>
      </c>
      <c r="AG496" s="14" t="s">
        <v>223</v>
      </c>
      <c r="AH496" s="14" t="s">
        <v>223</v>
      </c>
      <c r="AI496" s="14" t="s">
        <v>224</v>
      </c>
      <c r="AJ496" s="55">
        <v>3.6199999999999999E-5</v>
      </c>
      <c r="AK496" s="55">
        <v>3.3699999999999999E-5</v>
      </c>
      <c r="AL496" s="55">
        <v>1.9300000000000002E-5</v>
      </c>
      <c r="AM496" s="55">
        <v>2.05E-5</v>
      </c>
      <c r="AN496" s="51">
        <v>0.56946101400000004</v>
      </c>
    </row>
    <row r="497" spans="1:40" x14ac:dyDescent="0.35">
      <c r="A497" s="51" t="s">
        <v>197</v>
      </c>
      <c r="B497" s="14">
        <v>3</v>
      </c>
      <c r="C497" s="44">
        <v>20</v>
      </c>
      <c r="D497" s="14">
        <v>2100</v>
      </c>
      <c r="E497" s="50">
        <v>36.272703235353035</v>
      </c>
      <c r="F497" s="50">
        <v>1.1319778491766628</v>
      </c>
      <c r="G497" s="50">
        <v>7.6412891582507205</v>
      </c>
      <c r="H497" s="50">
        <v>18.982570953377277</v>
      </c>
      <c r="K497" s="50">
        <v>1.7272715826358587E-2</v>
      </c>
      <c r="L497" s="50">
        <v>64.857553260119232</v>
      </c>
      <c r="M497" s="50">
        <v>3.6387091229765334E-3</v>
      </c>
      <c r="N497" s="50">
        <v>9.0393195016082277E-3</v>
      </c>
      <c r="O497" s="51">
        <v>62.923608969999997</v>
      </c>
      <c r="P497" s="51">
        <v>9.0667219999999993E-3</v>
      </c>
      <c r="AG497" s="14" t="s">
        <v>223</v>
      </c>
      <c r="AH497" s="14" t="s">
        <v>223</v>
      </c>
      <c r="AI497" s="14" t="s">
        <v>224</v>
      </c>
      <c r="AJ497" s="55">
        <v>3.3500000000000001E-5</v>
      </c>
      <c r="AK497" s="55">
        <v>3.2100000000000001E-5</v>
      </c>
      <c r="AL497" s="55">
        <v>2.0699999999999998E-5</v>
      </c>
      <c r="AM497" s="55">
        <v>1.8499999999999999E-5</v>
      </c>
      <c r="AN497" s="51">
        <v>0.597652089</v>
      </c>
    </row>
    <row r="498" spans="1:40" x14ac:dyDescent="0.35">
      <c r="A498" s="51" t="s">
        <v>197</v>
      </c>
      <c r="B498" s="14">
        <v>3</v>
      </c>
      <c r="C498" s="44">
        <v>30</v>
      </c>
      <c r="D498" s="14">
        <v>2100</v>
      </c>
      <c r="E498" s="50">
        <v>32.21704207403296</v>
      </c>
      <c r="F498" s="50">
        <v>1.2143718819018616</v>
      </c>
      <c r="G498" s="50">
        <v>8.1135996943404258</v>
      </c>
      <c r="H498" s="50">
        <v>18.350065394978902</v>
      </c>
      <c r="K498" s="50">
        <v>1.5341448606682363E-2</v>
      </c>
      <c r="L498" s="50">
        <v>69.578383592335911</v>
      </c>
      <c r="M498" s="50">
        <v>3.8636189020668696E-3</v>
      </c>
      <c r="N498" s="50">
        <v>8.7381263785613825E-3</v>
      </c>
      <c r="O498" s="51">
        <v>60.211518529999999</v>
      </c>
      <c r="P498" s="51">
        <v>8.7469969999999994E-3</v>
      </c>
      <c r="AG498" s="14" t="s">
        <v>223</v>
      </c>
      <c r="AH498" s="14" t="s">
        <v>223</v>
      </c>
      <c r="AI498" s="14" t="s">
        <v>224</v>
      </c>
      <c r="AJ498" s="55">
        <v>3.2499999999999997E-5</v>
      </c>
      <c r="AK498" s="55">
        <v>2.73E-5</v>
      </c>
      <c r="AL498" s="55">
        <v>1.56E-5</v>
      </c>
      <c r="AM498" s="55">
        <v>1.7600000000000001E-5</v>
      </c>
      <c r="AN498" s="51">
        <v>0.55598387599999999</v>
      </c>
    </row>
    <row r="499" spans="1:40" x14ac:dyDescent="0.35">
      <c r="A499" s="51" t="s">
        <v>197</v>
      </c>
      <c r="B499" s="14">
        <v>3</v>
      </c>
      <c r="C499" s="44">
        <v>40</v>
      </c>
      <c r="D499" s="14">
        <v>2100</v>
      </c>
      <c r="E499" s="50">
        <v>30.765183243400127</v>
      </c>
      <c r="F499" s="50">
        <v>1.1587586539190777</v>
      </c>
      <c r="G499" s="50">
        <v>8.793736407239038</v>
      </c>
      <c r="H499" s="50">
        <v>18.756892066651012</v>
      </c>
      <c r="K499" s="50">
        <v>1.4650087258761966E-2</v>
      </c>
      <c r="L499" s="50">
        <v>66.391980343823548</v>
      </c>
      <c r="M499" s="50">
        <v>4.187493527256685E-3</v>
      </c>
      <c r="N499" s="50">
        <v>8.9318533650719102E-3</v>
      </c>
      <c r="O499" s="51">
        <v>77.84598665</v>
      </c>
      <c r="P499" s="51">
        <v>9.0350910000000003E-3</v>
      </c>
      <c r="AG499" s="14" t="s">
        <v>223</v>
      </c>
      <c r="AH499" s="14" t="s">
        <v>223</v>
      </c>
      <c r="AI499" s="14" t="s">
        <v>224</v>
      </c>
      <c r="AJ499" s="55">
        <v>2.51E-5</v>
      </c>
      <c r="AK499" s="55">
        <v>3.04E-5</v>
      </c>
      <c r="AL499" s="55">
        <v>1.4600000000000001E-5</v>
      </c>
      <c r="AM499" s="55">
        <v>1.5E-5</v>
      </c>
      <c r="AN499" s="51">
        <v>0.53474996200000002</v>
      </c>
    </row>
    <row r="500" spans="1:40" x14ac:dyDescent="0.35">
      <c r="A500" s="51" t="s">
        <v>197</v>
      </c>
      <c r="B500" s="14">
        <v>3</v>
      </c>
      <c r="C500" s="44">
        <v>50</v>
      </c>
      <c r="D500" s="14">
        <v>2100</v>
      </c>
      <c r="E500" s="50">
        <v>35.096301799477381</v>
      </c>
      <c r="F500" s="50">
        <v>1.0730105328587389</v>
      </c>
      <c r="G500" s="50">
        <v>9.3989467495033736</v>
      </c>
      <c r="H500" s="50">
        <v>17.251098515746829</v>
      </c>
      <c r="K500" s="50">
        <v>1.6712524666417799E-2</v>
      </c>
      <c r="L500" s="50">
        <v>61.478974905889281</v>
      </c>
      <c r="M500" s="50">
        <v>4.4756889283349395E-3</v>
      </c>
      <c r="N500" s="50">
        <v>8.2148088170222993E-3</v>
      </c>
      <c r="O500" s="51">
        <v>67.014795309999997</v>
      </c>
      <c r="P500" s="51">
        <v>8.6707169999999997E-3</v>
      </c>
      <c r="AG500" s="14" t="s">
        <v>223</v>
      </c>
      <c r="AH500" s="14" t="s">
        <v>223</v>
      </c>
      <c r="AI500" s="14" t="s">
        <v>224</v>
      </c>
      <c r="AJ500" s="55">
        <v>2.8E-5</v>
      </c>
      <c r="AK500" s="55">
        <v>2.8099999999999999E-5</v>
      </c>
      <c r="AL500" s="55">
        <v>1.4E-5</v>
      </c>
      <c r="AM500" s="55">
        <v>1.22E-5</v>
      </c>
      <c r="AN500" s="51">
        <v>0.46536750399999999</v>
      </c>
    </row>
    <row r="501" spans="1:40" x14ac:dyDescent="0.35">
      <c r="A501" s="51" t="s">
        <v>197</v>
      </c>
      <c r="B501" s="14">
        <v>3</v>
      </c>
      <c r="C501" s="44">
        <v>60</v>
      </c>
      <c r="D501" s="14">
        <v>2100</v>
      </c>
      <c r="E501" s="50">
        <v>36.676429760815182</v>
      </c>
      <c r="F501" s="50">
        <v>1.0805167189043989</v>
      </c>
      <c r="G501" s="50">
        <v>10.060760408637121</v>
      </c>
      <c r="H501" s="50">
        <v>18.378465659570175</v>
      </c>
      <c r="K501" s="50">
        <v>1.7464966552769134E-2</v>
      </c>
      <c r="L501" s="50">
        <v>61.909047686545591</v>
      </c>
      <c r="M501" s="50">
        <v>4.7908382898272E-3</v>
      </c>
      <c r="N501" s="50">
        <v>8.7516503140810352E-3</v>
      </c>
      <c r="O501" s="51">
        <v>65.047936919999998</v>
      </c>
      <c r="P501" s="51">
        <v>9.1993620000000009E-3</v>
      </c>
      <c r="AG501" s="14" t="s">
        <v>223</v>
      </c>
      <c r="AH501" s="14" t="s">
        <v>223</v>
      </c>
      <c r="AI501" s="14" t="s">
        <v>224</v>
      </c>
      <c r="AJ501" s="55">
        <v>3.3200000000000001E-5</v>
      </c>
      <c r="AK501" s="55">
        <v>3.1699999999999998E-5</v>
      </c>
      <c r="AL501" s="55">
        <v>1.5400000000000002E-5</v>
      </c>
      <c r="AM501" s="55">
        <v>1.4800000000000001E-5</v>
      </c>
      <c r="AN501" s="51">
        <v>0.465268817</v>
      </c>
    </row>
    <row r="502" spans="1:40" x14ac:dyDescent="0.35">
      <c r="A502" s="51" t="s">
        <v>197</v>
      </c>
      <c r="B502" s="14">
        <v>3</v>
      </c>
      <c r="C502" s="44">
        <v>70</v>
      </c>
      <c r="D502" s="14">
        <v>2100</v>
      </c>
      <c r="E502" s="50">
        <v>36.027969690228161</v>
      </c>
      <c r="F502" s="50">
        <v>1.2606124225673667</v>
      </c>
      <c r="G502" s="50">
        <v>9.6286655357842807</v>
      </c>
      <c r="H502" s="50">
        <v>20.244764755363299</v>
      </c>
      <c r="K502" s="50">
        <v>1.7156176042965793E-2</v>
      </c>
      <c r="L502" s="50">
        <v>72.227771414872407</v>
      </c>
      <c r="M502" s="50">
        <v>4.5850788265639434E-3</v>
      </c>
      <c r="N502" s="50">
        <v>9.6403641692206186E-3</v>
      </c>
      <c r="O502" s="51">
        <v>63.947133620000002</v>
      </c>
      <c r="P502" s="51">
        <v>1.0075661E-2</v>
      </c>
      <c r="AG502" s="14" t="s">
        <v>223</v>
      </c>
      <c r="AH502" s="14" t="s">
        <v>223</v>
      </c>
      <c r="AI502" s="14" t="s">
        <v>224</v>
      </c>
      <c r="AJ502" s="55">
        <v>4.0099999999999999E-5</v>
      </c>
      <c r="AK502" s="55">
        <v>3.18E-5</v>
      </c>
      <c r="AL502" s="55">
        <v>1.7E-5</v>
      </c>
      <c r="AM502" s="55">
        <v>2.1399999999999998E-5</v>
      </c>
      <c r="AN502" s="51">
        <v>0.534381255</v>
      </c>
    </row>
    <row r="503" spans="1:40" x14ac:dyDescent="0.35">
      <c r="A503" s="51" t="s">
        <v>197</v>
      </c>
      <c r="B503" s="14">
        <v>3</v>
      </c>
      <c r="C503" s="44">
        <v>80</v>
      </c>
      <c r="D503" s="14">
        <v>2100</v>
      </c>
      <c r="E503" s="50">
        <v>32.208714659234708</v>
      </c>
      <c r="F503" s="50">
        <v>1.2665976359672158</v>
      </c>
      <c r="G503" s="50">
        <v>9.9636338752485543</v>
      </c>
      <c r="H503" s="50">
        <v>19.085413278208048</v>
      </c>
      <c r="K503" s="50">
        <v>1.5337483171064146E-2</v>
      </c>
      <c r="L503" s="50">
        <v>72.570698882168898</v>
      </c>
      <c r="M503" s="50">
        <v>4.7445875596421683E-3</v>
      </c>
      <c r="N503" s="50">
        <v>9.0882920372419278E-3</v>
      </c>
      <c r="O503" s="51">
        <v>64.664869179999997</v>
      </c>
      <c r="P503" s="51">
        <v>9.3633910000000004E-3</v>
      </c>
      <c r="AG503" s="14" t="s">
        <v>223</v>
      </c>
      <c r="AH503" s="14" t="s">
        <v>223</v>
      </c>
      <c r="AI503" s="14" t="s">
        <v>224</v>
      </c>
      <c r="AJ503" s="55">
        <v>3.4100000000000002E-5</v>
      </c>
      <c r="AK503" s="55">
        <v>2.7900000000000001E-5</v>
      </c>
      <c r="AL503" s="55">
        <v>1.5699999999999999E-5</v>
      </c>
      <c r="AM503" s="55">
        <v>1.4E-5</v>
      </c>
      <c r="AN503" s="51">
        <v>0.47911328600000003</v>
      </c>
    </row>
    <row r="504" spans="1:40" x14ac:dyDescent="0.35">
      <c r="A504" s="51" t="s">
        <v>197</v>
      </c>
      <c r="B504" s="14">
        <v>3</v>
      </c>
      <c r="C504" s="44">
        <v>90</v>
      </c>
      <c r="D504" s="14">
        <v>2100</v>
      </c>
      <c r="E504" s="50">
        <v>36.464652747558127</v>
      </c>
      <c r="F504" s="50">
        <v>1.1966760619945915</v>
      </c>
      <c r="G504" s="50">
        <v>9.0649048533340846</v>
      </c>
      <c r="H504" s="50">
        <v>18.719401699840734</v>
      </c>
      <c r="K504" s="50">
        <v>1.7364120355980062E-2</v>
      </c>
      <c r="L504" s="50">
        <v>68.564487796625755</v>
      </c>
      <c r="M504" s="50">
        <v>4.3166213587305163E-3</v>
      </c>
      <c r="N504" s="50">
        <v>8.9140008094479688E-3</v>
      </c>
      <c r="O504" s="51">
        <v>60.395576820000002</v>
      </c>
      <c r="P504" s="51">
        <v>9.4970290000000006E-3</v>
      </c>
      <c r="AG504" s="14" t="s">
        <v>223</v>
      </c>
      <c r="AH504" s="14" t="s">
        <v>223</v>
      </c>
      <c r="AI504" s="14" t="s">
        <v>224</v>
      </c>
      <c r="AJ504" s="55">
        <v>3.8699999999999999E-5</v>
      </c>
      <c r="AK504" s="55">
        <v>2.9E-5</v>
      </c>
      <c r="AL504" s="55">
        <v>1.6699999999999999E-5</v>
      </c>
      <c r="AM504" s="55">
        <v>1.88E-5</v>
      </c>
      <c r="AN504" s="51">
        <v>0.52471005999999998</v>
      </c>
    </row>
    <row r="505" spans="1:40" x14ac:dyDescent="0.35">
      <c r="A505" s="14" t="s">
        <v>198</v>
      </c>
      <c r="B505" s="14">
        <v>1</v>
      </c>
      <c r="C505" s="44">
        <v>20</v>
      </c>
      <c r="D505" s="14">
        <v>4322</v>
      </c>
      <c r="E505" s="45">
        <v>43.13</v>
      </c>
      <c r="F505" s="45">
        <v>1.25</v>
      </c>
      <c r="G505" s="45">
        <v>7.74</v>
      </c>
      <c r="H505" s="45">
        <v>38.229999999999997</v>
      </c>
      <c r="K505" s="45">
        <v>0.01</v>
      </c>
      <c r="L505" s="45">
        <v>71.806399999999996</v>
      </c>
      <c r="M505" s="45">
        <v>1.8E-3</v>
      </c>
      <c r="N505" s="45">
        <v>8.8000000000000005E-3</v>
      </c>
      <c r="O505" s="51">
        <v>97.509651739999995</v>
      </c>
      <c r="P505" s="51">
        <v>8.8470479999999997E-3</v>
      </c>
      <c r="AG505" s="14" t="s">
        <v>223</v>
      </c>
      <c r="AH505" s="14" t="s">
        <v>223</v>
      </c>
      <c r="AI505" s="14" t="s">
        <v>224</v>
      </c>
      <c r="AJ505" s="55">
        <v>1.7099999999999999E-5</v>
      </c>
      <c r="AK505" s="55">
        <v>2.6999999999999999E-5</v>
      </c>
      <c r="AL505" s="55">
        <v>1.6399999999999999E-5</v>
      </c>
      <c r="AM505" s="55">
        <v>1.88E-5</v>
      </c>
      <c r="AN505" s="51">
        <v>0.79748675599999996</v>
      </c>
    </row>
    <row r="506" spans="1:40" x14ac:dyDescent="0.35">
      <c r="A506" s="14" t="s">
        <v>198</v>
      </c>
      <c r="B506" s="14">
        <v>1</v>
      </c>
      <c r="C506" s="44">
        <v>30</v>
      </c>
      <c r="D506" s="14">
        <v>4322</v>
      </c>
      <c r="E506" s="45">
        <v>42.69</v>
      </c>
      <c r="F506" s="45">
        <v>1.38</v>
      </c>
      <c r="G506" s="45">
        <v>9.39</v>
      </c>
      <c r="H506" s="45">
        <v>42.19</v>
      </c>
      <c r="K506" s="45">
        <v>9.9000000000000008E-3</v>
      </c>
      <c r="L506" s="45">
        <v>79.125799999999998</v>
      </c>
      <c r="M506" s="45">
        <v>2.2000000000000001E-3</v>
      </c>
      <c r="N506" s="45">
        <v>9.7999999999999997E-3</v>
      </c>
      <c r="O506" s="51">
        <v>101.5634668</v>
      </c>
      <c r="P506" s="51">
        <v>9.7653979999999998E-3</v>
      </c>
      <c r="AG506" s="14" t="s">
        <v>223</v>
      </c>
      <c r="AH506" s="14" t="s">
        <v>223</v>
      </c>
      <c r="AI506" s="14" t="s">
        <v>224</v>
      </c>
      <c r="AJ506" s="55">
        <v>1.9400000000000001E-5</v>
      </c>
      <c r="AK506" s="55">
        <v>2.8799999999999999E-5</v>
      </c>
      <c r="AL506" s="55">
        <v>1.6399999999999999E-5</v>
      </c>
      <c r="AM506" s="55">
        <v>2.1100000000000001E-5</v>
      </c>
      <c r="AN506" s="51">
        <v>0.77759187399999996</v>
      </c>
    </row>
    <row r="507" spans="1:40" x14ac:dyDescent="0.35">
      <c r="A507" s="14" t="s">
        <v>198</v>
      </c>
      <c r="B507" s="14">
        <v>1</v>
      </c>
      <c r="C507" s="44">
        <v>40</v>
      </c>
      <c r="D507" s="14">
        <v>4322</v>
      </c>
      <c r="E507" s="45">
        <v>45.35</v>
      </c>
      <c r="F507" s="45">
        <v>1.26</v>
      </c>
      <c r="G507" s="45">
        <v>6.5</v>
      </c>
      <c r="H507" s="45">
        <v>43.28</v>
      </c>
      <c r="K507" s="45">
        <v>1.0500000000000001E-2</v>
      </c>
      <c r="L507" s="45">
        <v>72.178899999999999</v>
      </c>
      <c r="M507" s="45">
        <v>1.5E-3</v>
      </c>
      <c r="N507" s="45">
        <v>0.01</v>
      </c>
      <c r="O507" s="51">
        <v>108.1786098</v>
      </c>
      <c r="P507" s="51">
        <v>1.00391E-2</v>
      </c>
      <c r="AG507" s="14" t="s">
        <v>223</v>
      </c>
      <c r="AH507" s="14" t="s">
        <v>223</v>
      </c>
      <c r="AI507" s="14" t="s">
        <v>224</v>
      </c>
      <c r="AJ507" s="55">
        <v>1.8199999999999999E-5</v>
      </c>
      <c r="AK507" s="55">
        <v>3.43E-5</v>
      </c>
      <c r="AL507" s="55">
        <v>2.1299999999999999E-5</v>
      </c>
      <c r="AM507" s="55">
        <v>2.34E-5</v>
      </c>
      <c r="AN507" s="51">
        <v>0.85156719199999997</v>
      </c>
    </row>
    <row r="508" spans="1:40" x14ac:dyDescent="0.35">
      <c r="A508" s="14" t="s">
        <v>198</v>
      </c>
      <c r="B508" s="14">
        <v>1</v>
      </c>
      <c r="C508" s="44">
        <v>50</v>
      </c>
      <c r="D508" s="14">
        <v>4322</v>
      </c>
      <c r="E508" s="45">
        <v>45.92</v>
      </c>
      <c r="F508" s="45">
        <v>1.24</v>
      </c>
      <c r="G508" s="45">
        <v>7.16</v>
      </c>
      <c r="H508" s="45">
        <v>41.14</v>
      </c>
      <c r="K508" s="45">
        <v>1.06E-2</v>
      </c>
      <c r="L508" s="45">
        <v>70.913200000000003</v>
      </c>
      <c r="M508" s="45">
        <v>1.6999999999999999E-3</v>
      </c>
      <c r="N508" s="45">
        <v>9.4999999999999998E-3</v>
      </c>
      <c r="O508" s="51">
        <v>100.71167800000001</v>
      </c>
      <c r="P508" s="51">
        <v>9.5198190000000005E-3</v>
      </c>
      <c r="AG508" s="14" t="s">
        <v>223</v>
      </c>
      <c r="AH508" s="14" t="s">
        <v>223</v>
      </c>
      <c r="AI508" s="14" t="s">
        <v>224</v>
      </c>
      <c r="AJ508" s="55">
        <v>1.88E-5</v>
      </c>
      <c r="AK508" s="55">
        <v>3.18E-5</v>
      </c>
      <c r="AL508" s="55">
        <v>2.09E-5</v>
      </c>
      <c r="AM508" s="55">
        <v>2.09E-5</v>
      </c>
      <c r="AN508" s="51">
        <v>0.826373103</v>
      </c>
    </row>
    <row r="509" spans="1:40" x14ac:dyDescent="0.35">
      <c r="A509" s="14" t="s">
        <v>198</v>
      </c>
      <c r="B509" s="14">
        <v>1</v>
      </c>
      <c r="C509" s="44">
        <v>60</v>
      </c>
      <c r="D509" s="14">
        <v>4322</v>
      </c>
      <c r="E509" s="45">
        <v>44.69</v>
      </c>
      <c r="F509" s="45">
        <v>1.27</v>
      </c>
      <c r="G509" s="45">
        <v>5.33</v>
      </c>
      <c r="H509" s="45">
        <v>42.06</v>
      </c>
      <c r="K509" s="45">
        <v>1.03E-2</v>
      </c>
      <c r="L509" s="45">
        <v>72.760300000000001</v>
      </c>
      <c r="M509" s="45">
        <v>1.1999999999999999E-3</v>
      </c>
      <c r="N509" s="45">
        <v>9.7000000000000003E-3</v>
      </c>
      <c r="O509" s="51">
        <v>104.9803826</v>
      </c>
      <c r="P509" s="51">
        <v>9.7464769999999999E-3</v>
      </c>
      <c r="AG509" s="14" t="s">
        <v>223</v>
      </c>
      <c r="AH509" s="14" t="s">
        <v>223</v>
      </c>
      <c r="AI509" s="14" t="s">
        <v>224</v>
      </c>
      <c r="AJ509" s="55">
        <v>1.8199999999999999E-5</v>
      </c>
      <c r="AK509" s="55">
        <v>3.2100000000000001E-5</v>
      </c>
      <c r="AL509" s="55">
        <v>2.1100000000000001E-5</v>
      </c>
      <c r="AM509" s="55">
        <v>2.2900000000000001E-5</v>
      </c>
      <c r="AN509" s="51">
        <v>0.87374713400000004</v>
      </c>
    </row>
    <row r="510" spans="1:40" x14ac:dyDescent="0.35">
      <c r="A510" s="14" t="s">
        <v>198</v>
      </c>
      <c r="B510" s="14">
        <v>1</v>
      </c>
      <c r="C510" s="44">
        <v>70</v>
      </c>
      <c r="D510" s="14">
        <v>4322</v>
      </c>
      <c r="E510" s="45">
        <v>44.71</v>
      </c>
      <c r="F510" s="45">
        <v>1.17</v>
      </c>
      <c r="G510" s="45">
        <v>6.12</v>
      </c>
      <c r="H510" s="45">
        <v>38.979999999999997</v>
      </c>
      <c r="K510" s="45">
        <v>1.03E-2</v>
      </c>
      <c r="L510" s="45">
        <v>66.844899999999996</v>
      </c>
      <c r="M510" s="45">
        <v>1.4E-3</v>
      </c>
      <c r="N510" s="45">
        <v>8.9999999999999993E-3</v>
      </c>
      <c r="O510" s="51">
        <v>103.5303353</v>
      </c>
      <c r="P510" s="51">
        <v>9.0342749999999996E-3</v>
      </c>
      <c r="AG510" s="14" t="s">
        <v>223</v>
      </c>
      <c r="AH510" s="14" t="s">
        <v>223</v>
      </c>
      <c r="AI510" s="14" t="s">
        <v>224</v>
      </c>
      <c r="AJ510" s="55">
        <v>1.5999999999999999E-5</v>
      </c>
      <c r="AK510" s="55">
        <v>3.0800000000000003E-5</v>
      </c>
      <c r="AL510" s="55">
        <v>1.7499999999999998E-5</v>
      </c>
      <c r="AM510" s="55">
        <v>2.19E-5</v>
      </c>
      <c r="AN510" s="51">
        <v>0.84366395500000002</v>
      </c>
    </row>
    <row r="511" spans="1:40" x14ac:dyDescent="0.35">
      <c r="A511" s="14" t="s">
        <v>198</v>
      </c>
      <c r="B511" s="14">
        <v>1</v>
      </c>
      <c r="C511" s="44">
        <v>80</v>
      </c>
      <c r="D511" s="14">
        <v>4322</v>
      </c>
      <c r="E511" s="45">
        <v>42.08</v>
      </c>
      <c r="F511" s="45">
        <v>1.17</v>
      </c>
      <c r="G511" s="45">
        <v>7</v>
      </c>
      <c r="H511" s="45">
        <v>35.06</v>
      </c>
      <c r="K511" s="45">
        <v>9.7000000000000003E-3</v>
      </c>
      <c r="L511" s="45">
        <v>67.011600000000001</v>
      </c>
      <c r="M511" s="45">
        <v>1.6000000000000001E-3</v>
      </c>
      <c r="N511" s="45">
        <v>8.0999999999999996E-3</v>
      </c>
      <c r="O511" s="51">
        <v>95.538657819999997</v>
      </c>
      <c r="P511" s="51">
        <v>8.1294149999999992E-3</v>
      </c>
      <c r="AG511" s="14" t="s">
        <v>223</v>
      </c>
      <c r="AH511" s="14" t="s">
        <v>223</v>
      </c>
      <c r="AI511" s="14" t="s">
        <v>224</v>
      </c>
      <c r="AJ511" s="55">
        <v>1.4800000000000001E-5</v>
      </c>
      <c r="AK511" s="55">
        <v>2.4700000000000001E-5</v>
      </c>
      <c r="AL511" s="55">
        <v>1.38E-5</v>
      </c>
      <c r="AM511" s="55">
        <v>1.7900000000000001E-5</v>
      </c>
      <c r="AN511" s="51">
        <v>0.80114975399999999</v>
      </c>
    </row>
    <row r="512" spans="1:40" x14ac:dyDescent="0.35">
      <c r="A512" s="14" t="s">
        <v>198</v>
      </c>
      <c r="B512" s="14">
        <v>1</v>
      </c>
      <c r="C512" s="44">
        <v>90</v>
      </c>
      <c r="D512" s="14">
        <v>4322</v>
      </c>
      <c r="E512" s="45">
        <v>38.26</v>
      </c>
      <c r="F512" s="45">
        <v>1.1000000000000001</v>
      </c>
      <c r="G512" s="45">
        <v>6.75</v>
      </c>
      <c r="H512" s="45">
        <v>29.96</v>
      </c>
      <c r="K512" s="45">
        <v>8.8999999999999999E-3</v>
      </c>
      <c r="L512" s="45">
        <v>63.161499999999997</v>
      </c>
      <c r="M512" s="45">
        <v>1.6000000000000001E-3</v>
      </c>
      <c r="N512" s="45">
        <v>6.8999999999999999E-3</v>
      </c>
      <c r="O512" s="51">
        <v>93.182365809999993</v>
      </c>
      <c r="P512" s="51">
        <v>7.1052290000000002E-3</v>
      </c>
      <c r="AG512" s="14" t="s">
        <v>223</v>
      </c>
      <c r="AH512" s="14" t="s">
        <v>223</v>
      </c>
      <c r="AI512" s="14" t="s">
        <v>224</v>
      </c>
      <c r="AJ512" s="55">
        <v>1.19E-5</v>
      </c>
      <c r="AK512" s="55">
        <v>1.95E-5</v>
      </c>
      <c r="AL512" s="55">
        <v>1.13E-5</v>
      </c>
      <c r="AM512" s="55">
        <v>1.3200000000000001E-5</v>
      </c>
      <c r="AN512" s="51">
        <v>0.78046423600000003</v>
      </c>
    </row>
    <row r="513" spans="1:40" x14ac:dyDescent="0.35">
      <c r="A513" s="14" t="s">
        <v>198</v>
      </c>
      <c r="B513" s="14">
        <v>2</v>
      </c>
      <c r="C513" s="44">
        <v>20</v>
      </c>
      <c r="D513" s="14">
        <v>4411</v>
      </c>
      <c r="E513" s="45">
        <v>41.75</v>
      </c>
      <c r="F513" s="45">
        <v>1.07</v>
      </c>
      <c r="G513" s="45">
        <v>5.59</v>
      </c>
      <c r="H513" s="45">
        <v>38.51</v>
      </c>
      <c r="K513" s="45">
        <v>9.4999999999999998E-3</v>
      </c>
      <c r="L513" s="45">
        <v>61.459299999999999</v>
      </c>
      <c r="M513" s="45">
        <v>1.2999999999999999E-3</v>
      </c>
      <c r="N513" s="45">
        <v>8.6999999999999994E-3</v>
      </c>
      <c r="O513" s="51">
        <v>128.03914449999999</v>
      </c>
      <c r="P513" s="51">
        <v>8.7334370000000001E-3</v>
      </c>
      <c r="AG513" s="14" t="s">
        <v>223</v>
      </c>
      <c r="AH513" s="14" t="s">
        <v>223</v>
      </c>
      <c r="AI513" s="14" t="s">
        <v>224</v>
      </c>
      <c r="AJ513" s="55">
        <v>9.2799999999999992E-6</v>
      </c>
      <c r="AK513" s="55">
        <v>3.1999999999999999E-5</v>
      </c>
      <c r="AL513" s="55">
        <v>1.8600000000000001E-5</v>
      </c>
      <c r="AM513" s="55">
        <v>1.6799999999999998E-5</v>
      </c>
      <c r="AN513" s="51">
        <v>0.85490152399999997</v>
      </c>
    </row>
    <row r="514" spans="1:40" x14ac:dyDescent="0.35">
      <c r="A514" s="14" t="s">
        <v>198</v>
      </c>
      <c r="B514" s="14">
        <v>2</v>
      </c>
      <c r="C514" s="44">
        <v>30</v>
      </c>
      <c r="D514" s="14">
        <v>4411</v>
      </c>
      <c r="E514" s="45">
        <v>43.73</v>
      </c>
      <c r="F514" s="45">
        <v>1.18</v>
      </c>
      <c r="G514" s="45">
        <v>5.66</v>
      </c>
      <c r="H514" s="45">
        <v>37.590000000000003</v>
      </c>
      <c r="K514" s="45">
        <v>9.9000000000000008E-3</v>
      </c>
      <c r="L514" s="45">
        <v>67.785499999999999</v>
      </c>
      <c r="M514" s="45">
        <v>1.2999999999999999E-3</v>
      </c>
      <c r="N514" s="45">
        <v>8.5000000000000006E-3</v>
      </c>
      <c r="O514" s="51">
        <v>99.705442189999999</v>
      </c>
      <c r="P514" s="51">
        <v>8.5420129999999993E-3</v>
      </c>
      <c r="AG514" s="14" t="s">
        <v>223</v>
      </c>
      <c r="AH514" s="14" t="s">
        <v>223</v>
      </c>
      <c r="AI514" s="14" t="s">
        <v>224</v>
      </c>
      <c r="AJ514" s="55">
        <v>1.5400000000000002E-5</v>
      </c>
      <c r="AK514" s="55">
        <v>2.6999999999999999E-5</v>
      </c>
      <c r="AL514" s="55">
        <v>1.9700000000000001E-5</v>
      </c>
      <c r="AM514" s="55">
        <v>1.63E-5</v>
      </c>
      <c r="AN514" s="51">
        <v>0.84979608299999998</v>
      </c>
    </row>
    <row r="515" spans="1:40" x14ac:dyDescent="0.35">
      <c r="A515" s="14" t="s">
        <v>198</v>
      </c>
      <c r="B515" s="14">
        <v>2</v>
      </c>
      <c r="C515" s="44">
        <v>40</v>
      </c>
      <c r="D515" s="14">
        <v>4411</v>
      </c>
      <c r="E515" s="45">
        <v>46.72</v>
      </c>
      <c r="F515" s="45">
        <v>1.2</v>
      </c>
      <c r="G515" s="45">
        <v>4.87</v>
      </c>
      <c r="H515" s="45">
        <v>40.5</v>
      </c>
      <c r="K515" s="45">
        <v>1.06E-2</v>
      </c>
      <c r="L515" s="45">
        <v>69.029499999999999</v>
      </c>
      <c r="M515" s="45">
        <v>1.1000000000000001E-3</v>
      </c>
      <c r="N515" s="45">
        <v>9.1999999999999998E-3</v>
      </c>
      <c r="O515" s="51">
        <v>98.564497849999995</v>
      </c>
      <c r="P515" s="51">
        <v>9.1870379999999998E-3</v>
      </c>
      <c r="AG515" s="14" t="s">
        <v>223</v>
      </c>
      <c r="AH515" s="14" t="s">
        <v>223</v>
      </c>
      <c r="AI515" s="14" t="s">
        <v>224</v>
      </c>
      <c r="AJ515" s="55">
        <v>1.8099999999999999E-5</v>
      </c>
      <c r="AK515" s="55">
        <v>3.0599999999999998E-5</v>
      </c>
      <c r="AL515" s="55">
        <v>2.0999999999999999E-5</v>
      </c>
      <c r="AM515" s="55">
        <v>2.19E-5</v>
      </c>
      <c r="AN515" s="51">
        <v>0.88010749600000004</v>
      </c>
    </row>
    <row r="516" spans="1:40" x14ac:dyDescent="0.35">
      <c r="A516" s="14" t="s">
        <v>198</v>
      </c>
      <c r="B516" s="14">
        <v>2</v>
      </c>
      <c r="C516" s="44">
        <v>50</v>
      </c>
      <c r="D516" s="14">
        <v>4411</v>
      </c>
      <c r="E516" s="45">
        <v>44.12</v>
      </c>
      <c r="F516" s="45">
        <v>1.18</v>
      </c>
      <c r="G516" s="45">
        <v>5.92</v>
      </c>
      <c r="H516" s="45">
        <v>40.159999999999997</v>
      </c>
      <c r="K516" s="45">
        <v>0.01</v>
      </c>
      <c r="L516" s="45">
        <v>67.845799999999997</v>
      </c>
      <c r="M516" s="45">
        <v>1.2999999999999999E-3</v>
      </c>
      <c r="N516" s="45">
        <v>9.1000000000000004E-3</v>
      </c>
      <c r="O516" s="51">
        <v>109.0629359</v>
      </c>
      <c r="P516" s="51">
        <v>9.1019029999999997E-3</v>
      </c>
      <c r="AG516" s="14" t="s">
        <v>223</v>
      </c>
      <c r="AH516" s="14" t="s">
        <v>223</v>
      </c>
      <c r="AI516" s="14" t="s">
        <v>224</v>
      </c>
      <c r="AJ516" s="55">
        <v>1.4800000000000001E-5</v>
      </c>
      <c r="AK516" s="55">
        <v>3.0800000000000003E-5</v>
      </c>
      <c r="AL516" s="55">
        <v>1.98E-5</v>
      </c>
      <c r="AM516" s="55">
        <v>1.9000000000000001E-5</v>
      </c>
      <c r="AN516" s="51">
        <v>0.85321975000000005</v>
      </c>
    </row>
    <row r="517" spans="1:40" x14ac:dyDescent="0.35">
      <c r="A517" s="14" t="s">
        <v>198</v>
      </c>
      <c r="B517" s="14">
        <v>2</v>
      </c>
      <c r="C517" s="44">
        <v>60</v>
      </c>
      <c r="D517" s="14">
        <v>4411</v>
      </c>
      <c r="E517" s="45">
        <v>44.72</v>
      </c>
      <c r="F517" s="45">
        <v>1.0900000000000001</v>
      </c>
      <c r="G517" s="45">
        <v>4.92</v>
      </c>
      <c r="H517" s="45">
        <v>39.24</v>
      </c>
      <c r="K517" s="45">
        <v>1.01E-2</v>
      </c>
      <c r="L517" s="45">
        <v>62.6295</v>
      </c>
      <c r="M517" s="45">
        <v>1.1000000000000001E-3</v>
      </c>
      <c r="N517" s="45">
        <v>8.8999999999999999E-3</v>
      </c>
      <c r="O517" s="51">
        <v>115.0761408</v>
      </c>
      <c r="P517" s="51">
        <v>8.8966970000000003E-3</v>
      </c>
      <c r="AG517" s="14" t="s">
        <v>223</v>
      </c>
      <c r="AH517" s="14" t="s">
        <v>223</v>
      </c>
      <c r="AI517" s="14" t="s">
        <v>224</v>
      </c>
      <c r="AJ517" s="55">
        <v>1.26E-5</v>
      </c>
      <c r="AK517" s="55">
        <v>3.2499999999999997E-5</v>
      </c>
      <c r="AL517" s="55">
        <v>1.9899999999999999E-5</v>
      </c>
      <c r="AM517" s="55">
        <v>1.9700000000000001E-5</v>
      </c>
      <c r="AN517" s="51">
        <v>0.87789063899999997</v>
      </c>
    </row>
    <row r="518" spans="1:40" x14ac:dyDescent="0.35">
      <c r="A518" s="14" t="s">
        <v>198</v>
      </c>
      <c r="B518" s="14">
        <v>2</v>
      </c>
      <c r="C518" s="44">
        <v>70</v>
      </c>
      <c r="D518" s="14">
        <v>4411</v>
      </c>
      <c r="E518" s="45">
        <v>44.6</v>
      </c>
      <c r="F518" s="45">
        <v>1</v>
      </c>
      <c r="G518" s="45">
        <v>4.4400000000000004</v>
      </c>
      <c r="H518" s="45">
        <v>35.1</v>
      </c>
      <c r="K518" s="45">
        <v>1.01E-2</v>
      </c>
      <c r="L518" s="45">
        <v>57.530299999999997</v>
      </c>
      <c r="M518" s="45">
        <v>1E-3</v>
      </c>
      <c r="N518" s="45">
        <v>8.0000000000000002E-3</v>
      </c>
      <c r="O518" s="51">
        <v>106.3686031</v>
      </c>
      <c r="P518" s="51">
        <v>8.0198939999999996E-3</v>
      </c>
      <c r="AG518" s="14" t="s">
        <v>223</v>
      </c>
      <c r="AH518" s="14" t="s">
        <v>223</v>
      </c>
      <c r="AI518" s="14" t="s">
        <v>224</v>
      </c>
      <c r="AJ518" s="55">
        <v>1.1800000000000001E-5</v>
      </c>
      <c r="AK518" s="55">
        <v>2.87E-5</v>
      </c>
      <c r="AL518" s="55">
        <v>2.09E-5</v>
      </c>
      <c r="AM518" s="55">
        <v>1.45E-5</v>
      </c>
      <c r="AN518" s="51">
        <v>0.87539428399999997</v>
      </c>
    </row>
    <row r="519" spans="1:40" x14ac:dyDescent="0.35">
      <c r="A519" s="14" t="s">
        <v>198</v>
      </c>
      <c r="B519" s="14">
        <v>2</v>
      </c>
      <c r="C519" s="44">
        <v>80</v>
      </c>
      <c r="D519" s="14">
        <v>4411</v>
      </c>
      <c r="E519" s="45">
        <v>43.97</v>
      </c>
      <c r="F519" s="45">
        <v>1.02</v>
      </c>
      <c r="G519" s="45">
        <v>5.48</v>
      </c>
      <c r="H519" s="45">
        <v>33.770000000000003</v>
      </c>
      <c r="K519" s="45">
        <v>0.01</v>
      </c>
      <c r="L519" s="45">
        <v>58.1815</v>
      </c>
      <c r="M519" s="45">
        <v>1.1999999999999999E-3</v>
      </c>
      <c r="N519" s="45">
        <v>7.7000000000000002E-3</v>
      </c>
      <c r="O519" s="51">
        <v>100.999495</v>
      </c>
      <c r="P519" s="51">
        <v>7.7979620000000003E-3</v>
      </c>
      <c r="AG519" s="14" t="s">
        <v>223</v>
      </c>
      <c r="AH519" s="14" t="s">
        <v>223</v>
      </c>
      <c r="AI519" s="14" t="s">
        <v>224</v>
      </c>
      <c r="AJ519" s="55">
        <v>1.2500000000000001E-5</v>
      </c>
      <c r="AK519" s="55">
        <v>2.62E-5</v>
      </c>
      <c r="AL519" s="55">
        <v>1.8300000000000001E-5</v>
      </c>
      <c r="AM519" s="55">
        <v>1.43E-5</v>
      </c>
      <c r="AN519" s="51">
        <v>0.84268968300000002</v>
      </c>
    </row>
    <row r="520" spans="1:40" x14ac:dyDescent="0.35">
      <c r="A520" s="14" t="s">
        <v>198</v>
      </c>
      <c r="B520" s="14">
        <v>2</v>
      </c>
      <c r="C520" s="44">
        <v>90</v>
      </c>
      <c r="D520" s="14">
        <v>4411</v>
      </c>
      <c r="E520" s="45">
        <v>40.51</v>
      </c>
      <c r="F520" s="45">
        <v>0.91</v>
      </c>
      <c r="G520" s="45">
        <v>4.26</v>
      </c>
      <c r="H520" s="45">
        <v>29.62</v>
      </c>
      <c r="K520" s="45">
        <v>9.1999999999999998E-3</v>
      </c>
      <c r="L520" s="45">
        <v>52.124299999999998</v>
      </c>
      <c r="M520" s="45">
        <v>1E-3</v>
      </c>
      <c r="N520" s="45">
        <v>6.7000000000000002E-3</v>
      </c>
      <c r="O520" s="51">
        <v>110.52529250000001</v>
      </c>
      <c r="P520" s="51">
        <v>6.9473199999999999E-3</v>
      </c>
      <c r="AG520" s="14" t="s">
        <v>223</v>
      </c>
      <c r="AH520" s="14" t="s">
        <v>223</v>
      </c>
      <c r="AI520" s="14" t="s">
        <v>224</v>
      </c>
      <c r="AJ520" s="55">
        <v>8.3699999999999995E-6</v>
      </c>
      <c r="AK520" s="55">
        <v>2.3E-5</v>
      </c>
      <c r="AL520" s="55">
        <v>1.4600000000000001E-5</v>
      </c>
      <c r="AM520" s="55">
        <v>1.27E-5</v>
      </c>
      <c r="AN520" s="51">
        <v>0.87083808600000001</v>
      </c>
    </row>
    <row r="521" spans="1:40" x14ac:dyDescent="0.35">
      <c r="A521" s="14" t="s">
        <v>198</v>
      </c>
      <c r="B521" s="14">
        <v>3</v>
      </c>
      <c r="C521" s="44">
        <v>20</v>
      </c>
      <c r="D521" s="14">
        <v>3757</v>
      </c>
      <c r="E521" s="45">
        <v>34.82</v>
      </c>
      <c r="F521" s="45">
        <v>1.26</v>
      </c>
      <c r="G521" s="45">
        <v>4.4800000000000004</v>
      </c>
      <c r="H521" s="45">
        <v>29.68</v>
      </c>
      <c r="K521" s="45">
        <v>9.2999999999999992E-3</v>
      </c>
      <c r="L521" s="45">
        <v>72.147000000000006</v>
      </c>
      <c r="M521" s="45">
        <v>1.1999999999999999E-3</v>
      </c>
      <c r="N521" s="45">
        <v>7.9000000000000008E-3</v>
      </c>
      <c r="O521" s="51">
        <v>91.395575480000005</v>
      </c>
      <c r="P521" s="51">
        <v>7.9338280000000004E-3</v>
      </c>
      <c r="AG521" s="14" t="s">
        <v>223</v>
      </c>
      <c r="AH521" s="14" t="s">
        <v>223</v>
      </c>
      <c r="AI521" s="14" t="s">
        <v>224</v>
      </c>
      <c r="AJ521" s="55">
        <v>1.5299999999999999E-5</v>
      </c>
      <c r="AK521" s="55">
        <v>2.1399999999999998E-5</v>
      </c>
      <c r="AL521" s="55">
        <v>1.59E-5</v>
      </c>
      <c r="AM521" s="55">
        <v>1.5400000000000002E-5</v>
      </c>
      <c r="AN521" s="51">
        <v>0.85006727999999998</v>
      </c>
    </row>
    <row r="522" spans="1:40" x14ac:dyDescent="0.35">
      <c r="A522" s="14" t="s">
        <v>198</v>
      </c>
      <c r="B522" s="14">
        <v>3</v>
      </c>
      <c r="C522" s="44">
        <v>30</v>
      </c>
      <c r="D522" s="14">
        <v>3757</v>
      </c>
      <c r="E522" s="45">
        <v>37.159999999999997</v>
      </c>
      <c r="F522" s="45">
        <v>1.4</v>
      </c>
      <c r="G522" s="45">
        <v>4.46</v>
      </c>
      <c r="H522" s="45">
        <v>30.57</v>
      </c>
      <c r="K522" s="45">
        <v>9.9000000000000008E-3</v>
      </c>
      <c r="L522" s="45">
        <v>80.451099999999997</v>
      </c>
      <c r="M522" s="45">
        <v>1.1999999999999999E-3</v>
      </c>
      <c r="N522" s="45">
        <v>8.0999999999999996E-3</v>
      </c>
      <c r="O522" s="51">
        <v>77.093994719999998</v>
      </c>
      <c r="P522" s="51">
        <v>8.152187E-3</v>
      </c>
      <c r="AG522" s="14" t="s">
        <v>223</v>
      </c>
      <c r="AH522" s="14" t="s">
        <v>223</v>
      </c>
      <c r="AI522" s="14" t="s">
        <v>224</v>
      </c>
      <c r="AJ522" s="55">
        <v>2.0800000000000001E-5</v>
      </c>
      <c r="AK522" s="55">
        <v>1.95E-5</v>
      </c>
      <c r="AL522" s="55">
        <v>1.8E-5</v>
      </c>
      <c r="AM522" s="55">
        <v>1.6500000000000001E-5</v>
      </c>
      <c r="AN522" s="51">
        <v>0.85448053999999996</v>
      </c>
    </row>
    <row r="523" spans="1:40" x14ac:dyDescent="0.35">
      <c r="A523" s="14" t="s">
        <v>198</v>
      </c>
      <c r="B523" s="14">
        <v>3</v>
      </c>
      <c r="C523" s="44">
        <v>40</v>
      </c>
      <c r="D523" s="14">
        <v>3757</v>
      </c>
      <c r="E523" s="45">
        <v>36.14</v>
      </c>
      <c r="F523" s="45">
        <v>1.35</v>
      </c>
      <c r="G523" s="45">
        <v>4.82</v>
      </c>
      <c r="H523" s="45">
        <v>31.96</v>
      </c>
      <c r="K523" s="45">
        <v>9.5999999999999992E-3</v>
      </c>
      <c r="L523" s="45">
        <v>77.403499999999994</v>
      </c>
      <c r="M523" s="45">
        <v>1.2999999999999999E-3</v>
      </c>
      <c r="N523" s="45">
        <v>8.5000000000000006E-3</v>
      </c>
      <c r="O523" s="51">
        <v>88.350433859999995</v>
      </c>
      <c r="P523" s="51">
        <v>8.5118190000000003E-3</v>
      </c>
      <c r="AG523" s="14" t="s">
        <v>223</v>
      </c>
      <c r="AH523" s="14" t="s">
        <v>223</v>
      </c>
      <c r="AI523" s="14" t="s">
        <v>224</v>
      </c>
      <c r="AJ523" s="55">
        <v>1.8499999999999999E-5</v>
      </c>
      <c r="AK523" s="55">
        <v>2.2399999999999999E-5</v>
      </c>
      <c r="AL523" s="55">
        <v>1.9700000000000001E-5</v>
      </c>
      <c r="AM523" s="55">
        <v>1.5099999999999999E-5</v>
      </c>
      <c r="AN523" s="51">
        <v>0.84982383500000003</v>
      </c>
    </row>
    <row r="524" spans="1:40" x14ac:dyDescent="0.35">
      <c r="A524" s="14" t="s">
        <v>198</v>
      </c>
      <c r="B524" s="14">
        <v>3</v>
      </c>
      <c r="C524" s="44">
        <v>50</v>
      </c>
      <c r="D524" s="14">
        <v>3757</v>
      </c>
      <c r="E524" s="45">
        <v>36.17</v>
      </c>
      <c r="F524" s="45">
        <v>1.28</v>
      </c>
      <c r="G524" s="45">
        <v>5.23</v>
      </c>
      <c r="H524" s="45">
        <v>31.33</v>
      </c>
      <c r="K524" s="45">
        <v>9.5999999999999992E-3</v>
      </c>
      <c r="L524" s="45">
        <v>73.294399999999996</v>
      </c>
      <c r="M524" s="45">
        <v>1.4E-3</v>
      </c>
      <c r="N524" s="45">
        <v>8.3000000000000001E-3</v>
      </c>
      <c r="O524" s="51">
        <v>91.977016849999998</v>
      </c>
      <c r="P524" s="51">
        <v>8.3457080000000003E-3</v>
      </c>
      <c r="AG524" s="14" t="s">
        <v>223</v>
      </c>
      <c r="AH524" s="14" t="s">
        <v>223</v>
      </c>
      <c r="AI524" s="14" t="s">
        <v>224</v>
      </c>
      <c r="AJ524" s="55">
        <v>1.6799999999999998E-5</v>
      </c>
      <c r="AK524" s="55">
        <v>2.34E-5</v>
      </c>
      <c r="AL524" s="55">
        <v>1.6399999999999999E-5</v>
      </c>
      <c r="AM524" s="55">
        <v>1.7200000000000001E-5</v>
      </c>
      <c r="AN524" s="51">
        <v>0.83495730700000004</v>
      </c>
    </row>
    <row r="525" spans="1:40" x14ac:dyDescent="0.35">
      <c r="A525" s="14" t="s">
        <v>198</v>
      </c>
      <c r="B525" s="14">
        <v>3</v>
      </c>
      <c r="C525" s="44">
        <v>60</v>
      </c>
      <c r="D525" s="14">
        <v>3757</v>
      </c>
      <c r="E525" s="45">
        <v>35.33</v>
      </c>
      <c r="F525" s="45">
        <v>1.26</v>
      </c>
      <c r="G525" s="45">
        <v>5.34</v>
      </c>
      <c r="H525" s="45">
        <v>32.11</v>
      </c>
      <c r="K525" s="45">
        <v>9.4000000000000004E-3</v>
      </c>
      <c r="L525" s="45">
        <v>72.229600000000005</v>
      </c>
      <c r="M525" s="45">
        <v>1.4E-3</v>
      </c>
      <c r="N525" s="45">
        <v>8.5000000000000006E-3</v>
      </c>
      <c r="O525" s="51">
        <v>100.21921</v>
      </c>
      <c r="P525" s="51">
        <v>8.5440519999999999E-3</v>
      </c>
      <c r="AG525" s="14" t="s">
        <v>223</v>
      </c>
      <c r="AH525" s="14" t="s">
        <v>223</v>
      </c>
      <c r="AI525" s="14" t="s">
        <v>224</v>
      </c>
      <c r="AJ525" s="55">
        <v>1.52E-5</v>
      </c>
      <c r="AK525" s="55">
        <v>2.5000000000000001E-5</v>
      </c>
      <c r="AL525" s="55">
        <v>1.84E-5</v>
      </c>
      <c r="AM525" s="55">
        <v>1.5E-5</v>
      </c>
      <c r="AN525" s="51">
        <v>0.83318244299999999</v>
      </c>
    </row>
    <row r="526" spans="1:40" x14ac:dyDescent="0.35">
      <c r="A526" s="14" t="s">
        <v>198</v>
      </c>
      <c r="B526" s="14">
        <v>3</v>
      </c>
      <c r="C526" s="44">
        <v>70</v>
      </c>
      <c r="D526" s="14">
        <v>3757</v>
      </c>
      <c r="E526" s="45">
        <v>35.65</v>
      </c>
      <c r="F526" s="45">
        <v>1.23</v>
      </c>
      <c r="G526" s="45">
        <v>5.14</v>
      </c>
      <c r="H526" s="45">
        <v>31.14</v>
      </c>
      <c r="K526" s="45">
        <v>9.4999999999999998E-3</v>
      </c>
      <c r="L526" s="45">
        <v>70.258499999999998</v>
      </c>
      <c r="M526" s="45">
        <v>1.4E-3</v>
      </c>
      <c r="N526" s="45">
        <v>8.3000000000000001E-3</v>
      </c>
      <c r="O526" s="51">
        <v>97.863619889999995</v>
      </c>
      <c r="P526" s="51">
        <v>8.2914210000000002E-3</v>
      </c>
      <c r="AG526" s="14" t="s">
        <v>223</v>
      </c>
      <c r="AH526" s="14" t="s">
        <v>223</v>
      </c>
      <c r="AI526" s="14" t="s">
        <v>224</v>
      </c>
      <c r="AJ526" s="55">
        <v>1.5E-5</v>
      </c>
      <c r="AK526" s="55">
        <v>2.44E-5</v>
      </c>
      <c r="AL526" s="55">
        <v>1.7E-5</v>
      </c>
      <c r="AM526" s="55">
        <v>1.5800000000000001E-5</v>
      </c>
      <c r="AN526" s="51">
        <v>0.83508213600000003</v>
      </c>
    </row>
    <row r="527" spans="1:40" x14ac:dyDescent="0.35">
      <c r="A527" s="14" t="s">
        <v>198</v>
      </c>
      <c r="B527" s="14">
        <v>3</v>
      </c>
      <c r="C527" s="44">
        <v>80</v>
      </c>
      <c r="D527" s="14">
        <v>3757</v>
      </c>
      <c r="E527" s="45">
        <v>34.68</v>
      </c>
      <c r="F527" s="45">
        <v>1.03</v>
      </c>
      <c r="G527" s="45">
        <v>2.92</v>
      </c>
      <c r="H527" s="45">
        <v>25.53</v>
      </c>
      <c r="K527" s="45">
        <v>9.1999999999999998E-3</v>
      </c>
      <c r="L527" s="45">
        <v>58.878599999999999</v>
      </c>
      <c r="M527" s="45">
        <v>8.0000000000000004E-4</v>
      </c>
      <c r="N527" s="45">
        <v>6.7999999999999996E-3</v>
      </c>
      <c r="O527" s="51">
        <v>92.342608260000006</v>
      </c>
      <c r="P527" s="51">
        <v>6.7977469999999998E-3</v>
      </c>
      <c r="AG527" s="14" t="s">
        <v>223</v>
      </c>
      <c r="AH527" s="14" t="s">
        <v>223</v>
      </c>
      <c r="AI527" s="14" t="s">
        <v>224</v>
      </c>
      <c r="AJ527" s="55">
        <v>1.1E-5</v>
      </c>
      <c r="AK527" s="55">
        <v>2.0400000000000001E-5</v>
      </c>
      <c r="AL527" s="55">
        <v>1.5400000000000002E-5</v>
      </c>
      <c r="AM527" s="55">
        <v>1.24E-5</v>
      </c>
      <c r="AN527" s="51">
        <v>0.886251715</v>
      </c>
    </row>
    <row r="528" spans="1:40" x14ac:dyDescent="0.35">
      <c r="A528" s="14" t="s">
        <v>198</v>
      </c>
      <c r="B528" s="14">
        <v>3</v>
      </c>
      <c r="C528" s="44">
        <v>90</v>
      </c>
      <c r="D528" s="14">
        <v>3757</v>
      </c>
      <c r="E528" s="45">
        <v>32.130000000000003</v>
      </c>
      <c r="F528" s="45">
        <v>0.97</v>
      </c>
      <c r="G528" s="45">
        <v>5.12</v>
      </c>
      <c r="H528" s="45">
        <v>23.28</v>
      </c>
      <c r="K528" s="45">
        <v>8.6E-3</v>
      </c>
      <c r="L528" s="45">
        <v>55.616</v>
      </c>
      <c r="M528" s="45">
        <v>1.4E-3</v>
      </c>
      <c r="N528" s="45">
        <v>6.1999999999999998E-3</v>
      </c>
      <c r="O528" s="51">
        <v>97.891259129999995</v>
      </c>
      <c r="P528" s="51">
        <v>6.1950180000000001E-3</v>
      </c>
      <c r="AG528" s="14" t="s">
        <v>223</v>
      </c>
      <c r="AH528" s="14" t="s">
        <v>223</v>
      </c>
      <c r="AI528" s="14" t="s">
        <v>224</v>
      </c>
      <c r="AJ528" s="55">
        <v>8.3000000000000002E-6</v>
      </c>
      <c r="AK528" s="55">
        <v>1.8199999999999999E-5</v>
      </c>
      <c r="AL528" s="55">
        <v>1.17E-5</v>
      </c>
      <c r="AM528" s="55">
        <v>9.0100000000000001E-6</v>
      </c>
      <c r="AN528" s="51">
        <v>0.78007138799999998</v>
      </c>
    </row>
    <row r="529" spans="1:40" x14ac:dyDescent="0.35">
      <c r="A529" s="14" t="s">
        <v>218</v>
      </c>
      <c r="B529" s="14">
        <v>1</v>
      </c>
      <c r="C529" s="44">
        <v>20</v>
      </c>
      <c r="D529" s="14">
        <v>3102</v>
      </c>
      <c r="E529" s="45">
        <v>57.99</v>
      </c>
      <c r="F529" s="45">
        <v>1.05</v>
      </c>
      <c r="G529" s="45">
        <v>5.87</v>
      </c>
      <c r="H529" s="45">
        <v>38.76</v>
      </c>
      <c r="K529" s="45">
        <v>1.8700000000000001E-2</v>
      </c>
      <c r="L529" s="45">
        <v>60.344499999999996</v>
      </c>
      <c r="M529" s="45">
        <v>1.9E-3</v>
      </c>
      <c r="N529" s="45">
        <v>1.2500000000000001E-2</v>
      </c>
      <c r="O529" s="51">
        <v>75.896789889999994</v>
      </c>
      <c r="P529" s="51">
        <v>1.2592295E-2</v>
      </c>
      <c r="AG529" s="14" t="s">
        <v>223</v>
      </c>
      <c r="AH529" s="14" t="s">
        <v>223</v>
      </c>
      <c r="AI529" s="14" t="s">
        <v>224</v>
      </c>
      <c r="AJ529" s="55">
        <v>5.0699999999999999E-5</v>
      </c>
      <c r="AK529" s="55">
        <v>6.7100000000000005E-5</v>
      </c>
      <c r="AL529" s="55">
        <v>5.5300000000000002E-5</v>
      </c>
      <c r="AM529" s="55">
        <v>4.4700000000000002E-5</v>
      </c>
      <c r="AN529" s="51">
        <v>0.84862277500000005</v>
      </c>
    </row>
    <row r="530" spans="1:40" x14ac:dyDescent="0.35">
      <c r="A530" s="14" t="s">
        <v>218</v>
      </c>
      <c r="B530" s="14">
        <v>1</v>
      </c>
      <c r="C530" s="44">
        <v>30</v>
      </c>
      <c r="D530" s="14">
        <v>3102</v>
      </c>
      <c r="E530" s="45">
        <v>59.75</v>
      </c>
      <c r="F530" s="45">
        <v>0.97</v>
      </c>
      <c r="G530" s="45">
        <v>6.21</v>
      </c>
      <c r="H530" s="45">
        <v>38.9</v>
      </c>
      <c r="K530" s="45">
        <v>1.9300000000000001E-2</v>
      </c>
      <c r="L530" s="45">
        <v>55.681399999999996</v>
      </c>
      <c r="M530" s="45">
        <v>2E-3</v>
      </c>
      <c r="N530" s="45">
        <v>1.2500000000000001E-2</v>
      </c>
      <c r="O530" s="51">
        <v>79.61667061</v>
      </c>
      <c r="P530" s="51">
        <v>1.2582156000000001E-2</v>
      </c>
      <c r="AG530" s="14" t="s">
        <v>223</v>
      </c>
      <c r="AH530" s="14" t="s">
        <v>223</v>
      </c>
      <c r="AI530" s="14" t="s">
        <v>224</v>
      </c>
      <c r="AJ530" s="55">
        <v>4.74E-5</v>
      </c>
      <c r="AK530" s="55">
        <v>7.3800000000000005E-5</v>
      </c>
      <c r="AL530" s="55">
        <v>5.0800000000000002E-5</v>
      </c>
      <c r="AM530" s="55">
        <v>5.1700000000000003E-5</v>
      </c>
      <c r="AN530" s="51">
        <v>0.84591434099999996</v>
      </c>
    </row>
    <row r="531" spans="1:40" x14ac:dyDescent="0.35">
      <c r="A531" s="14" t="s">
        <v>218</v>
      </c>
      <c r="B531" s="14">
        <v>1</v>
      </c>
      <c r="C531" s="44">
        <v>40</v>
      </c>
      <c r="D531" s="14">
        <v>3102</v>
      </c>
      <c r="E531" s="45">
        <v>51.35</v>
      </c>
      <c r="F531" s="45">
        <v>1.1200000000000001</v>
      </c>
      <c r="G531" s="45">
        <v>5.38</v>
      </c>
      <c r="H531" s="45">
        <v>36.96</v>
      </c>
      <c r="K531" s="45">
        <v>1.66E-2</v>
      </c>
      <c r="L531" s="45">
        <v>64.183400000000006</v>
      </c>
      <c r="M531" s="45">
        <v>1.6999999999999999E-3</v>
      </c>
      <c r="N531" s="45">
        <v>1.1900000000000001E-2</v>
      </c>
      <c r="O531" s="51">
        <v>80.355931299999995</v>
      </c>
      <c r="P531" s="51">
        <v>1.1949756000000001E-2</v>
      </c>
      <c r="AG531" s="14" t="s">
        <v>223</v>
      </c>
      <c r="AH531" s="14" t="s">
        <v>223</v>
      </c>
      <c r="AI531" s="14" t="s">
        <v>224</v>
      </c>
      <c r="AJ531" s="55">
        <v>4.2299999999999998E-5</v>
      </c>
      <c r="AK531" s="55">
        <v>5.66E-5</v>
      </c>
      <c r="AL531" s="55">
        <v>4.4799999999999998E-5</v>
      </c>
      <c r="AM531" s="55">
        <v>3.9900000000000001E-5</v>
      </c>
      <c r="AN531" s="51">
        <v>0.85698270099999996</v>
      </c>
    </row>
    <row r="532" spans="1:40" x14ac:dyDescent="0.35">
      <c r="A532" s="14" t="s">
        <v>218</v>
      </c>
      <c r="B532" s="14">
        <v>1</v>
      </c>
      <c r="C532" s="44">
        <v>50</v>
      </c>
      <c r="D532" s="14">
        <v>3102</v>
      </c>
      <c r="E532" s="45">
        <v>48.65</v>
      </c>
      <c r="F532" s="45">
        <v>1.17</v>
      </c>
      <c r="G532" s="45">
        <v>5.33</v>
      </c>
      <c r="H532" s="45">
        <v>38.33</v>
      </c>
      <c r="K532" s="45">
        <v>1.5699999999999999E-2</v>
      </c>
      <c r="L532" s="45">
        <v>67.050299999999993</v>
      </c>
      <c r="M532" s="45">
        <v>1.6999999999999999E-3</v>
      </c>
      <c r="N532" s="45">
        <v>1.24E-2</v>
      </c>
      <c r="O532" s="51">
        <v>88.051122759999998</v>
      </c>
      <c r="P532" s="51">
        <v>1.2359078000000001E-2</v>
      </c>
      <c r="AG532" s="14" t="s">
        <v>223</v>
      </c>
      <c r="AH532" s="14" t="s">
        <v>223</v>
      </c>
      <c r="AI532" s="14" t="s">
        <v>224</v>
      </c>
      <c r="AJ532" s="55">
        <v>3.9199999999999997E-5</v>
      </c>
      <c r="AK532" s="55">
        <v>5.7599999999999997E-5</v>
      </c>
      <c r="AL532" s="55">
        <v>4.6E-5</v>
      </c>
      <c r="AM532" s="55">
        <v>3.7400000000000001E-5</v>
      </c>
      <c r="AN532" s="51">
        <v>0.86078496299999996</v>
      </c>
    </row>
    <row r="533" spans="1:40" x14ac:dyDescent="0.35">
      <c r="A533" s="14" t="s">
        <v>218</v>
      </c>
      <c r="B533" s="14">
        <v>1</v>
      </c>
      <c r="C533" s="44">
        <v>60</v>
      </c>
      <c r="D533" s="14">
        <v>3102</v>
      </c>
      <c r="E533" s="45">
        <v>48.22</v>
      </c>
      <c r="F533" s="45">
        <v>1.0900000000000001</v>
      </c>
      <c r="G533" s="45">
        <v>6.38</v>
      </c>
      <c r="H533" s="45">
        <v>35.659999999999997</v>
      </c>
      <c r="K533" s="45">
        <v>1.55E-2</v>
      </c>
      <c r="L533" s="45">
        <v>62.253</v>
      </c>
      <c r="M533" s="45">
        <v>2.0999999999999999E-3</v>
      </c>
      <c r="N533" s="45">
        <v>1.15E-2</v>
      </c>
      <c r="O533" s="51">
        <v>87.180078760000001</v>
      </c>
      <c r="P533" s="51">
        <v>1.1558923E-2</v>
      </c>
      <c r="AG533" s="14" t="s">
        <v>223</v>
      </c>
      <c r="AH533" s="14" t="s">
        <v>223</v>
      </c>
      <c r="AI533" s="14" t="s">
        <v>224</v>
      </c>
      <c r="AJ533" s="55">
        <v>3.4700000000000003E-5</v>
      </c>
      <c r="AK533" s="55">
        <v>5.4700000000000001E-5</v>
      </c>
      <c r="AL533" s="55">
        <v>4.2799999999999997E-5</v>
      </c>
      <c r="AM533" s="55">
        <v>3.0700000000000001E-5</v>
      </c>
      <c r="AN533" s="51">
        <v>0.82180383099999998</v>
      </c>
    </row>
    <row r="534" spans="1:40" x14ac:dyDescent="0.35">
      <c r="A534" s="14" t="s">
        <v>218</v>
      </c>
      <c r="B534" s="14">
        <v>1</v>
      </c>
      <c r="C534" s="44">
        <v>70</v>
      </c>
      <c r="D534" s="14">
        <v>3102</v>
      </c>
      <c r="E534" s="45">
        <v>45.01</v>
      </c>
      <c r="F534" s="45">
        <v>1.06</v>
      </c>
      <c r="G534" s="45">
        <v>6.21</v>
      </c>
      <c r="H534" s="45">
        <v>32.89</v>
      </c>
      <c r="K534" s="45">
        <v>1.4500000000000001E-2</v>
      </c>
      <c r="L534" s="45">
        <v>60.750700000000002</v>
      </c>
      <c r="M534" s="45">
        <v>2E-3</v>
      </c>
      <c r="N534" s="45">
        <v>1.06E-2</v>
      </c>
      <c r="O534" s="51">
        <v>87.926401839999997</v>
      </c>
      <c r="P534" s="51">
        <v>1.0825204E-2</v>
      </c>
      <c r="AG534" s="14" t="s">
        <v>223</v>
      </c>
      <c r="AH534" s="14" t="s">
        <v>223</v>
      </c>
      <c r="AI534" s="14" t="s">
        <v>224</v>
      </c>
      <c r="AJ534" s="55">
        <v>3.0300000000000001E-5</v>
      </c>
      <c r="AK534" s="55">
        <v>4.7899999999999999E-5</v>
      </c>
      <c r="AL534" s="55">
        <v>3.4400000000000003E-5</v>
      </c>
      <c r="AM534" s="55">
        <v>2.9300000000000001E-5</v>
      </c>
      <c r="AN534" s="51">
        <v>0.81358952799999995</v>
      </c>
    </row>
    <row r="535" spans="1:40" x14ac:dyDescent="0.35">
      <c r="A535" s="14" t="s">
        <v>218</v>
      </c>
      <c r="B535" s="14">
        <v>1</v>
      </c>
      <c r="C535" s="44">
        <v>80</v>
      </c>
      <c r="D535" s="14">
        <v>3102</v>
      </c>
      <c r="E535" s="45">
        <v>45.12</v>
      </c>
      <c r="F535" s="45">
        <v>1.1100000000000001</v>
      </c>
      <c r="G535" s="45">
        <v>6.97</v>
      </c>
      <c r="H535" s="45">
        <v>32.659999999999997</v>
      </c>
      <c r="K535" s="45">
        <v>1.4500000000000001E-2</v>
      </c>
      <c r="L535" s="45">
        <v>63.607999999999997</v>
      </c>
      <c r="M535" s="45">
        <v>2.2000000000000001E-3</v>
      </c>
      <c r="N535" s="45">
        <v>1.0500000000000001E-2</v>
      </c>
      <c r="O535" s="51">
        <v>81.445769780000006</v>
      </c>
      <c r="P535" s="51">
        <v>1.0674197999999999E-2</v>
      </c>
      <c r="AG535" s="14" t="s">
        <v>223</v>
      </c>
      <c r="AH535" s="14" t="s">
        <v>223</v>
      </c>
      <c r="AI535" s="14" t="s">
        <v>224</v>
      </c>
      <c r="AJ535" s="55">
        <v>3.3000000000000003E-5</v>
      </c>
      <c r="AK535" s="55">
        <v>4.4700000000000002E-5</v>
      </c>
      <c r="AL535" s="55">
        <v>3.6600000000000002E-5</v>
      </c>
      <c r="AM535" s="55">
        <v>2.44E-5</v>
      </c>
      <c r="AN535" s="51">
        <v>0.78608779600000001</v>
      </c>
    </row>
    <row r="536" spans="1:40" x14ac:dyDescent="0.35">
      <c r="A536" s="14" t="s">
        <v>218</v>
      </c>
      <c r="B536" s="14">
        <v>1</v>
      </c>
      <c r="C536" s="44">
        <v>90</v>
      </c>
      <c r="D536" s="14">
        <v>3102</v>
      </c>
      <c r="E536" s="45">
        <v>37.5</v>
      </c>
      <c r="F536" s="45">
        <v>1</v>
      </c>
      <c r="G536" s="45">
        <v>4.3099999999999996</v>
      </c>
      <c r="H536" s="45">
        <v>25.84</v>
      </c>
      <c r="K536" s="45">
        <v>1.21E-2</v>
      </c>
      <c r="L536" s="45">
        <v>57.508699999999997</v>
      </c>
      <c r="M536" s="45">
        <v>1.4E-3</v>
      </c>
      <c r="N536" s="45">
        <v>8.3000000000000001E-3</v>
      </c>
      <c r="O536" s="51">
        <v>85.566102950000001</v>
      </c>
      <c r="P536" s="51">
        <v>8.3472709999999999E-3</v>
      </c>
      <c r="AG536" s="14" t="s">
        <v>223</v>
      </c>
      <c r="AH536" s="14" t="s">
        <v>223</v>
      </c>
      <c r="AI536" s="14" t="s">
        <v>224</v>
      </c>
      <c r="AJ536" s="55">
        <v>1.88E-5</v>
      </c>
      <c r="AK536" s="55">
        <v>3.1600000000000002E-5</v>
      </c>
      <c r="AL536" s="55">
        <v>2.2099999999999998E-5</v>
      </c>
      <c r="AM536" s="55">
        <v>2.0000000000000002E-5</v>
      </c>
      <c r="AN536" s="51">
        <v>0.83445477499999998</v>
      </c>
    </row>
    <row r="537" spans="1:40" x14ac:dyDescent="0.35">
      <c r="A537" s="14" t="s">
        <v>218</v>
      </c>
      <c r="B537" s="14">
        <v>2</v>
      </c>
      <c r="C537" s="44">
        <v>20</v>
      </c>
      <c r="D537" s="14">
        <v>4037</v>
      </c>
      <c r="E537" s="45">
        <v>68.319999999999993</v>
      </c>
      <c r="F537" s="45">
        <v>1.1000000000000001</v>
      </c>
      <c r="G537" s="45">
        <v>5.61</v>
      </c>
      <c r="H537" s="45">
        <v>49.95</v>
      </c>
      <c r="K537" s="45">
        <v>1.6899999999999998E-2</v>
      </c>
      <c r="L537" s="45">
        <v>62.863900000000001</v>
      </c>
      <c r="M537" s="45">
        <v>1.4E-3</v>
      </c>
      <c r="N537" s="45">
        <v>1.24E-2</v>
      </c>
      <c r="O537" s="51">
        <v>84.057407580000003</v>
      </c>
      <c r="P537" s="51">
        <v>1.2406116E-2</v>
      </c>
      <c r="AG537" s="14" t="s">
        <v>223</v>
      </c>
      <c r="AH537" s="14" t="s">
        <v>223</v>
      </c>
      <c r="AI537" s="14" t="s">
        <v>224</v>
      </c>
      <c r="AJ537" s="55">
        <v>4.2299999999999998E-5</v>
      </c>
      <c r="AK537" s="55">
        <v>6.2600000000000004E-5</v>
      </c>
      <c r="AL537" s="55">
        <v>5.5300000000000002E-5</v>
      </c>
      <c r="AM537" s="55">
        <v>3.8000000000000002E-5</v>
      </c>
      <c r="AN537" s="51">
        <v>0.89034922900000002</v>
      </c>
    </row>
    <row r="538" spans="1:40" x14ac:dyDescent="0.35">
      <c r="A538" s="14" t="s">
        <v>218</v>
      </c>
      <c r="B538" s="14">
        <v>2</v>
      </c>
      <c r="C538" s="44">
        <v>30</v>
      </c>
      <c r="D538" s="14">
        <v>4037</v>
      </c>
      <c r="E538" s="45">
        <v>67.430000000000007</v>
      </c>
      <c r="F538" s="45">
        <v>1.07</v>
      </c>
      <c r="G538" s="45">
        <v>5.43</v>
      </c>
      <c r="H538" s="45">
        <v>47.79</v>
      </c>
      <c r="K538" s="45">
        <v>1.67E-2</v>
      </c>
      <c r="L538" s="45">
        <v>61.221699999999998</v>
      </c>
      <c r="M538" s="45">
        <v>1.2999999999999999E-3</v>
      </c>
      <c r="N538" s="45">
        <v>1.18E-2</v>
      </c>
      <c r="O538" s="51">
        <v>82.724333360000003</v>
      </c>
      <c r="P538" s="51">
        <v>1.1905300000000001E-2</v>
      </c>
      <c r="AG538" s="14" t="s">
        <v>223</v>
      </c>
      <c r="AH538" s="14" t="s">
        <v>223</v>
      </c>
      <c r="AI538" s="14" t="s">
        <v>224</v>
      </c>
      <c r="AJ538" s="55">
        <v>4.0099999999999999E-5</v>
      </c>
      <c r="AK538" s="55">
        <v>5.9200000000000002E-5</v>
      </c>
      <c r="AL538" s="55">
        <v>4.57E-5</v>
      </c>
      <c r="AM538" s="55">
        <v>4.2400000000000001E-5</v>
      </c>
      <c r="AN538" s="51">
        <v>0.88775753599999996</v>
      </c>
    </row>
    <row r="539" spans="1:40" x14ac:dyDescent="0.35">
      <c r="A539" s="14" t="s">
        <v>218</v>
      </c>
      <c r="B539" s="14">
        <v>2</v>
      </c>
      <c r="C539" s="44">
        <v>40</v>
      </c>
      <c r="D539" s="14">
        <v>4037</v>
      </c>
      <c r="E539" s="45">
        <v>67.03</v>
      </c>
      <c r="F539" s="45">
        <v>1.01</v>
      </c>
      <c r="G539" s="45">
        <v>7.79</v>
      </c>
      <c r="H539" s="45">
        <v>45.37</v>
      </c>
      <c r="K539" s="45">
        <v>1.66E-2</v>
      </c>
      <c r="L539" s="45">
        <v>58.0182</v>
      </c>
      <c r="M539" s="45">
        <v>1.9E-3</v>
      </c>
      <c r="N539" s="45">
        <v>1.12E-2</v>
      </c>
      <c r="O539" s="51">
        <v>80.892971459999998</v>
      </c>
      <c r="P539" s="51">
        <v>1.1305569E-2</v>
      </c>
      <c r="AG539" s="14" t="s">
        <v>223</v>
      </c>
      <c r="AH539" s="14" t="s">
        <v>223</v>
      </c>
      <c r="AI539" s="14" t="s">
        <v>224</v>
      </c>
      <c r="AJ539" s="55">
        <v>3.7299999999999999E-5</v>
      </c>
      <c r="AK539" s="55">
        <v>5.6900000000000001E-5</v>
      </c>
      <c r="AL539" s="55">
        <v>3.9900000000000001E-5</v>
      </c>
      <c r="AM539" s="55">
        <v>3.82E-5</v>
      </c>
      <c r="AN539" s="51">
        <v>0.82954153600000002</v>
      </c>
    </row>
    <row r="540" spans="1:40" x14ac:dyDescent="0.35">
      <c r="A540" s="14" t="s">
        <v>218</v>
      </c>
      <c r="B540" s="14">
        <v>2</v>
      </c>
      <c r="C540" s="44">
        <v>50</v>
      </c>
      <c r="D540" s="14">
        <v>4037</v>
      </c>
      <c r="E540" s="45">
        <v>62.87</v>
      </c>
      <c r="F540" s="45">
        <v>1.1499999999999999</v>
      </c>
      <c r="G540" s="45">
        <v>8.59</v>
      </c>
      <c r="H540" s="45">
        <v>51.63</v>
      </c>
      <c r="K540" s="45">
        <v>1.5599999999999999E-2</v>
      </c>
      <c r="L540" s="45">
        <v>65.863500000000002</v>
      </c>
      <c r="M540" s="45">
        <v>2.0999999999999999E-3</v>
      </c>
      <c r="N540" s="45">
        <v>1.2800000000000001E-2</v>
      </c>
      <c r="O540" s="51">
        <v>95.760688479999999</v>
      </c>
      <c r="P540" s="51">
        <v>1.2859880000000001E-2</v>
      </c>
      <c r="AG540" s="14" t="s">
        <v>223</v>
      </c>
      <c r="AH540" s="14" t="s">
        <v>223</v>
      </c>
      <c r="AI540" s="14" t="s">
        <v>224</v>
      </c>
      <c r="AJ540" s="55">
        <v>3.7100000000000001E-5</v>
      </c>
      <c r="AK540" s="55">
        <v>6.3E-5</v>
      </c>
      <c r="AL540" s="55">
        <v>3.6699999999999998E-5</v>
      </c>
      <c r="AM540" s="55">
        <v>4.6999999999999997E-5</v>
      </c>
      <c r="AN540" s="51">
        <v>0.83579045399999996</v>
      </c>
    </row>
    <row r="541" spans="1:40" x14ac:dyDescent="0.35">
      <c r="A541" s="14" t="s">
        <v>218</v>
      </c>
      <c r="B541" s="14">
        <v>2</v>
      </c>
      <c r="C541" s="44">
        <v>60</v>
      </c>
      <c r="D541" s="14">
        <v>4037</v>
      </c>
      <c r="E541" s="45">
        <v>64.819999999999993</v>
      </c>
      <c r="F541" s="45">
        <v>1.04</v>
      </c>
      <c r="G541" s="45">
        <v>13.43</v>
      </c>
      <c r="H541" s="45">
        <v>45.29</v>
      </c>
      <c r="K541" s="45">
        <v>1.61E-2</v>
      </c>
      <c r="L541" s="45">
        <v>59.579300000000003</v>
      </c>
      <c r="M541" s="45">
        <v>3.3E-3</v>
      </c>
      <c r="N541" s="45">
        <v>1.12E-2</v>
      </c>
      <c r="O541" s="51">
        <v>83.420084090000003</v>
      </c>
      <c r="P541" s="51">
        <v>1.12195E-2</v>
      </c>
      <c r="AG541" s="14" t="s">
        <v>223</v>
      </c>
      <c r="AH541" s="14" t="s">
        <v>223</v>
      </c>
      <c r="AI541" s="14" t="s">
        <v>224</v>
      </c>
      <c r="AJ541" s="55">
        <v>3.5200000000000002E-5</v>
      </c>
      <c r="AK541" s="55">
        <v>5.4799999999999997E-5</v>
      </c>
      <c r="AL541" s="55">
        <v>3.4499999999999998E-5</v>
      </c>
      <c r="AM541" s="55">
        <v>2.9099999999999999E-5</v>
      </c>
      <c r="AN541" s="51">
        <v>0.70541891599999995</v>
      </c>
    </row>
    <row r="542" spans="1:40" x14ac:dyDescent="0.35">
      <c r="A542" s="14" t="s">
        <v>218</v>
      </c>
      <c r="B542" s="14">
        <v>2</v>
      </c>
      <c r="C542" s="44">
        <v>70</v>
      </c>
      <c r="D542" s="14">
        <v>4037</v>
      </c>
      <c r="E542" s="45">
        <v>61.67</v>
      </c>
      <c r="F542" s="45">
        <v>1.06</v>
      </c>
      <c r="G542" s="45">
        <v>13.78</v>
      </c>
      <c r="H542" s="45">
        <v>42.38</v>
      </c>
      <c r="K542" s="45">
        <v>1.5299999999999999E-2</v>
      </c>
      <c r="L542" s="45">
        <v>60.449100000000001</v>
      </c>
      <c r="M542" s="45">
        <v>3.3999999999999998E-3</v>
      </c>
      <c r="N542" s="45">
        <v>1.0500000000000001E-2</v>
      </c>
      <c r="O542" s="51">
        <v>79.755784349999999</v>
      </c>
      <c r="P542" s="51">
        <v>1.0515892000000001E-2</v>
      </c>
      <c r="AG542" s="14" t="s">
        <v>223</v>
      </c>
      <c r="AH542" s="14" t="s">
        <v>223</v>
      </c>
      <c r="AI542" s="14" t="s">
        <v>224</v>
      </c>
      <c r="AJ542" s="55">
        <v>3.3000000000000003E-5</v>
      </c>
      <c r="AK542" s="55">
        <v>4.7299999999999998E-5</v>
      </c>
      <c r="AL542" s="55">
        <v>2.87E-5</v>
      </c>
      <c r="AM542" s="55">
        <v>2.5700000000000001E-5</v>
      </c>
      <c r="AN542" s="51">
        <v>0.67667302799999995</v>
      </c>
    </row>
    <row r="543" spans="1:40" x14ac:dyDescent="0.35">
      <c r="A543" s="14" t="s">
        <v>218</v>
      </c>
      <c r="B543" s="14">
        <v>2</v>
      </c>
      <c r="C543" s="44">
        <v>80</v>
      </c>
      <c r="D543" s="14">
        <v>4037</v>
      </c>
      <c r="E543" s="45">
        <v>54.46</v>
      </c>
      <c r="F543" s="45">
        <v>1</v>
      </c>
      <c r="G543" s="45">
        <v>10.050000000000001</v>
      </c>
      <c r="H543" s="45">
        <v>37.58</v>
      </c>
      <c r="K543" s="45">
        <v>1.35E-2</v>
      </c>
      <c r="L543" s="45">
        <v>57.242699999999999</v>
      </c>
      <c r="M543" s="45">
        <v>2.5000000000000001E-3</v>
      </c>
      <c r="N543" s="45">
        <v>9.2999999999999992E-3</v>
      </c>
      <c r="O543" s="51">
        <v>85.876811720000006</v>
      </c>
      <c r="P543" s="51">
        <v>9.3415119999999997E-3</v>
      </c>
      <c r="AG543" s="14" t="s">
        <v>223</v>
      </c>
      <c r="AH543" s="14" t="s">
        <v>223</v>
      </c>
      <c r="AI543" s="14" t="s">
        <v>224</v>
      </c>
      <c r="AJ543" s="55">
        <v>2.34E-5</v>
      </c>
      <c r="AK543" s="55">
        <v>3.96E-5</v>
      </c>
      <c r="AL543" s="55">
        <v>2.73E-5</v>
      </c>
      <c r="AM543" s="55">
        <v>1.8899999999999999E-5</v>
      </c>
      <c r="AN543" s="51">
        <v>0.73372900799999996</v>
      </c>
    </row>
    <row r="544" spans="1:40" x14ac:dyDescent="0.35">
      <c r="A544" s="14" t="s">
        <v>218</v>
      </c>
      <c r="B544" s="14">
        <v>2</v>
      </c>
      <c r="C544" s="44">
        <v>90</v>
      </c>
      <c r="D544" s="14">
        <v>4037</v>
      </c>
      <c r="E544" s="45">
        <v>51.19</v>
      </c>
      <c r="F544" s="45">
        <v>0.97</v>
      </c>
      <c r="G544" s="45">
        <v>7.8</v>
      </c>
      <c r="H544" s="45">
        <v>33.67</v>
      </c>
      <c r="K544" s="45">
        <v>1.2699999999999999E-2</v>
      </c>
      <c r="L544" s="45">
        <v>55.6601</v>
      </c>
      <c r="M544" s="45">
        <v>1.9E-3</v>
      </c>
      <c r="N544" s="45">
        <v>8.3000000000000001E-3</v>
      </c>
      <c r="O544" s="51">
        <v>81.723492309999997</v>
      </c>
      <c r="P544" s="51">
        <v>8.3395299999999995E-3</v>
      </c>
      <c r="AG544" s="14" t="s">
        <v>223</v>
      </c>
      <c r="AH544" s="14" t="s">
        <v>223</v>
      </c>
      <c r="AI544" s="14" t="s">
        <v>224</v>
      </c>
      <c r="AJ544" s="55">
        <v>2.0100000000000001E-5</v>
      </c>
      <c r="AK544" s="55">
        <v>3.2799999999999998E-5</v>
      </c>
      <c r="AL544" s="55">
        <v>1.8899999999999999E-5</v>
      </c>
      <c r="AM544" s="55">
        <v>2.1699999999999999E-5</v>
      </c>
      <c r="AN544" s="51">
        <v>0.76855099599999999</v>
      </c>
    </row>
    <row r="545" spans="1:40" x14ac:dyDescent="0.35">
      <c r="A545" s="14" t="s">
        <v>218</v>
      </c>
      <c r="B545" s="14">
        <v>3</v>
      </c>
      <c r="C545" s="44">
        <v>20</v>
      </c>
      <c r="D545" s="14">
        <v>3858</v>
      </c>
      <c r="E545" s="45">
        <v>67.7</v>
      </c>
      <c r="F545" s="45">
        <v>1.23</v>
      </c>
      <c r="G545" s="45">
        <v>9.17</v>
      </c>
      <c r="H545" s="45">
        <v>46.86</v>
      </c>
      <c r="K545" s="45">
        <v>1.7500000000000002E-2</v>
      </c>
      <c r="L545" s="45">
        <v>70.704599999999999</v>
      </c>
      <c r="M545" s="45">
        <v>2.3999999999999998E-3</v>
      </c>
      <c r="N545" s="45">
        <v>1.21E-2</v>
      </c>
      <c r="O545" s="51">
        <v>66.926890479999997</v>
      </c>
      <c r="P545" s="51">
        <v>1.2151112E-2</v>
      </c>
      <c r="AG545" s="14" t="s">
        <v>223</v>
      </c>
      <c r="AH545" s="14" t="s">
        <v>223</v>
      </c>
      <c r="AI545" s="14" t="s">
        <v>224</v>
      </c>
      <c r="AJ545" s="55">
        <v>5.3999999999999998E-5</v>
      </c>
      <c r="AK545" s="55">
        <v>5.1999999999999997E-5</v>
      </c>
      <c r="AL545" s="55">
        <v>3.1900000000000003E-5</v>
      </c>
      <c r="AM545" s="55">
        <v>5.3300000000000001E-5</v>
      </c>
      <c r="AN545" s="51">
        <v>0.80438204700000004</v>
      </c>
    </row>
    <row r="546" spans="1:40" x14ac:dyDescent="0.35">
      <c r="A546" s="14" t="s">
        <v>218</v>
      </c>
      <c r="B546" s="14">
        <v>3</v>
      </c>
      <c r="C546" s="44">
        <v>30</v>
      </c>
      <c r="D546" s="14">
        <v>3858</v>
      </c>
      <c r="E546" s="45">
        <v>68.2</v>
      </c>
      <c r="F546" s="45">
        <v>1.01</v>
      </c>
      <c r="G546" s="45">
        <v>5.63</v>
      </c>
      <c r="H546" s="45">
        <v>46.1</v>
      </c>
      <c r="K546" s="45">
        <v>1.77E-2</v>
      </c>
      <c r="L546" s="45">
        <v>58.076900000000002</v>
      </c>
      <c r="M546" s="45">
        <v>1.5E-3</v>
      </c>
      <c r="N546" s="45">
        <v>1.2E-2</v>
      </c>
      <c r="O546" s="51">
        <v>81.23261067</v>
      </c>
      <c r="P546" s="51">
        <v>1.196967E-2</v>
      </c>
      <c r="AG546" s="14" t="s">
        <v>223</v>
      </c>
      <c r="AH546" s="14" t="s">
        <v>223</v>
      </c>
      <c r="AI546" s="14" t="s">
        <v>224</v>
      </c>
      <c r="AJ546" s="55">
        <v>4.18E-5</v>
      </c>
      <c r="AK546" s="55">
        <v>6.41E-5</v>
      </c>
      <c r="AL546" s="55">
        <v>4.0899999999999998E-5</v>
      </c>
      <c r="AM546" s="55">
        <v>5.2099999999999999E-5</v>
      </c>
      <c r="AN546" s="51">
        <v>0.87860767799999995</v>
      </c>
    </row>
    <row r="547" spans="1:40" x14ac:dyDescent="0.35">
      <c r="A547" s="14" t="s">
        <v>218</v>
      </c>
      <c r="B547" s="14">
        <v>3</v>
      </c>
      <c r="C547" s="44">
        <v>40</v>
      </c>
      <c r="D547" s="14">
        <v>3858</v>
      </c>
      <c r="E547" s="45">
        <v>65.260000000000005</v>
      </c>
      <c r="F547" s="45">
        <v>1.05</v>
      </c>
      <c r="G547" s="45">
        <v>3.96</v>
      </c>
      <c r="H547" s="45">
        <v>45.31</v>
      </c>
      <c r="K547" s="45">
        <v>1.6899999999999998E-2</v>
      </c>
      <c r="L547" s="45">
        <v>60.425199999999997</v>
      </c>
      <c r="M547" s="45">
        <v>1E-3</v>
      </c>
      <c r="N547" s="45">
        <v>1.17E-2</v>
      </c>
      <c r="O547" s="51">
        <v>81.029942109999993</v>
      </c>
      <c r="P547" s="51">
        <v>1.1743485E-2</v>
      </c>
      <c r="AG547" s="14" t="s">
        <v>223</v>
      </c>
      <c r="AH547" s="14" t="s">
        <v>223</v>
      </c>
      <c r="AI547" s="14" t="s">
        <v>224</v>
      </c>
      <c r="AJ547" s="55">
        <v>4.0299999999999997E-5</v>
      </c>
      <c r="AK547" s="55">
        <v>5.8900000000000002E-5</v>
      </c>
      <c r="AL547" s="55">
        <v>4.2599999999999999E-5</v>
      </c>
      <c r="AM547" s="55">
        <v>4.8399999999999997E-5</v>
      </c>
      <c r="AN547" s="51">
        <v>0.91760129899999998</v>
      </c>
    </row>
    <row r="548" spans="1:40" x14ac:dyDescent="0.35">
      <c r="A548" s="14" t="s">
        <v>218</v>
      </c>
      <c r="B548" s="14">
        <v>3</v>
      </c>
      <c r="C548" s="44">
        <v>50</v>
      </c>
      <c r="D548" s="14">
        <v>3858</v>
      </c>
      <c r="E548" s="45">
        <v>62</v>
      </c>
      <c r="F548" s="45">
        <v>1.1599999999999999</v>
      </c>
      <c r="G548" s="45">
        <v>5.0999999999999996</v>
      </c>
      <c r="H548" s="45">
        <v>46.98</v>
      </c>
      <c r="K548" s="45">
        <v>1.61E-2</v>
      </c>
      <c r="L548" s="45">
        <v>66.454800000000006</v>
      </c>
      <c r="M548" s="45">
        <v>1.2999999999999999E-3</v>
      </c>
      <c r="N548" s="45">
        <v>1.2200000000000001E-2</v>
      </c>
      <c r="O548" s="51">
        <v>83.656033550000004</v>
      </c>
      <c r="P548" s="51">
        <v>1.217994E-2</v>
      </c>
      <c r="AG548" s="14" t="s">
        <v>223</v>
      </c>
      <c r="AH548" s="14" t="s">
        <v>223</v>
      </c>
      <c r="AI548" s="14" t="s">
        <v>224</v>
      </c>
      <c r="AJ548" s="55">
        <v>4.1300000000000001E-5</v>
      </c>
      <c r="AK548" s="55">
        <v>5.66E-5</v>
      </c>
      <c r="AL548" s="55">
        <v>4.5200000000000001E-5</v>
      </c>
      <c r="AM548" s="55">
        <v>4.21E-5</v>
      </c>
      <c r="AN548" s="51">
        <v>0.89209148299999996</v>
      </c>
    </row>
    <row r="549" spans="1:40" x14ac:dyDescent="0.35">
      <c r="A549" s="14" t="s">
        <v>218</v>
      </c>
      <c r="B549" s="14">
        <v>3</v>
      </c>
      <c r="C549" s="44">
        <v>60</v>
      </c>
      <c r="D549" s="14">
        <v>3858</v>
      </c>
      <c r="E549" s="45">
        <v>58.82</v>
      </c>
      <c r="F549" s="45">
        <v>1.0900000000000001</v>
      </c>
      <c r="G549" s="45">
        <v>5.18</v>
      </c>
      <c r="H549" s="45">
        <v>44.79</v>
      </c>
      <c r="K549" s="45">
        <v>1.52E-2</v>
      </c>
      <c r="L549" s="45">
        <v>62.692799999999998</v>
      </c>
      <c r="M549" s="45">
        <v>1.2999999999999999E-3</v>
      </c>
      <c r="N549" s="45">
        <v>1.1599999999999999E-2</v>
      </c>
      <c r="O549" s="51">
        <v>89.828422889999999</v>
      </c>
      <c r="P549" s="51">
        <v>1.1615274E-2</v>
      </c>
      <c r="AG549" s="14" t="s">
        <v>223</v>
      </c>
      <c r="AH549" s="14" t="s">
        <v>223</v>
      </c>
      <c r="AI549" s="14" t="s">
        <v>224</v>
      </c>
      <c r="AJ549" s="55">
        <v>3.3800000000000002E-5</v>
      </c>
      <c r="AK549" s="55">
        <v>5.4700000000000001E-5</v>
      </c>
      <c r="AL549" s="55">
        <v>3.6000000000000001E-5</v>
      </c>
      <c r="AM549" s="55">
        <v>4.2299999999999998E-5</v>
      </c>
      <c r="AN549" s="51">
        <v>0.88557957600000003</v>
      </c>
    </row>
    <row r="550" spans="1:40" x14ac:dyDescent="0.35">
      <c r="A550" s="14" t="s">
        <v>218</v>
      </c>
      <c r="B550" s="14">
        <v>3</v>
      </c>
      <c r="C550" s="44">
        <v>70</v>
      </c>
      <c r="D550" s="14">
        <v>3858</v>
      </c>
      <c r="E550" s="45">
        <v>57.59</v>
      </c>
      <c r="F550" s="45">
        <v>1.06</v>
      </c>
      <c r="G550" s="45">
        <v>4.16</v>
      </c>
      <c r="H550" s="45">
        <v>42.7</v>
      </c>
      <c r="K550" s="45">
        <v>1.49E-2</v>
      </c>
      <c r="L550" s="45">
        <v>60.723599999999998</v>
      </c>
      <c r="M550" s="45">
        <v>1.1000000000000001E-3</v>
      </c>
      <c r="N550" s="45">
        <v>1.11E-2</v>
      </c>
      <c r="O550" s="51">
        <v>89.392828219999998</v>
      </c>
      <c r="P550" s="51">
        <v>1.1080636E-2</v>
      </c>
      <c r="AG550" s="14" t="s">
        <v>223</v>
      </c>
      <c r="AH550" s="14" t="s">
        <v>223</v>
      </c>
      <c r="AI550" s="14" t="s">
        <v>224</v>
      </c>
      <c r="AJ550" s="55">
        <v>3.1000000000000001E-5</v>
      </c>
      <c r="AK550" s="55">
        <v>5.1700000000000003E-5</v>
      </c>
      <c r="AL550" s="55">
        <v>3.15E-5</v>
      </c>
      <c r="AM550" s="55">
        <v>4.3399999999999998E-5</v>
      </c>
      <c r="AN550" s="51">
        <v>0.90589132100000003</v>
      </c>
    </row>
    <row r="551" spans="1:40" x14ac:dyDescent="0.35">
      <c r="A551" s="14" t="s">
        <v>218</v>
      </c>
      <c r="B551" s="14">
        <v>3</v>
      </c>
      <c r="C551" s="44">
        <v>80</v>
      </c>
      <c r="D551" s="14">
        <v>3858</v>
      </c>
      <c r="E551" s="45">
        <v>54.15</v>
      </c>
      <c r="F551" s="45">
        <v>0.94</v>
      </c>
      <c r="G551" s="45">
        <v>5.12</v>
      </c>
      <c r="H551" s="45">
        <v>35.86</v>
      </c>
      <c r="K551" s="45">
        <v>1.4E-2</v>
      </c>
      <c r="L551" s="45">
        <v>54.127499999999998</v>
      </c>
      <c r="M551" s="45">
        <v>1.2999999999999999E-3</v>
      </c>
      <c r="N551" s="45">
        <v>9.2999999999999992E-3</v>
      </c>
      <c r="O551" s="51">
        <v>85.141445160000004</v>
      </c>
      <c r="P551" s="51">
        <v>9.2948289999999992E-3</v>
      </c>
      <c r="AG551" s="14" t="s">
        <v>223</v>
      </c>
      <c r="AH551" s="14" t="s">
        <v>223</v>
      </c>
      <c r="AI551" s="14" t="s">
        <v>224</v>
      </c>
      <c r="AJ551" s="55">
        <v>2.3300000000000001E-5</v>
      </c>
      <c r="AK551" s="55">
        <v>4.1399999999999997E-5</v>
      </c>
      <c r="AL551" s="55">
        <v>2.6699999999999998E-5</v>
      </c>
      <c r="AM551" s="55">
        <v>2.9E-5</v>
      </c>
      <c r="AN551" s="51">
        <v>0.85964841000000003</v>
      </c>
    </row>
    <row r="552" spans="1:40" x14ac:dyDescent="0.35">
      <c r="A552" s="14" t="s">
        <v>218</v>
      </c>
      <c r="B552" s="14">
        <v>3</v>
      </c>
      <c r="C552" s="44">
        <v>90</v>
      </c>
      <c r="D552" s="14">
        <v>3858</v>
      </c>
      <c r="E552" s="45">
        <v>46.68</v>
      </c>
      <c r="F552" s="45">
        <v>0.95</v>
      </c>
      <c r="G552" s="45">
        <v>3.27</v>
      </c>
      <c r="H552" s="45">
        <v>30.92</v>
      </c>
      <c r="K552" s="45">
        <v>1.21E-2</v>
      </c>
      <c r="L552" s="45">
        <v>54.473599999999998</v>
      </c>
      <c r="M552" s="45">
        <v>8.0000000000000004E-4</v>
      </c>
      <c r="N552" s="45">
        <v>8.0000000000000002E-3</v>
      </c>
      <c r="O552" s="51">
        <v>85.624364740000004</v>
      </c>
      <c r="P552" s="51">
        <v>8.0574870000000003E-3</v>
      </c>
      <c r="AG552" s="14" t="s">
        <v>223</v>
      </c>
      <c r="AH552" s="14" t="s">
        <v>223</v>
      </c>
      <c r="AI552" s="14" t="s">
        <v>224</v>
      </c>
      <c r="AJ552" s="55">
        <v>1.73E-5</v>
      </c>
      <c r="AK552" s="55">
        <v>3.1000000000000001E-5</v>
      </c>
      <c r="AL552" s="55">
        <v>2.1699999999999999E-5</v>
      </c>
      <c r="AM552" s="55">
        <v>2.1399999999999998E-5</v>
      </c>
      <c r="AN552" s="51">
        <v>0.89526250799999996</v>
      </c>
    </row>
    <row r="553" spans="1:40" x14ac:dyDescent="0.35">
      <c r="A553" s="14" t="s">
        <v>208</v>
      </c>
      <c r="B553" s="14">
        <v>1</v>
      </c>
      <c r="C553" s="44">
        <v>30</v>
      </c>
      <c r="D553" s="14">
        <v>3499</v>
      </c>
      <c r="E553" s="49">
        <v>67.069773117254542</v>
      </c>
      <c r="F553" s="50">
        <v>0.79050491857579031</v>
      </c>
      <c r="G553" s="50">
        <v>5.6160028490020917</v>
      </c>
      <c r="H553" s="50">
        <v>23.771948868361566</v>
      </c>
      <c r="K553" s="50">
        <v>1.9171008465700884E-2</v>
      </c>
      <c r="L553" s="50">
        <v>45.292595518725577</v>
      </c>
      <c r="M553" s="50">
        <v>1.6052602112339837E-3</v>
      </c>
      <c r="N553" s="50">
        <v>6.7948974898846834E-3</v>
      </c>
      <c r="O553" s="51">
        <v>40.265032959999999</v>
      </c>
      <c r="P553" s="51">
        <v>1.3748196000000001E-2</v>
      </c>
      <c r="AG553" s="14" t="s">
        <v>222</v>
      </c>
      <c r="AH553" s="14" t="s">
        <v>226</v>
      </c>
      <c r="AI553" s="14" t="s">
        <v>222</v>
      </c>
      <c r="AJ553" s="55">
        <v>6.4399999999999993E-5</v>
      </c>
      <c r="AK553" s="55">
        <v>4.0300000000000004E-6</v>
      </c>
      <c r="AL553" s="55">
        <v>9.2499999999999995E-6</v>
      </c>
      <c r="AM553" s="55">
        <v>1.11E-6</v>
      </c>
      <c r="AN553" s="51">
        <v>0.151464714</v>
      </c>
    </row>
    <row r="554" spans="1:40" x14ac:dyDescent="0.35">
      <c r="A554" s="14" t="s">
        <v>208</v>
      </c>
      <c r="B554" s="14">
        <v>1</v>
      </c>
      <c r="C554" s="44">
        <v>40</v>
      </c>
      <c r="D554" s="14">
        <v>3499</v>
      </c>
      <c r="E554" s="49">
        <v>56.357253703494372</v>
      </c>
      <c r="F554" s="50">
        <v>0.9009420652149005</v>
      </c>
      <c r="G554" s="50">
        <v>6.2022119441373587</v>
      </c>
      <c r="H554" s="50">
        <v>23.461810863614083</v>
      </c>
      <c r="K554" s="50">
        <v>1.6108976333712839E-2</v>
      </c>
      <c r="L554" s="50">
        <v>51.620177922613976</v>
      </c>
      <c r="M554" s="50">
        <v>1.7728203356116503E-3</v>
      </c>
      <c r="N554" s="50">
        <v>6.7062486390207466E-3</v>
      </c>
      <c r="O554" s="51">
        <v>34.969631219999997</v>
      </c>
      <c r="P554" s="51">
        <v>1.1349857E-2</v>
      </c>
      <c r="AG554" s="14" t="s">
        <v>222</v>
      </c>
      <c r="AH554" s="14" t="s">
        <v>226</v>
      </c>
      <c r="AI554" s="14" t="s">
        <v>222</v>
      </c>
      <c r="AJ554" s="55">
        <v>4.2500000000000003E-5</v>
      </c>
      <c r="AK554" s="55">
        <v>3.14E-6</v>
      </c>
      <c r="AL554" s="55">
        <v>7.8499999999999994E-6</v>
      </c>
      <c r="AM554" s="55">
        <v>1.15E-5</v>
      </c>
      <c r="AN554" s="51">
        <v>0.42478759900000002</v>
      </c>
    </row>
    <row r="555" spans="1:40" x14ac:dyDescent="0.35">
      <c r="A555" s="14" t="s">
        <v>208</v>
      </c>
      <c r="B555" s="14">
        <v>1</v>
      </c>
      <c r="C555" s="44">
        <v>50</v>
      </c>
      <c r="D555" s="14">
        <v>3499</v>
      </c>
      <c r="E555" s="49">
        <v>53.060389416211549</v>
      </c>
      <c r="F555" s="50">
        <v>0.97562732509108396</v>
      </c>
      <c r="G555" s="50">
        <v>6.2254770901513883</v>
      </c>
      <c r="H555" s="50">
        <v>23.805076979501678</v>
      </c>
      <c r="K555" s="50">
        <v>1.5166611238019594E-2</v>
      </c>
      <c r="L555" s="50">
        <v>55.899328105357043</v>
      </c>
      <c r="M555" s="50">
        <v>1.7794703702019117E-3</v>
      </c>
      <c r="N555" s="50">
        <v>6.804366722738796E-3</v>
      </c>
      <c r="O555" s="51">
        <v>33.481897199999999</v>
      </c>
      <c r="P555" s="51">
        <v>1.1025729999999999E-2</v>
      </c>
      <c r="AG555" s="14" t="s">
        <v>222</v>
      </c>
      <c r="AH555" s="14" t="s">
        <v>226</v>
      </c>
      <c r="AI555" s="14" t="s">
        <v>222</v>
      </c>
      <c r="AJ555" s="55">
        <v>3.5599999999999998E-5</v>
      </c>
      <c r="AK555" s="55">
        <v>3.41E-6</v>
      </c>
      <c r="AL555" s="55">
        <v>6.64E-6</v>
      </c>
      <c r="AM555" s="55">
        <v>1.4399999999999999E-5</v>
      </c>
      <c r="AN555" s="51">
        <v>0.538050001</v>
      </c>
    </row>
    <row r="556" spans="1:40" x14ac:dyDescent="0.35">
      <c r="A556" s="14" t="s">
        <v>208</v>
      </c>
      <c r="B556" s="14">
        <v>1</v>
      </c>
      <c r="C556" s="44">
        <v>60</v>
      </c>
      <c r="D556" s="14">
        <v>3499</v>
      </c>
      <c r="E556" s="49">
        <v>47.143279871048527</v>
      </c>
      <c r="F556" s="50">
        <v>0.95961518315098193</v>
      </c>
      <c r="G556" s="50">
        <v>4.9802997901732988</v>
      </c>
      <c r="H556" s="50">
        <v>20.266401456598135</v>
      </c>
      <c r="K556" s="50">
        <v>1.3475283656152215E-2</v>
      </c>
      <c r="L556" s="50">
        <v>54.981899951224776</v>
      </c>
      <c r="M556" s="50">
        <v>1.4235528912886377E-3</v>
      </c>
      <c r="N556" s="50">
        <v>5.7928830803481877E-3</v>
      </c>
      <c r="O556" s="51">
        <v>35.881983120000001</v>
      </c>
      <c r="P556" s="51">
        <v>9.8560729999999999E-3</v>
      </c>
      <c r="AG556" s="14" t="s">
        <v>222</v>
      </c>
      <c r="AH556" s="14" t="s">
        <v>226</v>
      </c>
      <c r="AI556" s="14" t="s">
        <v>222</v>
      </c>
      <c r="AJ556" s="55">
        <v>2.97E-5</v>
      </c>
      <c r="AK556" s="55">
        <v>2.3199999999999998E-6</v>
      </c>
      <c r="AL556" s="55">
        <v>5.75E-6</v>
      </c>
      <c r="AM556" s="55">
        <v>1.0000000000000001E-5</v>
      </c>
      <c r="AN556" s="51">
        <v>0.49145897500000002</v>
      </c>
    </row>
    <row r="557" spans="1:40" x14ac:dyDescent="0.35">
      <c r="A557" s="14" t="s">
        <v>208</v>
      </c>
      <c r="B557" s="14">
        <v>1</v>
      </c>
      <c r="C557" s="44">
        <v>70</v>
      </c>
      <c r="D557" s="14">
        <v>3499</v>
      </c>
      <c r="E557" s="49">
        <v>46.76792306699101</v>
      </c>
      <c r="F557" s="50">
        <v>0.69735011983776074</v>
      </c>
      <c r="G557" s="50">
        <v>4.5660070083170012</v>
      </c>
      <c r="H557" s="50">
        <v>14.890114606677813</v>
      </c>
      <c r="K557" s="50">
        <v>1.3367992873228814E-2</v>
      </c>
      <c r="L557" s="50">
        <v>39.95521870964587</v>
      </c>
      <c r="M557" s="50">
        <v>1.3051327735649567E-3</v>
      </c>
      <c r="N557" s="50">
        <v>4.2561425201308595E-3</v>
      </c>
      <c r="O557" s="51">
        <v>31.82008716</v>
      </c>
      <c r="P557" s="51">
        <v>8.7804210000000001E-3</v>
      </c>
      <c r="AG557" s="14" t="s">
        <v>222</v>
      </c>
      <c r="AH557" s="14" t="s">
        <v>226</v>
      </c>
      <c r="AI557" s="14" t="s">
        <v>222</v>
      </c>
      <c r="AJ557" s="55">
        <v>2.7399999999999999E-5</v>
      </c>
      <c r="AK557" s="55">
        <v>2.12E-6</v>
      </c>
      <c r="AL557" s="55">
        <v>6.4799999999999998E-6</v>
      </c>
      <c r="AM557" s="55">
        <v>5.5600000000000001E-6</v>
      </c>
      <c r="AN557" s="51">
        <v>0.40801657499999999</v>
      </c>
    </row>
    <row r="558" spans="1:40" x14ac:dyDescent="0.35">
      <c r="A558" s="14" t="s">
        <v>208</v>
      </c>
      <c r="B558" s="14">
        <v>1</v>
      </c>
      <c r="C558" s="44">
        <v>80</v>
      </c>
      <c r="D558" s="14">
        <v>3499</v>
      </c>
      <c r="E558" s="49">
        <v>55.376874487460981</v>
      </c>
      <c r="F558" s="50">
        <v>0.47029663075735995</v>
      </c>
      <c r="G558" s="50">
        <v>3.9085539525507249</v>
      </c>
      <c r="H558" s="50">
        <v>13.292261395263049</v>
      </c>
      <c r="K558" s="50">
        <v>1.582874788836958E-2</v>
      </c>
      <c r="L558" s="50">
        <v>26.946012061619186</v>
      </c>
      <c r="M558" s="50">
        <v>1.1172085043735101E-3</v>
      </c>
      <c r="N558" s="50">
        <v>3.7994172917716305E-3</v>
      </c>
      <c r="O558" s="51">
        <v>32.597608200000003</v>
      </c>
      <c r="P558" s="51">
        <v>1.1504713E-2</v>
      </c>
      <c r="AG558" s="14" t="s">
        <v>222</v>
      </c>
      <c r="AH558" s="14" t="s">
        <v>226</v>
      </c>
      <c r="AI558" s="14" t="s">
        <v>222</v>
      </c>
      <c r="AJ558" s="55">
        <v>3.6000000000000001E-5</v>
      </c>
      <c r="AK558" s="55">
        <v>2.8399999999999999E-6</v>
      </c>
      <c r="AL558" s="55">
        <v>6.8800000000000002E-6</v>
      </c>
      <c r="AM558" s="55">
        <v>6.3099999999999997E-6</v>
      </c>
      <c r="AN558" s="51">
        <v>0.33957609100000002</v>
      </c>
    </row>
    <row r="559" spans="1:40" x14ac:dyDescent="0.35">
      <c r="A559" s="14" t="s">
        <v>208</v>
      </c>
      <c r="B559" s="14">
        <v>2</v>
      </c>
      <c r="C559" s="44">
        <v>30</v>
      </c>
      <c r="D559" s="14">
        <v>3931</v>
      </c>
      <c r="E559" s="49">
        <v>75.39512484239286</v>
      </c>
      <c r="F559" s="50">
        <v>0.72327931578314963</v>
      </c>
      <c r="G559" s="50">
        <v>6.4061177791233437</v>
      </c>
      <c r="H559" s="50">
        <v>27.6549408424607</v>
      </c>
      <c r="K559" s="50">
        <v>1.9179629825080861E-2</v>
      </c>
      <c r="L559" s="50">
        <v>41.440852203484383</v>
      </c>
      <c r="M559" s="50">
        <v>1.6296407476782864E-3</v>
      </c>
      <c r="N559" s="50">
        <v>7.0350905221217754E-3</v>
      </c>
      <c r="O559" s="51">
        <v>136.2026031</v>
      </c>
      <c r="P559" s="51">
        <v>2.9709777E-2</v>
      </c>
      <c r="AG559" s="14" t="s">
        <v>222</v>
      </c>
      <c r="AH559" s="14" t="s">
        <v>226</v>
      </c>
      <c r="AI559" s="14" t="s">
        <v>222</v>
      </c>
      <c r="AJ559" s="55">
        <v>7.0199999999999999E-5</v>
      </c>
      <c r="AK559" s="55">
        <v>3.0699999999999998E-6</v>
      </c>
      <c r="AL559" s="55">
        <v>6.9800000000000001E-6</v>
      </c>
      <c r="AM559" s="55">
        <v>1.43E-5</v>
      </c>
      <c r="AN559" s="51">
        <v>0.28993723300000002</v>
      </c>
    </row>
    <row r="560" spans="1:40" x14ac:dyDescent="0.35">
      <c r="A560" s="14" t="s">
        <v>208</v>
      </c>
      <c r="B560" s="14">
        <v>2</v>
      </c>
      <c r="C560" s="44">
        <v>40</v>
      </c>
      <c r="D560" s="14">
        <v>3931</v>
      </c>
      <c r="E560" s="49">
        <v>64.592432412783509</v>
      </c>
      <c r="F560" s="50">
        <v>0.85504515936035863</v>
      </c>
      <c r="G560" s="50">
        <v>6.9891167539253907</v>
      </c>
      <c r="H560" s="50">
        <v>27.165329466067544</v>
      </c>
      <c r="K560" s="50">
        <v>1.6431552381781608E-2</v>
      </c>
      <c r="L560" s="50">
        <v>48.990478924439444</v>
      </c>
      <c r="M560" s="50">
        <v>1.7779488053740501E-3</v>
      </c>
      <c r="N560" s="50">
        <v>6.9105391671502271E-3</v>
      </c>
      <c r="O560" s="51">
        <v>115.3257828</v>
      </c>
      <c r="P560" s="51">
        <v>2.5143463000000001E-2</v>
      </c>
      <c r="AG560" s="14" t="s">
        <v>222</v>
      </c>
      <c r="AH560" s="14" t="s">
        <v>226</v>
      </c>
      <c r="AI560" s="14" t="s">
        <v>222</v>
      </c>
      <c r="AJ560" s="55">
        <v>7.4099999999999999E-5</v>
      </c>
      <c r="AK560" s="55">
        <v>3.3299999999999999E-6</v>
      </c>
      <c r="AL560" s="55">
        <v>6.1999999999999999E-6</v>
      </c>
      <c r="AM560" s="55">
        <v>2.8500000000000002E-5</v>
      </c>
      <c r="AN560" s="51">
        <v>0.44876417200000002</v>
      </c>
    </row>
    <row r="561" spans="1:40" x14ac:dyDescent="0.35">
      <c r="A561" s="14" t="s">
        <v>208</v>
      </c>
      <c r="B561" s="14">
        <v>2</v>
      </c>
      <c r="C561" s="44">
        <v>50</v>
      </c>
      <c r="D561" s="14">
        <v>3931</v>
      </c>
      <c r="E561" s="49">
        <v>62.107598649440568</v>
      </c>
      <c r="F561" s="50">
        <v>0.73186952758523571</v>
      </c>
      <c r="G561" s="50">
        <v>6.6812760757208789</v>
      </c>
      <c r="H561" s="50">
        <v>24.222793645655329</v>
      </c>
      <c r="K561" s="50">
        <v>1.579944000240157E-2</v>
      </c>
      <c r="L561" s="50">
        <v>41.933035084867385</v>
      </c>
      <c r="M561" s="50">
        <v>1.6996377704708418E-3</v>
      </c>
      <c r="N561" s="50">
        <v>6.1619927869893997E-3</v>
      </c>
      <c r="O561" s="51">
        <v>114.0355373</v>
      </c>
      <c r="P561" s="51">
        <v>2.3861634E-2</v>
      </c>
      <c r="AG561" s="14" t="s">
        <v>222</v>
      </c>
      <c r="AH561" s="14" t="s">
        <v>226</v>
      </c>
      <c r="AI561" s="14" t="s">
        <v>222</v>
      </c>
      <c r="AJ561" s="55">
        <v>6.5500000000000006E-5</v>
      </c>
      <c r="AK561" s="55">
        <v>3.3699999999999999E-6</v>
      </c>
      <c r="AL561" s="55">
        <v>1.04E-5</v>
      </c>
      <c r="AM561" s="55">
        <v>2.73E-5</v>
      </c>
      <c r="AN561" s="51">
        <v>0.54832368399999998</v>
      </c>
    </row>
    <row r="562" spans="1:40" x14ac:dyDescent="0.35">
      <c r="A562" s="14" t="s">
        <v>208</v>
      </c>
      <c r="B562" s="14">
        <v>2</v>
      </c>
      <c r="C562" s="44">
        <v>60</v>
      </c>
      <c r="D562" s="14">
        <v>3931</v>
      </c>
      <c r="E562" s="49">
        <v>53.068125282508561</v>
      </c>
      <c r="F562" s="50">
        <v>0.86814362133765732</v>
      </c>
      <c r="G562" s="50">
        <v>5.940249573881534</v>
      </c>
      <c r="H562" s="50">
        <v>23.629798073618797</v>
      </c>
      <c r="K562" s="50">
        <v>1.3499904676293199E-2</v>
      </c>
      <c r="L562" s="50">
        <v>49.740965513851243</v>
      </c>
      <c r="M562" s="50">
        <v>1.5111293751924532E-3</v>
      </c>
      <c r="N562" s="50">
        <v>6.0111417129531412E-3</v>
      </c>
      <c r="O562" s="51">
        <v>132.65676980000001</v>
      </c>
      <c r="P562" s="51">
        <v>2.1030891999999999E-2</v>
      </c>
      <c r="AG562" s="14" t="s">
        <v>222</v>
      </c>
      <c r="AH562" s="14" t="s">
        <v>226</v>
      </c>
      <c r="AI562" s="14" t="s">
        <v>222</v>
      </c>
      <c r="AJ562" s="55">
        <v>3.9700000000000003E-5</v>
      </c>
      <c r="AK562" s="55">
        <v>2.1100000000000001E-6</v>
      </c>
      <c r="AL562" s="55">
        <v>6.5400000000000001E-6</v>
      </c>
      <c r="AM562" s="55">
        <v>1.5799999999999999E-6</v>
      </c>
      <c r="AN562" s="51">
        <v>0.19431705799999999</v>
      </c>
    </row>
    <row r="563" spans="1:40" x14ac:dyDescent="0.35">
      <c r="A563" s="14" t="s">
        <v>208</v>
      </c>
      <c r="B563" s="14">
        <v>2</v>
      </c>
      <c r="C563" s="44">
        <v>70</v>
      </c>
      <c r="D563" s="14">
        <v>3931</v>
      </c>
      <c r="E563" s="49">
        <v>54.731797092731831</v>
      </c>
      <c r="F563" s="50">
        <v>0.8274605302886372</v>
      </c>
      <c r="G563" s="50">
        <v>5.9255765964164855</v>
      </c>
      <c r="H563" s="50">
        <v>22.869897419971053</v>
      </c>
      <c r="K563" s="50">
        <v>1.3923123147476934E-2</v>
      </c>
      <c r="L563" s="50">
        <v>47.409996099195929</v>
      </c>
      <c r="M563" s="50">
        <v>1.5073967429194825E-3</v>
      </c>
      <c r="N563" s="50">
        <v>5.8178319562378665E-3</v>
      </c>
      <c r="O563" s="51">
        <v>139.55754730000001</v>
      </c>
      <c r="P563" s="51">
        <v>2.1779560999999999E-2</v>
      </c>
      <c r="AG563" s="14" t="s">
        <v>222</v>
      </c>
      <c r="AH563" s="14" t="s">
        <v>226</v>
      </c>
      <c r="AI563" s="14" t="s">
        <v>222</v>
      </c>
      <c r="AJ563" s="55">
        <v>3.5800000000000003E-5</v>
      </c>
      <c r="AK563" s="55">
        <v>2.3199999999999998E-6</v>
      </c>
      <c r="AL563" s="55">
        <v>4.4399999999999998E-6</v>
      </c>
      <c r="AM563" s="55">
        <v>2.5900000000000002E-6</v>
      </c>
      <c r="AN563" s="51">
        <v>0.184491934</v>
      </c>
    </row>
    <row r="564" spans="1:40" x14ac:dyDescent="0.35">
      <c r="A564" s="14" t="s">
        <v>208</v>
      </c>
      <c r="B564" s="14">
        <v>2</v>
      </c>
      <c r="C564" s="44">
        <v>80</v>
      </c>
      <c r="D564" s="14">
        <v>3931</v>
      </c>
      <c r="E564" s="49">
        <v>66.081572295156775</v>
      </c>
      <c r="F564" s="50">
        <v>0.58292781865399457</v>
      </c>
      <c r="G564" s="50">
        <v>6.8090392861255511</v>
      </c>
      <c r="H564" s="50">
        <v>19.393325475534052</v>
      </c>
      <c r="K564" s="50">
        <v>1.6810371990627519E-2</v>
      </c>
      <c r="L564" s="50">
        <v>33.399303769641307</v>
      </c>
      <c r="M564" s="50">
        <v>1.7321392231303869E-3</v>
      </c>
      <c r="N564" s="50">
        <v>4.9334330896805018E-3</v>
      </c>
      <c r="O564" s="51">
        <v>112.76777250000001</v>
      </c>
      <c r="P564" s="51">
        <v>2.4220021000000001E-2</v>
      </c>
      <c r="AG564" s="14" t="s">
        <v>222</v>
      </c>
      <c r="AH564" s="14" t="s">
        <v>226</v>
      </c>
      <c r="AI564" s="14" t="s">
        <v>222</v>
      </c>
      <c r="AJ564" s="55">
        <v>7.1299999999999998E-5</v>
      </c>
      <c r="AK564" s="55">
        <v>4.6399999999999996E-6</v>
      </c>
      <c r="AL564" s="55">
        <v>8.2900000000000002E-6</v>
      </c>
      <c r="AM564" s="55">
        <v>8.7700000000000004E-5</v>
      </c>
      <c r="AN564" s="51">
        <v>1.263971985</v>
      </c>
    </row>
    <row r="565" spans="1:40" x14ac:dyDescent="0.35">
      <c r="A565" s="14" t="s">
        <v>208</v>
      </c>
      <c r="B565" s="14">
        <v>3</v>
      </c>
      <c r="C565" s="44">
        <v>30</v>
      </c>
      <c r="D565" s="14">
        <v>3912</v>
      </c>
      <c r="E565" s="49">
        <v>71.861019475095247</v>
      </c>
      <c r="F565" s="50">
        <v>0.77214975633546978</v>
      </c>
      <c r="G565" s="50">
        <v>6.4280249688376276</v>
      </c>
      <c r="H565" s="50">
        <v>27.295615856763504</v>
      </c>
      <c r="K565" s="50">
        <v>1.8369381256414942E-2</v>
      </c>
      <c r="L565" s="50">
        <v>44.24092219007732</v>
      </c>
      <c r="M565" s="50">
        <v>1.6431556668807842E-3</v>
      </c>
      <c r="N565" s="50">
        <v>6.9774069163505894E-3</v>
      </c>
      <c r="AG565" s="14" t="s">
        <v>222</v>
      </c>
      <c r="AH565" s="14" t="s">
        <v>226</v>
      </c>
      <c r="AI565" s="14" t="s">
        <v>222</v>
      </c>
    </row>
    <row r="566" spans="1:40" x14ac:dyDescent="0.35">
      <c r="A566" s="14" t="s">
        <v>208</v>
      </c>
      <c r="B566" s="14">
        <v>3</v>
      </c>
      <c r="C566" s="44">
        <v>40</v>
      </c>
      <c r="D566" s="14">
        <v>3912</v>
      </c>
      <c r="E566" s="49">
        <v>65.183072718306178</v>
      </c>
      <c r="F566" s="50">
        <v>0.82298171035760148</v>
      </c>
      <c r="G566" s="50">
        <v>7.154385647978442</v>
      </c>
      <c r="H566" s="50">
        <v>25.567635733481467</v>
      </c>
      <c r="K566" s="50">
        <v>1.6662339651918757E-2</v>
      </c>
      <c r="L566" s="50">
        <v>47.153378619948519</v>
      </c>
      <c r="M566" s="50">
        <v>1.8288306871110536E-3</v>
      </c>
      <c r="N566" s="50">
        <v>6.5356942059001701E-3</v>
      </c>
      <c r="O566" s="51"/>
      <c r="P566" s="51"/>
      <c r="AG566" s="14" t="s">
        <v>222</v>
      </c>
      <c r="AH566" s="14" t="s">
        <v>226</v>
      </c>
      <c r="AI566" s="14" t="s">
        <v>222</v>
      </c>
      <c r="AJ566" s="55"/>
      <c r="AK566" s="55"/>
      <c r="AL566" s="55"/>
      <c r="AM566" s="55"/>
    </row>
    <row r="567" spans="1:40" x14ac:dyDescent="0.35">
      <c r="A567" s="14" t="s">
        <v>208</v>
      </c>
      <c r="B567" s="14">
        <v>3</v>
      </c>
      <c r="C567" s="44">
        <v>50</v>
      </c>
      <c r="D567" s="14">
        <v>3912</v>
      </c>
      <c r="E567" s="49">
        <v>57.896186627445395</v>
      </c>
      <c r="F567" s="50">
        <v>0.88721563499932776</v>
      </c>
      <c r="G567" s="50">
        <v>7.4458066050630149</v>
      </c>
      <c r="H567" s="50">
        <v>26.504422046141624</v>
      </c>
      <c r="K567" s="50">
        <v>1.4799638708447187E-2</v>
      </c>
      <c r="L567" s="50">
        <v>50.833711403480805</v>
      </c>
      <c r="M567" s="50">
        <v>1.9033247967952492E-3</v>
      </c>
      <c r="N567" s="50">
        <v>6.7751590097499042E-3</v>
      </c>
      <c r="AG567" s="14" t="s">
        <v>222</v>
      </c>
      <c r="AH567" s="14" t="s">
        <v>226</v>
      </c>
      <c r="AI567" s="14" t="s">
        <v>222</v>
      </c>
    </row>
    <row r="568" spans="1:40" x14ac:dyDescent="0.35">
      <c r="A568" s="14" t="s">
        <v>208</v>
      </c>
      <c r="B568" s="14">
        <v>3</v>
      </c>
      <c r="C568" s="44">
        <v>60</v>
      </c>
      <c r="D568" s="14">
        <v>3912</v>
      </c>
      <c r="E568" s="49">
        <v>52.18330117001036</v>
      </c>
      <c r="F568" s="50">
        <v>1.0904614502245717</v>
      </c>
      <c r="G568" s="50">
        <v>8.0104814462053167</v>
      </c>
      <c r="H568" s="50">
        <v>27.062251439966985</v>
      </c>
      <c r="K568" s="50">
        <v>1.3339289665135572E-2</v>
      </c>
      <c r="L568" s="50">
        <v>62.478838819583061</v>
      </c>
      <c r="M568" s="50">
        <v>2.0476690813408275E-3</v>
      </c>
      <c r="N568" s="50">
        <v>6.9177534355743826E-3</v>
      </c>
      <c r="AG568" s="14" t="s">
        <v>222</v>
      </c>
      <c r="AH568" s="14" t="s">
        <v>226</v>
      </c>
      <c r="AI568" s="14" t="s">
        <v>222</v>
      </c>
    </row>
    <row r="569" spans="1:40" x14ac:dyDescent="0.35">
      <c r="A569" s="14" t="s">
        <v>208</v>
      </c>
      <c r="B569" s="14">
        <v>3</v>
      </c>
      <c r="C569" s="44">
        <v>70</v>
      </c>
      <c r="D569" s="14">
        <v>3912</v>
      </c>
      <c r="E569" s="49">
        <v>53.940993854396126</v>
      </c>
      <c r="F569" s="50">
        <v>0.77081487057509823</v>
      </c>
      <c r="G569" s="50">
        <v>6.6524787861367898</v>
      </c>
      <c r="H569" s="50">
        <v>20.383331940583222</v>
      </c>
      <c r="K569" s="50">
        <v>1.3788597611041955E-2</v>
      </c>
      <c r="L569" s="50">
        <v>44.164438869875916</v>
      </c>
      <c r="M569" s="50">
        <v>1.7005313870492816E-3</v>
      </c>
      <c r="N569" s="50">
        <v>5.2104631749957109E-3</v>
      </c>
      <c r="AG569" s="14" t="s">
        <v>222</v>
      </c>
      <c r="AH569" s="14" t="s">
        <v>226</v>
      </c>
      <c r="AI569" s="14" t="s">
        <v>222</v>
      </c>
    </row>
    <row r="570" spans="1:40" x14ac:dyDescent="0.35">
      <c r="A570" s="14" t="s">
        <v>208</v>
      </c>
      <c r="B570" s="14">
        <v>3</v>
      </c>
      <c r="C570" s="44">
        <v>80</v>
      </c>
      <c r="D570" s="14">
        <v>3912</v>
      </c>
      <c r="E570" s="49">
        <v>62.05654618974539</v>
      </c>
      <c r="F570" s="50">
        <v>0.55466562676753517</v>
      </c>
      <c r="G570" s="50">
        <v>6.106154272535206</v>
      </c>
      <c r="H570" s="50">
        <v>16.535624118853217</v>
      </c>
      <c r="K570" s="50">
        <v>1.5863125304127146E-2</v>
      </c>
      <c r="L570" s="50">
        <v>31.779999454758308</v>
      </c>
      <c r="M570" s="50">
        <v>1.5608778815274045E-3</v>
      </c>
      <c r="N570" s="50">
        <v>4.2268977808929496E-3</v>
      </c>
      <c r="AG570" s="14" t="s">
        <v>222</v>
      </c>
      <c r="AH570" s="14" t="s">
        <v>226</v>
      </c>
      <c r="AI570" s="14" t="s">
        <v>222</v>
      </c>
    </row>
    <row r="571" spans="1:40" x14ac:dyDescent="0.35">
      <c r="A571" s="14" t="s">
        <v>199</v>
      </c>
      <c r="B571" s="14">
        <v>1</v>
      </c>
      <c r="C571" s="44">
        <v>40</v>
      </c>
      <c r="D571" s="14">
        <v>1570</v>
      </c>
      <c r="E571" s="49">
        <v>35.650583683861349</v>
      </c>
      <c r="F571" s="50">
        <v>1.204911946974156</v>
      </c>
      <c r="G571" s="50">
        <v>2.2590000000000146</v>
      </c>
      <c r="H571" s="50">
        <v>21.020343883961566</v>
      </c>
      <c r="K571" s="50">
        <v>2.2707378142586845E-2</v>
      </c>
      <c r="L571" s="50">
        <v>69.036369246509977</v>
      </c>
      <c r="M571" s="50">
        <v>1.4388535031847225E-3</v>
      </c>
      <c r="N571" s="50">
        <v>1.3388754066217558E-2</v>
      </c>
      <c r="O571" s="51">
        <v>51.348137790000003</v>
      </c>
      <c r="P571" s="51">
        <v>2.8734365000000001E-2</v>
      </c>
      <c r="AG571" s="14" t="s">
        <v>226</v>
      </c>
      <c r="AH571" s="14" t="s">
        <v>226</v>
      </c>
      <c r="AI571" s="14" t="s">
        <v>223</v>
      </c>
      <c r="AJ571" s="51">
        <v>2.42372E-4</v>
      </c>
      <c r="AK571" s="55">
        <v>9.1700000000000003E-6</v>
      </c>
      <c r="AL571" s="55">
        <v>5.8699999999999997E-5</v>
      </c>
      <c r="AM571" s="51">
        <v>1.3846099999999999E-4</v>
      </c>
      <c r="AN571" s="51">
        <v>0.78401169000000004</v>
      </c>
    </row>
    <row r="572" spans="1:40" x14ac:dyDescent="0.35">
      <c r="A572" s="14" t="s">
        <v>199</v>
      </c>
      <c r="B572" s="14">
        <v>1</v>
      </c>
      <c r="C572" s="44">
        <v>50</v>
      </c>
      <c r="D572" s="14">
        <v>1570</v>
      </c>
      <c r="E572" s="49">
        <v>36.56267224916688</v>
      </c>
      <c r="F572" s="50">
        <v>1.1599728504040758</v>
      </c>
      <c r="G572" s="50">
        <v>2.550030980203942</v>
      </c>
      <c r="H572" s="50">
        <v>20.325669410870585</v>
      </c>
      <c r="K572" s="50">
        <v>2.3288326273354702E-2</v>
      </c>
      <c r="L572" s="50">
        <v>66.461548677913555</v>
      </c>
      <c r="M572" s="50">
        <v>1.6242235542700267E-3</v>
      </c>
      <c r="N572" s="50">
        <v>1.2946286248962156E-2</v>
      </c>
      <c r="O572" s="51">
        <v>42.663799019999999</v>
      </c>
      <c r="P572" s="51">
        <v>2.5614699000000001E-2</v>
      </c>
      <c r="AG572" s="14" t="s">
        <v>226</v>
      </c>
      <c r="AH572" s="14" t="s">
        <v>226</v>
      </c>
      <c r="AI572" s="14" t="s">
        <v>223</v>
      </c>
      <c r="AJ572" s="51">
        <v>1.9455399999999999E-4</v>
      </c>
      <c r="AK572" s="55">
        <v>9.8800000000000003E-6</v>
      </c>
      <c r="AL572" s="55">
        <v>4.49E-5</v>
      </c>
      <c r="AM572" s="51">
        <v>1.5072100000000001E-4</v>
      </c>
      <c r="AN572" s="51">
        <v>0.95667486400000001</v>
      </c>
    </row>
    <row r="573" spans="1:40" x14ac:dyDescent="0.35">
      <c r="A573" s="14" t="s">
        <v>199</v>
      </c>
      <c r="B573" s="14">
        <v>1</v>
      </c>
      <c r="C573" s="44">
        <v>60</v>
      </c>
      <c r="D573" s="14">
        <v>1570</v>
      </c>
      <c r="E573" s="49">
        <v>34.761140976671044</v>
      </c>
      <c r="F573" s="50">
        <v>1.3208526410063519</v>
      </c>
      <c r="G573" s="50">
        <v>2.9278951483958635</v>
      </c>
      <c r="H573" s="50">
        <v>21.518208870628598</v>
      </c>
      <c r="K573" s="50">
        <v>2.2140854125268179E-2</v>
      </c>
      <c r="L573" s="50">
        <v>75.679281688372413</v>
      </c>
      <c r="M573" s="50">
        <v>1.8649013684050085E-3</v>
      </c>
      <c r="N573" s="50">
        <v>1.3705865522693374E-2</v>
      </c>
      <c r="O573" s="51">
        <v>34.509343250000001</v>
      </c>
      <c r="P573" s="51">
        <v>2.7202442E-2</v>
      </c>
      <c r="AG573" s="14" t="s">
        <v>226</v>
      </c>
      <c r="AH573" s="14" t="s">
        <v>226</v>
      </c>
      <c r="AI573" s="14" t="s">
        <v>223</v>
      </c>
      <c r="AJ573" s="51">
        <v>1.9251899999999999E-4</v>
      </c>
      <c r="AK573" s="55">
        <v>9.9199999999999999E-6</v>
      </c>
      <c r="AL573" s="55">
        <v>1.7600000000000001E-5</v>
      </c>
      <c r="AM573" s="51">
        <v>1.42602E-4</v>
      </c>
      <c r="AN573" s="51">
        <v>0.79126797500000001</v>
      </c>
    </row>
    <row r="574" spans="1:40" x14ac:dyDescent="0.35">
      <c r="A574" s="14" t="s">
        <v>199</v>
      </c>
      <c r="B574" s="14">
        <v>1</v>
      </c>
      <c r="C574" s="44">
        <v>70</v>
      </c>
      <c r="D574" s="14">
        <v>1570</v>
      </c>
      <c r="E574" s="49">
        <v>34.468364698662398</v>
      </c>
      <c r="F574" s="50">
        <v>1.2545069373543625</v>
      </c>
      <c r="G574" s="50">
        <v>2.2153385745750001</v>
      </c>
      <c r="H574" s="50">
        <v>20.469774620156436</v>
      </c>
      <c r="K574" s="50">
        <v>2.1954372419530192E-2</v>
      </c>
      <c r="L574" s="50">
        <v>71.877952880287722</v>
      </c>
      <c r="M574" s="50">
        <v>1.4110436780732484E-3</v>
      </c>
      <c r="N574" s="50">
        <v>1.3038073006469067E-2</v>
      </c>
      <c r="O574" s="51">
        <v>36.017868020000002</v>
      </c>
      <c r="P574" s="51">
        <v>2.5838146999999999E-2</v>
      </c>
      <c r="AG574" s="14" t="s">
        <v>226</v>
      </c>
      <c r="AH574" s="14" t="s">
        <v>226</v>
      </c>
      <c r="AI574" s="14" t="s">
        <v>223</v>
      </c>
      <c r="AJ574" s="51">
        <v>2.18316E-4</v>
      </c>
      <c r="AK574" s="55">
        <v>1.08E-5</v>
      </c>
      <c r="AL574" s="55">
        <v>2.9499999999999999E-5</v>
      </c>
      <c r="AM574" s="51">
        <v>1.64616E-4</v>
      </c>
      <c r="AN574" s="51">
        <v>0.84720698500000002</v>
      </c>
    </row>
    <row r="575" spans="1:40" x14ac:dyDescent="0.35">
      <c r="A575" s="14" t="s">
        <v>199</v>
      </c>
      <c r="B575" s="14">
        <v>1</v>
      </c>
      <c r="C575" s="44">
        <v>80</v>
      </c>
      <c r="D575" s="14">
        <v>1570</v>
      </c>
      <c r="E575" s="49">
        <v>32.063727450188949</v>
      </c>
      <c r="F575" s="50">
        <v>1.2506257121698596</v>
      </c>
      <c r="G575" s="50">
        <v>1.7690000000000055</v>
      </c>
      <c r="H575" s="50">
        <v>18.457260956057347</v>
      </c>
      <c r="K575" s="50">
        <v>2.0422756337699969E-2</v>
      </c>
      <c r="L575" s="50">
        <v>71.655575057875836</v>
      </c>
      <c r="M575" s="50">
        <v>1.1267515923566913E-3</v>
      </c>
      <c r="N575" s="50">
        <v>1.1756217169463278E-2</v>
      </c>
      <c r="O575" s="51">
        <v>38.930762590000001</v>
      </c>
      <c r="P575" s="51">
        <v>2.5448861999999999E-2</v>
      </c>
      <c r="AG575" s="14" t="s">
        <v>226</v>
      </c>
      <c r="AH575" s="14" t="s">
        <v>226</v>
      </c>
      <c r="AI575" s="14" t="s">
        <v>223</v>
      </c>
      <c r="AJ575" s="51">
        <v>2.0087499999999999E-4</v>
      </c>
      <c r="AK575" s="55">
        <v>8.8799999999999997E-6</v>
      </c>
      <c r="AL575" s="55">
        <v>2.5199999999999999E-5</v>
      </c>
      <c r="AM575" s="51">
        <v>1.4559600000000001E-4</v>
      </c>
      <c r="AN575" s="51">
        <v>0.81446760500000004</v>
      </c>
    </row>
    <row r="576" spans="1:40" x14ac:dyDescent="0.35">
      <c r="A576" s="14" t="s">
        <v>199</v>
      </c>
      <c r="B576" s="14">
        <v>1</v>
      </c>
      <c r="C576" s="44">
        <v>90</v>
      </c>
      <c r="D576" s="14">
        <v>1570</v>
      </c>
      <c r="E576" s="49">
        <v>26.308071784150208</v>
      </c>
      <c r="F576" s="50">
        <v>1.7200026231858185</v>
      </c>
      <c r="G576" s="50">
        <v>1.4058769505187929</v>
      </c>
      <c r="H576" s="50">
        <v>18.524230645292633</v>
      </c>
      <c r="K576" s="50">
        <v>1.6756733620477839E-2</v>
      </c>
      <c r="L576" s="50">
        <v>98.548891059977876</v>
      </c>
      <c r="M576" s="50">
        <v>8.9546302580814836E-4</v>
      </c>
      <c r="N576" s="50">
        <v>1.1798873022479384E-2</v>
      </c>
      <c r="O576" s="51">
        <v>38.669475060000003</v>
      </c>
      <c r="P576" s="51">
        <v>2.2388919E-2</v>
      </c>
      <c r="AG576" s="14" t="s">
        <v>226</v>
      </c>
      <c r="AH576" s="14" t="s">
        <v>226</v>
      </c>
      <c r="AI576" s="14" t="s">
        <v>223</v>
      </c>
      <c r="AJ576" s="51">
        <v>1.8525E-4</v>
      </c>
      <c r="AK576" s="55">
        <v>7.2200000000000003E-6</v>
      </c>
      <c r="AL576" s="55">
        <v>2.4499999999999999E-5</v>
      </c>
      <c r="AM576" s="51">
        <v>1.3844199999999999E-4</v>
      </c>
      <c r="AN576" s="51">
        <v>0.84662996599999996</v>
      </c>
    </row>
    <row r="577" spans="1:40" x14ac:dyDescent="0.35">
      <c r="A577" s="14" t="s">
        <v>199</v>
      </c>
      <c r="B577" s="14">
        <v>2</v>
      </c>
      <c r="C577" s="44">
        <v>40</v>
      </c>
      <c r="D577" s="14">
        <v>1732</v>
      </c>
      <c r="E577" s="50">
        <v>55.122903588254509</v>
      </c>
      <c r="F577" s="50">
        <v>1.0859039637847534</v>
      </c>
      <c r="G577" s="50">
        <v>2.9910700426436154</v>
      </c>
      <c r="H577" s="50">
        <v>30.946238866783126</v>
      </c>
      <c r="K577" s="50">
        <v>3.1826156806151563E-2</v>
      </c>
      <c r="L577" s="50">
        <v>62.21771408139336</v>
      </c>
      <c r="M577" s="50">
        <v>1.7269457521037041E-3</v>
      </c>
      <c r="N577" s="50">
        <v>1.7867343456572243E-2</v>
      </c>
      <c r="O577" s="51">
        <v>49.070895059999998</v>
      </c>
      <c r="P577" s="51">
        <v>2.2804196999999998E-2</v>
      </c>
      <c r="AG577" s="14" t="s">
        <v>226</v>
      </c>
      <c r="AH577" s="14" t="s">
        <v>226</v>
      </c>
      <c r="AI577" s="14" t="s">
        <v>223</v>
      </c>
      <c r="AJ577" s="51">
        <v>1.2755899999999999E-4</v>
      </c>
      <c r="AK577" s="55">
        <v>5.4099999999999999E-6</v>
      </c>
      <c r="AL577" s="55">
        <v>6.5300000000000004E-7</v>
      </c>
      <c r="AM577" s="55">
        <v>5.3399999999999997E-6</v>
      </c>
      <c r="AN577" s="51">
        <v>4.5087697000000003E-2</v>
      </c>
    </row>
    <row r="578" spans="1:40" x14ac:dyDescent="0.35">
      <c r="A578" s="14" t="s">
        <v>199</v>
      </c>
      <c r="B578" s="14">
        <v>2</v>
      </c>
      <c r="C578" s="44">
        <v>50</v>
      </c>
      <c r="D578" s="14">
        <v>1732</v>
      </c>
      <c r="E578" s="50">
        <v>52.28510495351415</v>
      </c>
      <c r="F578" s="50">
        <v>1.0458844162808649</v>
      </c>
      <c r="G578" s="50">
        <v>3.416782111870754</v>
      </c>
      <c r="H578" s="50">
        <v>30.047365941127058</v>
      </c>
      <c r="K578" s="50">
        <v>3.0187704938518561E-2</v>
      </c>
      <c r="L578" s="50">
        <v>59.924762911397245</v>
      </c>
      <c r="M578" s="50">
        <v>1.9727379398791884E-3</v>
      </c>
      <c r="N578" s="50">
        <v>1.7348363707348186E-2</v>
      </c>
      <c r="O578" s="51">
        <v>52.121338620000003</v>
      </c>
      <c r="P578" s="51">
        <v>2.4695597E-2</v>
      </c>
      <c r="AG578" s="14" t="s">
        <v>226</v>
      </c>
      <c r="AH578" s="14" t="s">
        <v>226</v>
      </c>
      <c r="AI578" s="14" t="s">
        <v>223</v>
      </c>
      <c r="AJ578" s="51">
        <v>1.7940999999999999E-4</v>
      </c>
      <c r="AK578" s="55">
        <v>1.04E-5</v>
      </c>
      <c r="AL578" s="55">
        <v>1.15E-5</v>
      </c>
      <c r="AM578" s="55">
        <v>2.0700000000000001E-6</v>
      </c>
      <c r="AN578" s="51">
        <v>7.1411532E-2</v>
      </c>
    </row>
    <row r="579" spans="1:40" x14ac:dyDescent="0.35">
      <c r="A579" s="14" t="s">
        <v>199</v>
      </c>
      <c r="B579" s="14">
        <v>2</v>
      </c>
      <c r="C579" s="44">
        <v>60</v>
      </c>
      <c r="D579" s="14">
        <v>1732</v>
      </c>
      <c r="E579" s="50">
        <v>55.881778783428068</v>
      </c>
      <c r="F579" s="50">
        <v>1.1620438869992249</v>
      </c>
      <c r="G579" s="50">
        <v>4.2385846694385307</v>
      </c>
      <c r="H579" s="50">
        <v>31.025152699060143</v>
      </c>
      <c r="K579" s="50">
        <v>3.2264306456944614E-2</v>
      </c>
      <c r="L579" s="50">
        <v>66.580210334032742</v>
      </c>
      <c r="M579" s="50">
        <v>2.44721978604996E-3</v>
      </c>
      <c r="N579" s="50">
        <v>1.7912905715392693E-2</v>
      </c>
      <c r="O579" s="51">
        <v>63.561223859999998</v>
      </c>
      <c r="P579" s="51">
        <v>2.5051701999999999E-2</v>
      </c>
      <c r="AG579" s="14" t="s">
        <v>226</v>
      </c>
      <c r="AH579" s="14" t="s">
        <v>226</v>
      </c>
      <c r="AI579" s="14" t="s">
        <v>223</v>
      </c>
      <c r="AJ579" s="51">
        <v>1.6925100000000001E-4</v>
      </c>
      <c r="AK579" s="55">
        <v>1.0900000000000001E-5</v>
      </c>
      <c r="AL579" s="55">
        <v>1.5500000000000001E-5</v>
      </c>
      <c r="AM579" s="55">
        <v>2.34E-5</v>
      </c>
      <c r="AN579" s="51">
        <v>0.21594133099999999</v>
      </c>
    </row>
    <row r="580" spans="1:40" x14ac:dyDescent="0.35">
      <c r="A580" s="14" t="s">
        <v>199</v>
      </c>
      <c r="B580" s="14">
        <v>2</v>
      </c>
      <c r="C580" s="44">
        <v>70</v>
      </c>
      <c r="D580" s="14">
        <v>1732</v>
      </c>
      <c r="E580" s="50">
        <v>57.113260281654426</v>
      </c>
      <c r="F580" s="50">
        <v>1.1608121003754446</v>
      </c>
      <c r="G580" s="50">
        <v>3.8359483833857815</v>
      </c>
      <c r="H580" s="50">
        <v>30.329868117088775</v>
      </c>
      <c r="K580" s="50">
        <v>3.2975323488253133E-2</v>
      </c>
      <c r="L580" s="50">
        <v>66.509634159229464</v>
      </c>
      <c r="M580" s="50">
        <v>2.2147507987215829E-3</v>
      </c>
      <c r="N580" s="50">
        <v>1.7511471199242942E-2</v>
      </c>
      <c r="O580" s="51">
        <v>57.397990499999999</v>
      </c>
      <c r="P580" s="51">
        <v>2.4910582000000001E-2</v>
      </c>
      <c r="AG580" s="14" t="s">
        <v>226</v>
      </c>
      <c r="AH580" s="14" t="s">
        <v>226</v>
      </c>
      <c r="AI580" s="14" t="s">
        <v>223</v>
      </c>
      <c r="AJ580" s="51">
        <v>1.6901199999999999E-4</v>
      </c>
      <c r="AK580" s="55">
        <v>9.1700000000000003E-6</v>
      </c>
      <c r="AL580" s="55">
        <v>2.8100000000000002E-6</v>
      </c>
      <c r="AM580" s="55">
        <v>9.9799999999999993E-6</v>
      </c>
      <c r="AN580" s="51">
        <v>7.1786000000000003E-2</v>
      </c>
    </row>
    <row r="581" spans="1:40" x14ac:dyDescent="0.35">
      <c r="A581" s="14" t="s">
        <v>199</v>
      </c>
      <c r="B581" s="14">
        <v>2</v>
      </c>
      <c r="C581" s="44">
        <v>80</v>
      </c>
      <c r="D581" s="14">
        <v>1732</v>
      </c>
      <c r="E581" s="50">
        <v>54.118696399673155</v>
      </c>
      <c r="F581" s="50">
        <v>1.1767960081955731</v>
      </c>
      <c r="G581" s="50">
        <v>3.7010944327320794</v>
      </c>
      <c r="H581" s="50">
        <v>30.718492801568239</v>
      </c>
      <c r="K581" s="50">
        <v>3.1246360507894432E-2</v>
      </c>
      <c r="L581" s="50">
        <v>67.425444617448974</v>
      </c>
      <c r="M581" s="50">
        <v>2.1368905500762582E-3</v>
      </c>
      <c r="N581" s="50">
        <v>1.7735850347325773E-2</v>
      </c>
      <c r="O581" s="51">
        <v>51.267590849999998</v>
      </c>
      <c r="P581" s="51">
        <v>2.3367096E-2</v>
      </c>
      <c r="AG581" s="14" t="s">
        <v>226</v>
      </c>
      <c r="AH581" s="14" t="s">
        <v>226</v>
      </c>
      <c r="AI581" s="14" t="s">
        <v>223</v>
      </c>
      <c r="AJ581" s="51">
        <v>1.5599400000000001E-4</v>
      </c>
      <c r="AK581" s="55">
        <v>9.5000000000000005E-6</v>
      </c>
      <c r="AL581" s="55">
        <v>6.3400000000000003E-6</v>
      </c>
      <c r="AM581" s="55">
        <v>9.7199999999999997E-7</v>
      </c>
      <c r="AN581" s="51">
        <v>4.4175773000000002E-2</v>
      </c>
    </row>
    <row r="582" spans="1:40" x14ac:dyDescent="0.35">
      <c r="A582" s="14" t="s">
        <v>199</v>
      </c>
      <c r="B582" s="14">
        <v>2</v>
      </c>
      <c r="C582" s="44">
        <v>90</v>
      </c>
      <c r="D582" s="14">
        <v>1732</v>
      </c>
      <c r="E582" s="50">
        <v>50.637662860760095</v>
      </c>
      <c r="F582" s="50">
        <v>1.2800239681365155</v>
      </c>
      <c r="G582" s="50">
        <v>3.7254261501202914</v>
      </c>
      <c r="H582" s="50">
        <v>28.686366099595105</v>
      </c>
      <c r="K582" s="50">
        <v>2.9236525901131693E-2</v>
      </c>
      <c r="L582" s="50">
        <v>73.339971049810515</v>
      </c>
      <c r="M582" s="50">
        <v>2.1509388857507456E-3</v>
      </c>
      <c r="N582" s="50">
        <v>1.6562567032098789E-2</v>
      </c>
      <c r="O582" s="51">
        <v>48.81439657</v>
      </c>
      <c r="P582" s="51">
        <v>1.9579447999999999E-2</v>
      </c>
      <c r="AG582" s="14" t="s">
        <v>226</v>
      </c>
      <c r="AH582" s="14" t="s">
        <v>226</v>
      </c>
      <c r="AI582" s="14" t="s">
        <v>223</v>
      </c>
      <c r="AJ582" s="51">
        <v>1.2479099999999999E-4</v>
      </c>
      <c r="AK582" s="55">
        <v>5.3900000000000001E-6</v>
      </c>
      <c r="AL582" s="55">
        <v>6.8800000000000002E-7</v>
      </c>
      <c r="AM582" s="55">
        <v>3.6100000000000003E-5</v>
      </c>
      <c r="AN582" s="51">
        <v>0.28296042799999999</v>
      </c>
    </row>
    <row r="583" spans="1:40" x14ac:dyDescent="0.35">
      <c r="A583" s="14" t="s">
        <v>199</v>
      </c>
      <c r="B583" s="14">
        <v>3</v>
      </c>
      <c r="C583" s="44">
        <v>40</v>
      </c>
      <c r="D583" s="14">
        <v>1570</v>
      </c>
      <c r="E583" s="50">
        <v>46.479312602490069</v>
      </c>
      <c r="F583" s="50">
        <v>1.129894579223774</v>
      </c>
      <c r="G583" s="50">
        <v>3.5905013577493912</v>
      </c>
      <c r="H583" s="50">
        <v>26.631578999375904</v>
      </c>
      <c r="K583" s="50">
        <v>2.96046577085924E-2</v>
      </c>
      <c r="L583" s="50">
        <v>64.738190684232279</v>
      </c>
      <c r="M583" s="50">
        <v>2.286943539967765E-3</v>
      </c>
      <c r="N583" s="50">
        <v>1.6962789171577008E-2</v>
      </c>
      <c r="AG583" s="14" t="s">
        <v>226</v>
      </c>
      <c r="AH583" s="14" t="s">
        <v>226</v>
      </c>
      <c r="AI583" s="14" t="s">
        <v>223</v>
      </c>
    </row>
    <row r="584" spans="1:40" x14ac:dyDescent="0.35">
      <c r="A584" s="14" t="s">
        <v>199</v>
      </c>
      <c r="B584" s="14">
        <v>3</v>
      </c>
      <c r="C584" s="44">
        <v>50</v>
      </c>
      <c r="D584" s="14">
        <v>1570</v>
      </c>
      <c r="E584" s="50">
        <v>52.201958775509709</v>
      </c>
      <c r="F584" s="50">
        <v>1.1091866908754624</v>
      </c>
      <c r="G584" s="50">
        <v>5.2402290026295342</v>
      </c>
      <c r="H584" s="50">
        <v>26.537077834607189</v>
      </c>
      <c r="K584" s="50">
        <v>3.3249655271025295E-2</v>
      </c>
      <c r="L584" s="50">
        <v>63.551716079245892</v>
      </c>
      <c r="M584" s="50">
        <v>3.337725479381869E-3</v>
      </c>
      <c r="N584" s="50">
        <v>1.6902597346883558E-2</v>
      </c>
      <c r="AG584" s="14" t="s">
        <v>226</v>
      </c>
      <c r="AH584" s="14" t="s">
        <v>226</v>
      </c>
      <c r="AI584" s="14" t="s">
        <v>223</v>
      </c>
    </row>
    <row r="585" spans="1:40" x14ac:dyDescent="0.35">
      <c r="A585" s="14" t="s">
        <v>199</v>
      </c>
      <c r="B585" s="14">
        <v>3</v>
      </c>
      <c r="C585" s="44">
        <v>60</v>
      </c>
      <c r="D585" s="14">
        <v>1570</v>
      </c>
      <c r="E585" s="50">
        <v>48.862603287176654</v>
      </c>
      <c r="F585" s="50">
        <v>1.2198738595200678</v>
      </c>
      <c r="G585" s="50">
        <v>6.4015388774887931</v>
      </c>
      <c r="H585" s="50">
        <v>28.721295235417205</v>
      </c>
      <c r="K585" s="50">
        <v>3.1122677252978761E-2</v>
      </c>
      <c r="L585" s="50">
        <v>69.893623688834566</v>
      </c>
      <c r="M585" s="50">
        <v>4.0774132977635623E-3</v>
      </c>
      <c r="N585" s="50">
        <v>1.8293818621284843E-2</v>
      </c>
      <c r="AG585" s="14" t="s">
        <v>226</v>
      </c>
      <c r="AH585" s="14" t="s">
        <v>226</v>
      </c>
      <c r="AI585" s="14" t="s">
        <v>223</v>
      </c>
    </row>
    <row r="586" spans="1:40" x14ac:dyDescent="0.35">
      <c r="A586" s="14" t="s">
        <v>199</v>
      </c>
      <c r="B586" s="14">
        <v>3</v>
      </c>
      <c r="C586" s="44">
        <v>70</v>
      </c>
      <c r="D586" s="14">
        <v>1570</v>
      </c>
      <c r="E586" s="50">
        <v>50.149657027740517</v>
      </c>
      <c r="F586" s="50">
        <v>1.2506002863396799</v>
      </c>
      <c r="G586" s="50">
        <v>5.3847191198798958</v>
      </c>
      <c r="H586" s="50">
        <v>28.82458152341496</v>
      </c>
      <c r="K586" s="50">
        <v>3.194245670556721E-2</v>
      </c>
      <c r="L586" s="50">
        <v>71.654118265115912</v>
      </c>
      <c r="M586" s="50">
        <v>3.4297574011973859E-3</v>
      </c>
      <c r="N586" s="50">
        <v>1.8359606065869401E-2</v>
      </c>
      <c r="AG586" s="14" t="s">
        <v>226</v>
      </c>
      <c r="AH586" s="14" t="s">
        <v>226</v>
      </c>
      <c r="AI586" s="14" t="s">
        <v>223</v>
      </c>
    </row>
    <row r="587" spans="1:40" x14ac:dyDescent="0.35">
      <c r="A587" s="14" t="s">
        <v>199</v>
      </c>
      <c r="B587" s="14">
        <v>3</v>
      </c>
      <c r="C587" s="44">
        <v>80</v>
      </c>
      <c r="D587" s="14">
        <v>1570</v>
      </c>
      <c r="E587" s="50">
        <v>49.541723829515597</v>
      </c>
      <c r="F587" s="50">
        <v>1.1411409377976756</v>
      </c>
      <c r="G587" s="50">
        <v>5.2491618378556746</v>
      </c>
      <c r="H587" s="50">
        <v>26.703276952464108</v>
      </c>
      <c r="K587" s="50">
        <v>3.1555238107971721E-2</v>
      </c>
      <c r="L587" s="50">
        <v>65.382559565407618</v>
      </c>
      <c r="M587" s="50">
        <v>3.3434151833475634E-3</v>
      </c>
      <c r="N587" s="50">
        <v>1.7008456657620453E-2</v>
      </c>
      <c r="AG587" s="14" t="s">
        <v>226</v>
      </c>
      <c r="AH587" s="14" t="s">
        <v>226</v>
      </c>
      <c r="AI587" s="14" t="s">
        <v>223</v>
      </c>
    </row>
    <row r="588" spans="1:40" x14ac:dyDescent="0.35">
      <c r="A588" s="14" t="s">
        <v>199</v>
      </c>
      <c r="B588" s="14">
        <v>3</v>
      </c>
      <c r="C588" s="44">
        <v>90</v>
      </c>
      <c r="D588" s="14">
        <v>1570</v>
      </c>
      <c r="E588" s="50">
        <v>43.471657433320871</v>
      </c>
      <c r="F588" s="50">
        <v>1.362455872677109</v>
      </c>
      <c r="G588" s="50">
        <v>4.2005832928296325</v>
      </c>
      <c r="H588" s="50">
        <v>26.45332871303729</v>
      </c>
      <c r="K588" s="50">
        <v>2.7688953779185267E-2</v>
      </c>
      <c r="L588" s="50">
        <v>78.062971277211801</v>
      </c>
      <c r="M588" s="50">
        <v>2.6755307597640973E-3</v>
      </c>
      <c r="N588" s="50">
        <v>1.6849253957348594E-2</v>
      </c>
      <c r="AG588" s="14" t="s">
        <v>226</v>
      </c>
      <c r="AH588" s="14" t="s">
        <v>226</v>
      </c>
      <c r="AI588" s="14" t="s">
        <v>223</v>
      </c>
    </row>
    <row r="589" spans="1:40" x14ac:dyDescent="0.35">
      <c r="A589" s="14" t="s">
        <v>200</v>
      </c>
      <c r="B589" s="14">
        <v>1</v>
      </c>
      <c r="C589" s="44">
        <v>20</v>
      </c>
      <c r="D589" s="14">
        <v>3433</v>
      </c>
      <c r="E589" s="45">
        <v>39.18</v>
      </c>
      <c r="F589" s="45">
        <v>1.19</v>
      </c>
      <c r="G589" s="45">
        <v>5.97</v>
      </c>
      <c r="H589" s="45">
        <v>25.82</v>
      </c>
      <c r="K589" s="45">
        <v>1.14E-2</v>
      </c>
      <c r="L589" s="45">
        <v>67.963499999999996</v>
      </c>
      <c r="M589" s="45">
        <v>1.6999999999999999E-3</v>
      </c>
      <c r="N589" s="45">
        <v>7.4999999999999997E-3</v>
      </c>
      <c r="O589" s="51">
        <v>65.352110969999998</v>
      </c>
      <c r="P589" s="51">
        <v>7.547163E-3</v>
      </c>
      <c r="AG589" s="14" t="s">
        <v>224</v>
      </c>
      <c r="AH589" s="14" t="s">
        <v>226</v>
      </c>
      <c r="AI589" s="14" t="s">
        <v>224</v>
      </c>
      <c r="AJ589" s="55">
        <v>2.2200000000000001E-5</v>
      </c>
      <c r="AK589" s="55">
        <v>2.09E-5</v>
      </c>
      <c r="AL589" s="55">
        <v>1.7499999999999998E-5</v>
      </c>
      <c r="AM589" s="55">
        <v>1.56E-5</v>
      </c>
      <c r="AN589" s="51">
        <v>0.76870723699999999</v>
      </c>
    </row>
    <row r="590" spans="1:40" x14ac:dyDescent="0.35">
      <c r="A590" s="14" t="s">
        <v>200</v>
      </c>
      <c r="B590" s="14">
        <v>1</v>
      </c>
      <c r="C590" s="44">
        <v>30</v>
      </c>
      <c r="D590" s="14">
        <v>3433</v>
      </c>
      <c r="E590" s="45">
        <v>38.79</v>
      </c>
      <c r="F590" s="45">
        <v>1.29</v>
      </c>
      <c r="G590" s="45">
        <v>6.56</v>
      </c>
      <c r="H590" s="45">
        <v>28.42</v>
      </c>
      <c r="K590" s="45">
        <v>1.1299999999999999E-2</v>
      </c>
      <c r="L590" s="45">
        <v>73.932199999999995</v>
      </c>
      <c r="M590" s="45">
        <v>1.9E-3</v>
      </c>
      <c r="N590" s="45">
        <v>8.3000000000000001E-3</v>
      </c>
      <c r="O590" s="51">
        <v>71.036788830000006</v>
      </c>
      <c r="P590" s="51">
        <v>8.2916789999999997E-3</v>
      </c>
      <c r="AG590" s="14" t="s">
        <v>224</v>
      </c>
      <c r="AH590" s="14" t="s">
        <v>226</v>
      </c>
      <c r="AI590" s="14" t="s">
        <v>224</v>
      </c>
      <c r="AJ590" s="55">
        <v>2.41E-5</v>
      </c>
      <c r="AK590" s="55">
        <v>2.27E-5</v>
      </c>
      <c r="AL590" s="55">
        <v>1.6900000000000001E-5</v>
      </c>
      <c r="AM590" s="55">
        <v>1.9000000000000001E-5</v>
      </c>
      <c r="AN590" s="51">
        <v>0.76987733199999997</v>
      </c>
    </row>
    <row r="591" spans="1:40" x14ac:dyDescent="0.35">
      <c r="A591" s="14" t="s">
        <v>200</v>
      </c>
      <c r="B591" s="14">
        <v>1</v>
      </c>
      <c r="C591" s="44">
        <v>40</v>
      </c>
      <c r="D591" s="14">
        <v>3433</v>
      </c>
      <c r="E591" s="45">
        <v>42.15</v>
      </c>
      <c r="F591" s="45">
        <v>1.25</v>
      </c>
      <c r="G591" s="45">
        <v>8.16</v>
      </c>
      <c r="H591" s="45">
        <v>29.37</v>
      </c>
      <c r="K591" s="45">
        <v>1.23E-2</v>
      </c>
      <c r="L591" s="45">
        <v>71.403400000000005</v>
      </c>
      <c r="M591" s="45">
        <v>2.3999999999999998E-3</v>
      </c>
      <c r="N591" s="45">
        <v>8.6E-3</v>
      </c>
      <c r="O591" s="51">
        <v>67.995586849999995</v>
      </c>
      <c r="P591" s="51">
        <v>8.5653699999999992E-3</v>
      </c>
      <c r="AG591" s="14" t="s">
        <v>224</v>
      </c>
      <c r="AH591" s="14" t="s">
        <v>226</v>
      </c>
      <c r="AI591" s="14" t="s">
        <v>224</v>
      </c>
      <c r="AJ591" s="55">
        <v>2.6999999999999999E-5</v>
      </c>
      <c r="AK591" s="55">
        <v>2.5299999999999998E-5</v>
      </c>
      <c r="AL591" s="55">
        <v>1.8499999999999999E-5</v>
      </c>
      <c r="AM591" s="55">
        <v>1.9300000000000002E-5</v>
      </c>
      <c r="AN591" s="51">
        <v>0.72138463500000005</v>
      </c>
    </row>
    <row r="592" spans="1:40" x14ac:dyDescent="0.35">
      <c r="A592" s="14" t="s">
        <v>200</v>
      </c>
      <c r="B592" s="14">
        <v>1</v>
      </c>
      <c r="C592" s="44">
        <v>50</v>
      </c>
      <c r="D592" s="14">
        <v>3433</v>
      </c>
      <c r="E592" s="45">
        <v>40.31</v>
      </c>
      <c r="F592" s="45">
        <v>1.42</v>
      </c>
      <c r="G592" s="45">
        <v>7.65</v>
      </c>
      <c r="H592" s="45">
        <v>30.54</v>
      </c>
      <c r="K592" s="45">
        <v>1.17E-2</v>
      </c>
      <c r="L592" s="45">
        <v>81.112499999999997</v>
      </c>
      <c r="M592" s="45">
        <v>2.2000000000000001E-3</v>
      </c>
      <c r="N592" s="45">
        <v>8.8999999999999999E-3</v>
      </c>
      <c r="O592" s="51">
        <v>68.900860949999995</v>
      </c>
      <c r="P592" s="51">
        <v>9.0279929999999998E-3</v>
      </c>
      <c r="AG592" s="14" t="s">
        <v>224</v>
      </c>
      <c r="AH592" s="14" t="s">
        <v>226</v>
      </c>
      <c r="AI592" s="14" t="s">
        <v>224</v>
      </c>
      <c r="AJ592" s="55">
        <v>2.94E-5</v>
      </c>
      <c r="AK592" s="55">
        <v>2.3099999999999999E-5</v>
      </c>
      <c r="AL592" s="55">
        <v>1.9400000000000001E-5</v>
      </c>
      <c r="AM592" s="55">
        <v>1.9899999999999999E-5</v>
      </c>
      <c r="AN592" s="51">
        <v>0.74905930700000001</v>
      </c>
    </row>
    <row r="593" spans="1:40" x14ac:dyDescent="0.35">
      <c r="A593" s="14" t="s">
        <v>200</v>
      </c>
      <c r="B593" s="14">
        <v>1</v>
      </c>
      <c r="C593" s="44">
        <v>60</v>
      </c>
      <c r="D593" s="14">
        <v>3433</v>
      </c>
      <c r="E593" s="45">
        <v>41</v>
      </c>
      <c r="F593" s="45">
        <v>1.27</v>
      </c>
      <c r="G593" s="45">
        <v>9.91</v>
      </c>
      <c r="H593" s="45">
        <v>31.58</v>
      </c>
      <c r="K593" s="45">
        <v>1.1900000000000001E-2</v>
      </c>
      <c r="L593" s="45">
        <v>73.0505</v>
      </c>
      <c r="M593" s="45">
        <v>2.8999999999999998E-3</v>
      </c>
      <c r="N593" s="45">
        <v>9.1999999999999998E-3</v>
      </c>
      <c r="O593" s="51">
        <v>76.662911199999996</v>
      </c>
      <c r="P593" s="51">
        <v>9.2038850000000002E-3</v>
      </c>
      <c r="AG593" s="14" t="s">
        <v>224</v>
      </c>
      <c r="AH593" s="14" t="s">
        <v>226</v>
      </c>
      <c r="AI593" s="14" t="s">
        <v>224</v>
      </c>
      <c r="AJ593" s="55">
        <v>2.6400000000000001E-5</v>
      </c>
      <c r="AK593" s="55">
        <v>2.8500000000000002E-5</v>
      </c>
      <c r="AL593" s="55">
        <v>1.5400000000000002E-5</v>
      </c>
      <c r="AM593" s="55">
        <v>2.2200000000000001E-5</v>
      </c>
      <c r="AN593" s="51">
        <v>0.68583020800000005</v>
      </c>
    </row>
    <row r="594" spans="1:40" x14ac:dyDescent="0.35">
      <c r="A594" s="14" t="s">
        <v>200</v>
      </c>
      <c r="B594" s="14">
        <v>1</v>
      </c>
      <c r="C594" s="44">
        <v>70</v>
      </c>
      <c r="D594" s="14">
        <v>3433</v>
      </c>
      <c r="E594" s="45">
        <v>38.69</v>
      </c>
      <c r="F594" s="45">
        <v>1.5</v>
      </c>
      <c r="G594" s="45">
        <v>8.0399999999999991</v>
      </c>
      <c r="H594" s="45">
        <v>29.43</v>
      </c>
      <c r="K594" s="45">
        <v>1.1299999999999999E-2</v>
      </c>
      <c r="L594" s="45">
        <v>86.062700000000007</v>
      </c>
      <c r="M594" s="45">
        <v>2.3E-3</v>
      </c>
      <c r="N594" s="45">
        <v>8.6E-3</v>
      </c>
      <c r="O594" s="51">
        <v>64.888969209999999</v>
      </c>
      <c r="P594" s="51">
        <v>8.5738140000000008E-3</v>
      </c>
      <c r="AG594" s="14" t="s">
        <v>224</v>
      </c>
      <c r="AH594" s="14" t="s">
        <v>226</v>
      </c>
      <c r="AI594" s="14" t="s">
        <v>224</v>
      </c>
      <c r="AJ594" s="55">
        <v>2.8799999999999999E-5</v>
      </c>
      <c r="AK594" s="55">
        <v>1.95E-5</v>
      </c>
      <c r="AL594" s="55">
        <v>1.43E-5</v>
      </c>
      <c r="AM594" s="55">
        <v>2.09E-5</v>
      </c>
      <c r="AN594" s="51">
        <v>0.72674794499999995</v>
      </c>
    </row>
    <row r="595" spans="1:40" x14ac:dyDescent="0.35">
      <c r="A595" s="14" t="s">
        <v>200</v>
      </c>
      <c r="B595" s="14">
        <v>1</v>
      </c>
      <c r="C595" s="44">
        <v>80</v>
      </c>
      <c r="D595" s="14">
        <v>3433</v>
      </c>
      <c r="E595" s="45">
        <v>42.7</v>
      </c>
      <c r="F595" s="45">
        <v>1.3</v>
      </c>
      <c r="G595" s="45">
        <v>7.11</v>
      </c>
      <c r="H595" s="45">
        <v>30.72</v>
      </c>
      <c r="K595" s="45">
        <v>1.24E-2</v>
      </c>
      <c r="L595" s="45">
        <v>74.303200000000004</v>
      </c>
      <c r="M595" s="45">
        <v>2.0999999999999999E-3</v>
      </c>
      <c r="N595" s="45">
        <v>8.8999999999999999E-3</v>
      </c>
      <c r="O595" s="51">
        <v>68.620973530000001</v>
      </c>
      <c r="P595" s="51">
        <v>8.9479199999999998E-3</v>
      </c>
      <c r="AG595" s="14" t="s">
        <v>224</v>
      </c>
      <c r="AH595" s="14" t="s">
        <v>226</v>
      </c>
      <c r="AI595" s="14" t="s">
        <v>224</v>
      </c>
      <c r="AJ595" s="55">
        <v>2.9300000000000001E-5</v>
      </c>
      <c r="AK595" s="55">
        <v>2.6400000000000001E-5</v>
      </c>
      <c r="AL595" s="55">
        <v>2.09E-5</v>
      </c>
      <c r="AM595" s="55">
        <v>2.19E-5</v>
      </c>
      <c r="AN595" s="51">
        <v>0.76888020800000001</v>
      </c>
    </row>
    <row r="596" spans="1:40" x14ac:dyDescent="0.35">
      <c r="A596" s="14" t="s">
        <v>200</v>
      </c>
      <c r="B596" s="14">
        <v>1</v>
      </c>
      <c r="C596" s="44">
        <v>90</v>
      </c>
      <c r="D596" s="14">
        <v>3433</v>
      </c>
      <c r="E596" s="45">
        <v>40.549999999999997</v>
      </c>
      <c r="F596" s="45">
        <v>1.28</v>
      </c>
      <c r="G596" s="45">
        <v>5.68</v>
      </c>
      <c r="H596" s="45">
        <v>28.61</v>
      </c>
      <c r="K596" s="45">
        <v>1.18E-2</v>
      </c>
      <c r="L596" s="45">
        <v>73.112799999999993</v>
      </c>
      <c r="M596" s="45">
        <v>1.6999999999999999E-3</v>
      </c>
      <c r="N596" s="45">
        <v>8.3000000000000001E-3</v>
      </c>
      <c r="O596" s="51">
        <v>67.838827260000002</v>
      </c>
      <c r="P596" s="51">
        <v>8.3350349999999993E-3</v>
      </c>
      <c r="AG596" s="14" t="s">
        <v>224</v>
      </c>
      <c r="AH596" s="14" t="s">
        <v>226</v>
      </c>
      <c r="AI596" s="14" t="s">
        <v>224</v>
      </c>
      <c r="AJ596" s="55">
        <v>2.58E-5</v>
      </c>
      <c r="AK596" s="55">
        <v>2.34E-5</v>
      </c>
      <c r="AL596" s="55">
        <v>1.91E-5</v>
      </c>
      <c r="AM596" s="55">
        <v>2.0599999999999999E-5</v>
      </c>
      <c r="AN596" s="51">
        <v>0.80842637399999995</v>
      </c>
    </row>
    <row r="597" spans="1:40" x14ac:dyDescent="0.35">
      <c r="A597" s="14" t="s">
        <v>200</v>
      </c>
      <c r="B597" s="14">
        <v>2</v>
      </c>
      <c r="C597" s="44">
        <v>20</v>
      </c>
      <c r="D597" s="14">
        <v>3434</v>
      </c>
      <c r="E597" s="45">
        <v>35.729999999999997</v>
      </c>
      <c r="F597" s="45">
        <v>1.1499999999999999</v>
      </c>
      <c r="G597" s="45">
        <v>7.41</v>
      </c>
      <c r="H597" s="45">
        <v>24.94</v>
      </c>
      <c r="K597" s="45">
        <v>1.04E-2</v>
      </c>
      <c r="L597" s="45">
        <v>66.006200000000007</v>
      </c>
      <c r="M597" s="45">
        <v>2.2000000000000001E-3</v>
      </c>
      <c r="N597" s="45">
        <v>7.3000000000000001E-3</v>
      </c>
      <c r="O597" s="51">
        <v>73.375014719999996</v>
      </c>
      <c r="P597" s="51">
        <v>7.2763350000000001E-3</v>
      </c>
      <c r="AG597" s="14" t="s">
        <v>224</v>
      </c>
      <c r="AH597" s="14" t="s">
        <v>226</v>
      </c>
      <c r="AI597" s="14" t="s">
        <v>224</v>
      </c>
      <c r="AJ597" s="55">
        <v>1.77E-5</v>
      </c>
      <c r="AK597" s="55">
        <v>2.02E-5</v>
      </c>
      <c r="AL597" s="55">
        <v>1.24E-5</v>
      </c>
      <c r="AM597" s="55">
        <v>1.42E-5</v>
      </c>
      <c r="AN597" s="51">
        <v>0.70268449099999997</v>
      </c>
    </row>
    <row r="598" spans="1:40" x14ac:dyDescent="0.35">
      <c r="A598" s="14" t="s">
        <v>200</v>
      </c>
      <c r="B598" s="14">
        <v>2</v>
      </c>
      <c r="C598" s="44">
        <v>30</v>
      </c>
      <c r="D598" s="14">
        <v>3434</v>
      </c>
      <c r="E598" s="45">
        <v>35.65</v>
      </c>
      <c r="F598" s="45">
        <v>1.29</v>
      </c>
      <c r="G598" s="45">
        <v>7.86</v>
      </c>
      <c r="H598" s="45">
        <v>28.34</v>
      </c>
      <c r="K598" s="45">
        <v>1.04E-2</v>
      </c>
      <c r="L598" s="45">
        <v>74.123999999999995</v>
      </c>
      <c r="M598" s="45">
        <v>2.3E-3</v>
      </c>
      <c r="N598" s="45">
        <v>8.3000000000000001E-3</v>
      </c>
      <c r="O598" s="51">
        <v>79.985125359999998</v>
      </c>
      <c r="P598" s="51">
        <v>8.2699430000000001E-3</v>
      </c>
      <c r="AG598" s="14" t="s">
        <v>224</v>
      </c>
      <c r="AH598" s="14" t="s">
        <v>226</v>
      </c>
      <c r="AI598" s="14" t="s">
        <v>224</v>
      </c>
      <c r="AJ598" s="55">
        <v>2.0400000000000001E-5</v>
      </c>
      <c r="AK598" s="55">
        <v>2.2500000000000001E-5</v>
      </c>
      <c r="AL598" s="55">
        <v>1.45E-5</v>
      </c>
      <c r="AM598" s="55">
        <v>1.66E-5</v>
      </c>
      <c r="AN598" s="51">
        <v>0.72368720600000003</v>
      </c>
    </row>
    <row r="599" spans="1:40" x14ac:dyDescent="0.35">
      <c r="A599" s="14" t="s">
        <v>200</v>
      </c>
      <c r="B599" s="14">
        <v>2</v>
      </c>
      <c r="C599" s="44">
        <v>40</v>
      </c>
      <c r="D599" s="14">
        <v>3434</v>
      </c>
      <c r="E599" s="45">
        <v>36.42</v>
      </c>
      <c r="F599" s="45">
        <v>1.28</v>
      </c>
      <c r="G599" s="45">
        <v>9.1999999999999993</v>
      </c>
      <c r="H599" s="45">
        <v>29.23</v>
      </c>
      <c r="K599" s="45">
        <v>1.06E-2</v>
      </c>
      <c r="L599" s="45">
        <v>73.379099999999994</v>
      </c>
      <c r="M599" s="45">
        <v>2.7000000000000001E-3</v>
      </c>
      <c r="N599" s="45">
        <v>8.5000000000000006E-3</v>
      </c>
      <c r="O599" s="51">
        <v>82.18903238</v>
      </c>
      <c r="P599" s="51">
        <v>8.6643780000000004E-3</v>
      </c>
      <c r="AG599" s="14" t="s">
        <v>224</v>
      </c>
      <c r="AH599" s="14" t="s">
        <v>226</v>
      </c>
      <c r="AI599" s="14" t="s">
        <v>224</v>
      </c>
      <c r="AJ599" s="55">
        <v>2.1500000000000001E-5</v>
      </c>
      <c r="AK599" s="55">
        <v>2.4300000000000001E-5</v>
      </c>
      <c r="AL599" s="55">
        <v>1.5400000000000002E-5</v>
      </c>
      <c r="AM599" s="55">
        <v>1.6200000000000001E-5</v>
      </c>
      <c r="AN599" s="51">
        <v>0.689909777</v>
      </c>
    </row>
    <row r="600" spans="1:40" x14ac:dyDescent="0.35">
      <c r="A600" s="14" t="s">
        <v>200</v>
      </c>
      <c r="B600" s="14">
        <v>2</v>
      </c>
      <c r="C600" s="44">
        <v>50</v>
      </c>
      <c r="D600" s="14">
        <v>3434</v>
      </c>
      <c r="E600" s="45">
        <v>37.42</v>
      </c>
      <c r="F600" s="45">
        <v>1.25</v>
      </c>
      <c r="G600" s="45">
        <v>9.41</v>
      </c>
      <c r="H600" s="45">
        <v>30.18</v>
      </c>
      <c r="K600" s="45">
        <v>1.09E-2</v>
      </c>
      <c r="L600" s="45">
        <v>71.741</v>
      </c>
      <c r="M600" s="45">
        <v>2.7000000000000001E-3</v>
      </c>
      <c r="N600" s="45">
        <v>8.8000000000000005E-3</v>
      </c>
      <c r="O600" s="51">
        <v>84.965657329999999</v>
      </c>
      <c r="P600" s="51">
        <v>8.9043950000000007E-3</v>
      </c>
      <c r="AG600" s="14" t="s">
        <v>224</v>
      </c>
      <c r="AH600" s="14" t="s">
        <v>226</v>
      </c>
      <c r="AI600" s="14" t="s">
        <v>224</v>
      </c>
      <c r="AJ600" s="55">
        <v>2.16E-5</v>
      </c>
      <c r="AK600" s="55">
        <v>2.6699999999999998E-5</v>
      </c>
      <c r="AL600" s="55">
        <v>1.5299999999999999E-5</v>
      </c>
      <c r="AM600" s="55">
        <v>1.8099999999999999E-5</v>
      </c>
      <c r="AN600" s="51">
        <v>0.69073737099999999</v>
      </c>
    </row>
    <row r="601" spans="1:40" x14ac:dyDescent="0.35">
      <c r="A601" s="14" t="s">
        <v>200</v>
      </c>
      <c r="B601" s="14">
        <v>2</v>
      </c>
      <c r="C601" s="44">
        <v>60</v>
      </c>
      <c r="D601" s="14">
        <v>3434</v>
      </c>
      <c r="E601" s="45">
        <v>37.42</v>
      </c>
      <c r="F601" s="45">
        <v>1.25</v>
      </c>
      <c r="G601" s="45">
        <v>9.92</v>
      </c>
      <c r="H601" s="45">
        <v>28.33</v>
      </c>
      <c r="K601" s="45">
        <v>1.09E-2</v>
      </c>
      <c r="L601" s="45">
        <v>71.896799999999999</v>
      </c>
      <c r="M601" s="45">
        <v>2.8999999999999998E-3</v>
      </c>
      <c r="N601" s="45">
        <v>8.2000000000000007E-3</v>
      </c>
      <c r="O601" s="51">
        <v>76.362501839999993</v>
      </c>
      <c r="P601" s="51">
        <v>8.2832089999999997E-3</v>
      </c>
      <c r="AG601" s="14" t="s">
        <v>224</v>
      </c>
      <c r="AH601" s="14" t="s">
        <v>226</v>
      </c>
      <c r="AI601" s="14" t="s">
        <v>224</v>
      </c>
      <c r="AJ601" s="55">
        <v>2.1800000000000001E-5</v>
      </c>
      <c r="AK601" s="55">
        <v>2.34E-5</v>
      </c>
      <c r="AL601" s="55">
        <v>1.47E-5</v>
      </c>
      <c r="AM601" s="55">
        <v>1.47E-5</v>
      </c>
      <c r="AN601" s="51">
        <v>0.65069802700000001</v>
      </c>
    </row>
    <row r="602" spans="1:40" x14ac:dyDescent="0.35">
      <c r="A602" s="14" t="s">
        <v>200</v>
      </c>
      <c r="B602" s="14">
        <v>2</v>
      </c>
      <c r="C602" s="44">
        <v>70</v>
      </c>
      <c r="D602" s="14">
        <v>3434</v>
      </c>
      <c r="E602" s="45">
        <v>37.380000000000003</v>
      </c>
      <c r="F602" s="45">
        <v>1.3</v>
      </c>
      <c r="G602" s="45">
        <v>9.59</v>
      </c>
      <c r="H602" s="45">
        <v>28.28</v>
      </c>
      <c r="K602" s="45">
        <v>1.09E-2</v>
      </c>
      <c r="L602" s="45">
        <v>74.234200000000001</v>
      </c>
      <c r="M602" s="45">
        <v>2.8E-3</v>
      </c>
      <c r="N602" s="45">
        <v>8.2000000000000007E-3</v>
      </c>
      <c r="O602" s="51">
        <v>73.8855054</v>
      </c>
      <c r="P602" s="51">
        <v>8.3044050000000008E-3</v>
      </c>
      <c r="AG602" s="14" t="s">
        <v>224</v>
      </c>
      <c r="AH602" s="14" t="s">
        <v>226</v>
      </c>
      <c r="AI602" s="14" t="s">
        <v>224</v>
      </c>
      <c r="AJ602" s="55">
        <v>2.2900000000000001E-5</v>
      </c>
      <c r="AK602" s="55">
        <v>2.2399999999999999E-5</v>
      </c>
      <c r="AL602" s="55">
        <v>1.5E-5</v>
      </c>
      <c r="AM602" s="55">
        <v>1.5E-5</v>
      </c>
      <c r="AN602" s="51">
        <v>0.66265254600000001</v>
      </c>
    </row>
    <row r="603" spans="1:40" x14ac:dyDescent="0.35">
      <c r="A603" s="14" t="s">
        <v>200</v>
      </c>
      <c r="B603" s="14">
        <v>2</v>
      </c>
      <c r="C603" s="44">
        <v>80</v>
      </c>
      <c r="D603" s="14">
        <v>3434</v>
      </c>
      <c r="E603" s="45">
        <v>36.36</v>
      </c>
      <c r="F603" s="45">
        <v>1.23</v>
      </c>
      <c r="G603" s="45">
        <v>6.01</v>
      </c>
      <c r="H603" s="45">
        <v>26.35</v>
      </c>
      <c r="K603" s="45">
        <v>1.06E-2</v>
      </c>
      <c r="L603" s="45">
        <v>70.207800000000006</v>
      </c>
      <c r="M603" s="45">
        <v>1.8E-3</v>
      </c>
      <c r="N603" s="45">
        <v>7.7000000000000002E-3</v>
      </c>
      <c r="O603" s="51">
        <v>73.416560320000002</v>
      </c>
      <c r="P603" s="51">
        <v>7.6795860000000004E-3</v>
      </c>
      <c r="AG603" s="14" t="s">
        <v>224</v>
      </c>
      <c r="AH603" s="14" t="s">
        <v>226</v>
      </c>
      <c r="AI603" s="14" t="s">
        <v>224</v>
      </c>
      <c r="AJ603" s="55">
        <v>1.98E-5</v>
      </c>
      <c r="AK603" s="55">
        <v>2.09E-5</v>
      </c>
      <c r="AL603" s="55">
        <v>1.66E-5</v>
      </c>
      <c r="AM603" s="55">
        <v>1.4800000000000001E-5</v>
      </c>
      <c r="AN603" s="51">
        <v>0.77185731800000001</v>
      </c>
    </row>
    <row r="604" spans="1:40" x14ac:dyDescent="0.35">
      <c r="A604" s="14" t="s">
        <v>200</v>
      </c>
      <c r="B604" s="14">
        <v>2</v>
      </c>
      <c r="C604" s="44">
        <v>90</v>
      </c>
      <c r="D604" s="14">
        <v>3434</v>
      </c>
      <c r="E604" s="45">
        <v>37.57</v>
      </c>
      <c r="F604" s="45">
        <v>1.25</v>
      </c>
      <c r="G604" s="45">
        <v>6.84</v>
      </c>
      <c r="H604" s="45">
        <v>23.63</v>
      </c>
      <c r="K604" s="45">
        <v>1.09E-2</v>
      </c>
      <c r="L604" s="45">
        <v>71.373999999999995</v>
      </c>
      <c r="M604" s="45">
        <v>2E-3</v>
      </c>
      <c r="N604" s="45">
        <v>6.8999999999999999E-3</v>
      </c>
      <c r="O604" s="51">
        <v>58.291411070000002</v>
      </c>
      <c r="P604" s="51">
        <v>6.8795669999999996E-3</v>
      </c>
      <c r="AG604" s="14" t="s">
        <v>224</v>
      </c>
      <c r="AH604" s="14" t="s">
        <v>226</v>
      </c>
      <c r="AI604" s="14" t="s">
        <v>224</v>
      </c>
      <c r="AJ604" s="55">
        <v>2.12E-5</v>
      </c>
      <c r="AK604" s="55">
        <v>1.6399999999999999E-5</v>
      </c>
      <c r="AL604" s="55">
        <v>1.3699999999999999E-5</v>
      </c>
      <c r="AM604" s="55">
        <v>1.2999999999999999E-5</v>
      </c>
      <c r="AN604" s="51">
        <v>0.71068339400000002</v>
      </c>
    </row>
    <row r="605" spans="1:40" x14ac:dyDescent="0.35">
      <c r="A605" s="14" t="s">
        <v>200</v>
      </c>
      <c r="B605" s="14">
        <v>3</v>
      </c>
      <c r="C605" s="44">
        <v>20</v>
      </c>
      <c r="D605" s="14">
        <v>2561</v>
      </c>
      <c r="E605" s="49">
        <v>37.678525780608837</v>
      </c>
      <c r="F605" s="50">
        <v>1.4065613538373121</v>
      </c>
      <c r="G605" s="50">
        <v>7.4211347515053188</v>
      </c>
      <c r="H605" s="50">
        <v>23.086926387026914</v>
      </c>
      <c r="K605" s="50">
        <v>1.471242709121782E-2</v>
      </c>
      <c r="L605" s="50">
        <v>80.590029201085201</v>
      </c>
      <c r="M605" s="50">
        <v>2.8977488291703703E-3</v>
      </c>
      <c r="N605" s="50">
        <v>9.0148092100846983E-3</v>
      </c>
      <c r="AG605" s="14" t="s">
        <v>224</v>
      </c>
      <c r="AH605" s="14" t="s">
        <v>226</v>
      </c>
      <c r="AI605" s="14" t="s">
        <v>224</v>
      </c>
    </row>
    <row r="606" spans="1:40" x14ac:dyDescent="0.35">
      <c r="A606" s="14" t="s">
        <v>200</v>
      </c>
      <c r="B606" s="14">
        <v>3</v>
      </c>
      <c r="C606" s="44">
        <v>30</v>
      </c>
      <c r="D606" s="14">
        <v>2561</v>
      </c>
      <c r="E606" s="49">
        <v>37.883502702363693</v>
      </c>
      <c r="F606" s="50">
        <v>1.2284366241511624</v>
      </c>
      <c r="G606" s="50">
        <v>9.7141581724820547</v>
      </c>
      <c r="H606" s="50">
        <v>22.748889313546712</v>
      </c>
      <c r="K606" s="50">
        <v>1.4792464936495E-2</v>
      </c>
      <c r="L606" s="50">
        <v>70.384233963160185</v>
      </c>
      <c r="M606" s="50">
        <v>3.7931113520039261E-3</v>
      </c>
      <c r="N606" s="50">
        <v>8.8828150384797789E-3</v>
      </c>
      <c r="AG606" s="14" t="s">
        <v>224</v>
      </c>
      <c r="AH606" s="14" t="s">
        <v>226</v>
      </c>
      <c r="AI606" s="14" t="s">
        <v>224</v>
      </c>
    </row>
    <row r="607" spans="1:40" x14ac:dyDescent="0.35">
      <c r="A607" s="14" t="s">
        <v>200</v>
      </c>
      <c r="B607" s="14">
        <v>3</v>
      </c>
      <c r="C607" s="44">
        <v>40</v>
      </c>
      <c r="D607" s="14">
        <v>2561</v>
      </c>
      <c r="E607" s="49">
        <v>40.292265672210661</v>
      </c>
      <c r="F607" s="50">
        <v>1.4430465603903964</v>
      </c>
      <c r="G607" s="50">
        <v>13.108234053449026</v>
      </c>
      <c r="H607" s="50">
        <v>26.578416807627971</v>
      </c>
      <c r="K607" s="50">
        <v>1.5733020567048287E-2</v>
      </c>
      <c r="L607" s="50">
        <v>82.680477551239974</v>
      </c>
      <c r="M607" s="50">
        <v>5.1184045503510451E-3</v>
      </c>
      <c r="N607" s="50">
        <v>1.0378140104501355E-2</v>
      </c>
      <c r="AG607" s="14" t="s">
        <v>224</v>
      </c>
      <c r="AH607" s="14" t="s">
        <v>226</v>
      </c>
      <c r="AI607" s="14" t="s">
        <v>224</v>
      </c>
    </row>
    <row r="608" spans="1:40" x14ac:dyDescent="0.35">
      <c r="A608" s="14" t="s">
        <v>200</v>
      </c>
      <c r="B608" s="14">
        <v>3</v>
      </c>
      <c r="C608" s="44">
        <v>50</v>
      </c>
      <c r="D608" s="14">
        <v>2561</v>
      </c>
      <c r="E608" s="49">
        <v>43.548587129779513</v>
      </c>
      <c r="F608" s="50">
        <v>1.5305734519970779</v>
      </c>
      <c r="G608" s="50">
        <v>12.923715603494195</v>
      </c>
      <c r="H608" s="50">
        <v>28.894397882634625</v>
      </c>
      <c r="K608" s="50">
        <v>1.7004524455204808E-2</v>
      </c>
      <c r="L608" s="50">
        <v>87.69539903420187</v>
      </c>
      <c r="M608" s="50">
        <v>5.0463551751246368E-3</v>
      </c>
      <c r="N608" s="50">
        <v>1.1282466959248194E-2</v>
      </c>
      <c r="AG608" s="14" t="s">
        <v>224</v>
      </c>
      <c r="AH608" s="14" t="s">
        <v>226</v>
      </c>
      <c r="AI608" s="14" t="s">
        <v>224</v>
      </c>
    </row>
    <row r="609" spans="1:40" x14ac:dyDescent="0.35">
      <c r="A609" s="14" t="s">
        <v>200</v>
      </c>
      <c r="B609" s="14">
        <v>3</v>
      </c>
      <c r="C609" s="44">
        <v>60</v>
      </c>
      <c r="D609" s="14">
        <v>2561</v>
      </c>
      <c r="E609" s="49">
        <v>42.946310307173071</v>
      </c>
      <c r="F609" s="50">
        <v>1.4449507393158749</v>
      </c>
      <c r="G609" s="50">
        <v>12.454633876593885</v>
      </c>
      <c r="H609" s="50">
        <v>27.679330700000651</v>
      </c>
      <c r="K609" s="50">
        <v>1.6769351935639623E-2</v>
      </c>
      <c r="L609" s="50">
        <v>82.789578967107659</v>
      </c>
      <c r="M609" s="50">
        <v>4.8631916737969091E-3</v>
      </c>
      <c r="N609" s="50">
        <v>1.0808016673174796E-2</v>
      </c>
      <c r="AG609" s="14" t="s">
        <v>224</v>
      </c>
      <c r="AH609" s="14" t="s">
        <v>226</v>
      </c>
      <c r="AI609" s="14" t="s">
        <v>224</v>
      </c>
    </row>
    <row r="610" spans="1:40" x14ac:dyDescent="0.35">
      <c r="A610" s="14" t="s">
        <v>200</v>
      </c>
      <c r="B610" s="14">
        <v>3</v>
      </c>
      <c r="C610" s="44">
        <v>70</v>
      </c>
      <c r="D610" s="14">
        <v>2561</v>
      </c>
      <c r="E610" s="49">
        <v>42.468487729138673</v>
      </c>
      <c r="F610" s="50">
        <v>1.2463867583966008</v>
      </c>
      <c r="G610" s="50">
        <v>14.49694064277012</v>
      </c>
      <c r="H610" s="50">
        <v>24.434947309130823</v>
      </c>
      <c r="K610" s="50">
        <v>1.6582775372564886E-2</v>
      </c>
      <c r="L610" s="50">
        <v>71.412700897117048</v>
      </c>
      <c r="M610" s="50">
        <v>5.6606562447364776E-3</v>
      </c>
      <c r="N610" s="50">
        <v>9.5411742714294513E-3</v>
      </c>
      <c r="AG610" s="14" t="s">
        <v>224</v>
      </c>
      <c r="AH610" s="14" t="s">
        <v>226</v>
      </c>
      <c r="AI610" s="14" t="s">
        <v>224</v>
      </c>
    </row>
    <row r="611" spans="1:40" x14ac:dyDescent="0.35">
      <c r="A611" s="14" t="s">
        <v>200</v>
      </c>
      <c r="B611" s="14">
        <v>3</v>
      </c>
      <c r="C611" s="44">
        <v>80</v>
      </c>
      <c r="D611" s="14">
        <v>2561</v>
      </c>
      <c r="E611" s="49">
        <v>39.288471438833035</v>
      </c>
      <c r="F611" s="50">
        <v>1.1650035654876261</v>
      </c>
      <c r="G611" s="50">
        <v>12.149696292500488</v>
      </c>
      <c r="H611" s="50">
        <v>20.948500328185769</v>
      </c>
      <c r="K611" s="50">
        <v>1.5341066551672408E-2</v>
      </c>
      <c r="L611" s="50">
        <v>66.749787420133785</v>
      </c>
      <c r="M611" s="50">
        <v>4.7441219416245566E-3</v>
      </c>
      <c r="N611" s="50">
        <v>8.1798127013610975E-3</v>
      </c>
      <c r="AG611" s="14" t="s">
        <v>224</v>
      </c>
      <c r="AH611" s="14" t="s">
        <v>226</v>
      </c>
      <c r="AI611" s="14" t="s">
        <v>224</v>
      </c>
    </row>
    <row r="612" spans="1:40" x14ac:dyDescent="0.35">
      <c r="A612" s="14" t="s">
        <v>200</v>
      </c>
      <c r="B612" s="14">
        <v>3</v>
      </c>
      <c r="C612" s="44">
        <v>90</v>
      </c>
      <c r="D612" s="14">
        <v>2561</v>
      </c>
      <c r="E612" s="49">
        <v>37.711255242964256</v>
      </c>
      <c r="F612" s="50">
        <v>1.1071168627738195</v>
      </c>
      <c r="G612" s="50">
        <v>10.164881947174791</v>
      </c>
      <c r="H612" s="50">
        <v>18.352908897501798</v>
      </c>
      <c r="K612" s="50">
        <v>1.4725207045280849E-2</v>
      </c>
      <c r="L612" s="50">
        <v>63.433123664704183</v>
      </c>
      <c r="M612" s="50">
        <v>3.9691065783579822E-3</v>
      </c>
      <c r="N612" s="50">
        <v>7.1663056999226081E-3</v>
      </c>
      <c r="AG612" s="14" t="s">
        <v>224</v>
      </c>
      <c r="AH612" s="14" t="s">
        <v>226</v>
      </c>
      <c r="AI612" s="14" t="s">
        <v>224</v>
      </c>
    </row>
    <row r="613" spans="1:40" x14ac:dyDescent="0.35">
      <c r="A613" s="14" t="s">
        <v>209</v>
      </c>
      <c r="B613" s="14">
        <v>1</v>
      </c>
      <c r="C613" s="44">
        <v>40</v>
      </c>
      <c r="D613" s="14">
        <v>2485</v>
      </c>
      <c r="E613" s="50">
        <v>74.068128773447427</v>
      </c>
      <c r="F613" s="50">
        <v>1.4028870551448611</v>
      </c>
      <c r="G613" s="50">
        <v>7.050858103805588</v>
      </c>
      <c r="H613" s="50">
        <v>48.080001039933478</v>
      </c>
      <c r="K613" s="50">
        <v>2.9812086445340079E-2</v>
      </c>
      <c r="L613" s="50">
        <v>80.379507393337335</v>
      </c>
      <c r="M613" s="50">
        <v>2.8379384599740744E-3</v>
      </c>
      <c r="N613" s="50">
        <v>1.935198270876775E-2</v>
      </c>
      <c r="O613" s="51">
        <v>92.270725470000002</v>
      </c>
      <c r="P613" s="51">
        <v>4.7139113000000003E-2</v>
      </c>
      <c r="AG613" s="14" t="s">
        <v>224</v>
      </c>
      <c r="AH613" s="14" t="s">
        <v>223</v>
      </c>
      <c r="AI613" s="14" t="s">
        <v>224</v>
      </c>
      <c r="AJ613" s="51">
        <v>3.1857400000000002E-4</v>
      </c>
      <c r="AK613" s="51">
        <v>1.1060099999999999E-4</v>
      </c>
      <c r="AL613" s="55">
        <v>8.9099999999999997E-5</v>
      </c>
      <c r="AM613" s="51">
        <v>3.24684E-4</v>
      </c>
      <c r="AN613" s="51">
        <v>0.96425011400000005</v>
      </c>
    </row>
    <row r="614" spans="1:40" x14ac:dyDescent="0.35">
      <c r="A614" s="14" t="s">
        <v>209</v>
      </c>
      <c r="B614" s="14">
        <v>1</v>
      </c>
      <c r="C614" s="44">
        <v>50</v>
      </c>
      <c r="D614" s="14">
        <v>2485</v>
      </c>
      <c r="E614" s="50">
        <v>76.188309470679229</v>
      </c>
      <c r="F614" s="50">
        <v>1.2287428620282177</v>
      </c>
      <c r="G614" s="50">
        <v>6.1127080741682427</v>
      </c>
      <c r="H614" s="50">
        <v>46.310916639600194</v>
      </c>
      <c r="K614" s="50">
        <v>3.0665449575640664E-2</v>
      </c>
      <c r="L614" s="50">
        <v>70.40178010104249</v>
      </c>
      <c r="M614" s="50">
        <v>2.4603373210578556E-3</v>
      </c>
      <c r="N614" s="50">
        <v>1.8639934248178787E-2</v>
      </c>
      <c r="O614" s="51">
        <v>139.87693239999999</v>
      </c>
      <c r="P614" s="51">
        <v>5.7763123999999999E-2</v>
      </c>
      <c r="AG614" s="14" t="s">
        <v>224</v>
      </c>
      <c r="AH614" s="14" t="s">
        <v>223</v>
      </c>
      <c r="AI614" s="14" t="s">
        <v>224</v>
      </c>
      <c r="AJ614" s="51">
        <v>2.1346000000000001E-4</v>
      </c>
      <c r="AK614" s="51">
        <v>1.23134E-4</v>
      </c>
      <c r="AL614" s="55">
        <v>9.5000000000000005E-5</v>
      </c>
      <c r="AM614" s="51">
        <v>2.0966999999999999E-4</v>
      </c>
      <c r="AN614" s="51">
        <v>0.90505458900000002</v>
      </c>
    </row>
    <row r="615" spans="1:40" x14ac:dyDescent="0.35">
      <c r="A615" s="14" t="s">
        <v>209</v>
      </c>
      <c r="B615" s="14">
        <v>1</v>
      </c>
      <c r="C615" s="44">
        <v>60</v>
      </c>
      <c r="D615" s="14">
        <v>2485</v>
      </c>
      <c r="E615" s="50">
        <v>73.496441410452164</v>
      </c>
      <c r="F615" s="50">
        <v>1.2866114565874802</v>
      </c>
      <c r="G615" s="50">
        <v>5.7592534238388842</v>
      </c>
      <c r="H615" s="50">
        <v>45.928123192658276</v>
      </c>
      <c r="K615" s="50">
        <v>2.9581984870377203E-2</v>
      </c>
      <c r="L615" s="50">
        <v>73.717406335641954</v>
      </c>
      <c r="M615" s="50">
        <v>2.3180734247691221E-3</v>
      </c>
      <c r="N615" s="50">
        <v>1.8485861619101741E-2</v>
      </c>
      <c r="O615" s="51">
        <v>159.4798006</v>
      </c>
      <c r="P615" s="51">
        <v>5.6674809999999999E-2</v>
      </c>
      <c r="AG615" s="14" t="s">
        <v>224</v>
      </c>
      <c r="AH615" s="14" t="s">
        <v>223</v>
      </c>
      <c r="AI615" s="14" t="s">
        <v>224</v>
      </c>
      <c r="AJ615" s="51">
        <v>1.09079E-4</v>
      </c>
      <c r="AK615" s="51">
        <v>1.13795E-4</v>
      </c>
      <c r="AL615" s="55">
        <v>9.6899999999999997E-5</v>
      </c>
      <c r="AM615" s="55">
        <v>9.0600000000000007E-5</v>
      </c>
      <c r="AN615" s="51">
        <v>0.84126455600000005</v>
      </c>
    </row>
    <row r="616" spans="1:40" x14ac:dyDescent="0.35">
      <c r="A616" s="14" t="s">
        <v>209</v>
      </c>
      <c r="B616" s="14">
        <v>1</v>
      </c>
      <c r="C616" s="44">
        <v>70</v>
      </c>
      <c r="D616" s="14">
        <v>2485</v>
      </c>
      <c r="E616" s="50">
        <v>69.686518782329784</v>
      </c>
      <c r="F616" s="50">
        <v>1.3690118163085365</v>
      </c>
      <c r="G616" s="50">
        <v>7.1812603350665229</v>
      </c>
      <c r="H616" s="50">
        <v>43.168490823747874</v>
      </c>
      <c r="K616" s="50">
        <v>2.8048508264169766E-2</v>
      </c>
      <c r="L616" s="50">
        <v>78.438599178018265</v>
      </c>
      <c r="M616" s="50">
        <v>2.89042476758564E-3</v>
      </c>
      <c r="N616" s="50">
        <v>1.7375122086435046E-2</v>
      </c>
      <c r="O616" s="51">
        <v>148.53990630000001</v>
      </c>
      <c r="P616" s="51">
        <v>5.2746671000000002E-2</v>
      </c>
      <c r="AG616" s="14" t="s">
        <v>224</v>
      </c>
      <c r="AH616" s="14" t="s">
        <v>223</v>
      </c>
      <c r="AI616" s="14" t="s">
        <v>224</v>
      </c>
      <c r="AJ616" s="51">
        <v>1.4729899999999999E-4</v>
      </c>
      <c r="AK616" s="55">
        <v>9.2299999999999994E-5</v>
      </c>
      <c r="AL616" s="55">
        <v>7.5400000000000003E-5</v>
      </c>
      <c r="AM616" s="51">
        <v>1.4549699999999999E-4</v>
      </c>
      <c r="AN616" s="51">
        <v>0.92161639299999998</v>
      </c>
    </row>
    <row r="617" spans="1:40" x14ac:dyDescent="0.35">
      <c r="A617" s="14" t="s">
        <v>209</v>
      </c>
      <c r="B617" s="14">
        <v>1</v>
      </c>
      <c r="C617" s="44">
        <v>80</v>
      </c>
      <c r="D617" s="14">
        <v>2485</v>
      </c>
      <c r="E617" s="50">
        <v>64.963191116200548</v>
      </c>
      <c r="F617" s="50">
        <v>1.2539208396253834</v>
      </c>
      <c r="G617" s="50">
        <v>6.5357861042112422</v>
      </c>
      <c r="H617" s="50">
        <v>38.064756665450922</v>
      </c>
      <c r="K617" s="50">
        <v>2.6147390266130225E-2</v>
      </c>
      <c r="L617" s="50">
        <v>71.844371954035026</v>
      </c>
      <c r="M617" s="50">
        <v>2.6306243124215103E-3</v>
      </c>
      <c r="N617" s="50">
        <v>1.532089219780677E-2</v>
      </c>
      <c r="O617" s="51">
        <v>139.14567070000001</v>
      </c>
      <c r="P617" s="51">
        <v>4.9103576000000003E-2</v>
      </c>
      <c r="AG617" s="14" t="s">
        <v>224</v>
      </c>
      <c r="AH617" s="14" t="s">
        <v>223</v>
      </c>
      <c r="AI617" s="14" t="s">
        <v>224</v>
      </c>
      <c r="AJ617" s="51">
        <v>1.63413E-4</v>
      </c>
      <c r="AK617" s="55">
        <v>8.1000000000000004E-5</v>
      </c>
      <c r="AL617" s="55">
        <v>6.4999999999999994E-5</v>
      </c>
      <c r="AM617" s="51">
        <v>1.5592000000000001E-4</v>
      </c>
      <c r="AN617" s="51">
        <v>0.90390355200000005</v>
      </c>
    </row>
    <row r="618" spans="1:40" x14ac:dyDescent="0.35">
      <c r="A618" s="14" t="s">
        <v>209</v>
      </c>
      <c r="B618" s="14">
        <v>1</v>
      </c>
      <c r="C618" s="44">
        <v>90</v>
      </c>
      <c r="D618" s="14">
        <v>2485</v>
      </c>
      <c r="E618" s="50">
        <v>61.846653102653583</v>
      </c>
      <c r="F618" s="50">
        <v>1.1950071417208297</v>
      </c>
      <c r="G618" s="50">
        <v>5.5827054373305947</v>
      </c>
      <c r="H618" s="50">
        <v>36.277916147430524</v>
      </c>
      <c r="K618" s="50">
        <v>2.4892997827592508E-2</v>
      </c>
      <c r="L618" s="50">
        <v>68.468865708595374</v>
      </c>
      <c r="M618" s="50">
        <v>2.2470136596218935E-3</v>
      </c>
      <c r="N618" s="50">
        <v>1.4601696980249759E-2</v>
      </c>
      <c r="O618" s="51">
        <v>130.307807</v>
      </c>
      <c r="P618" s="51">
        <v>4.5595705E-2</v>
      </c>
      <c r="AG618" s="14" t="s">
        <v>224</v>
      </c>
      <c r="AH618" s="14" t="s">
        <v>223</v>
      </c>
      <c r="AI618" s="14" t="s">
        <v>224</v>
      </c>
      <c r="AJ618" s="51">
        <v>1.62468E-4</v>
      </c>
      <c r="AK618" s="55">
        <v>7.7799999999999994E-5</v>
      </c>
      <c r="AL618" s="55">
        <v>5.1600000000000001E-5</v>
      </c>
      <c r="AM618" s="51">
        <v>1.9345399999999999E-4</v>
      </c>
      <c r="AN618" s="51">
        <v>1.01963694</v>
      </c>
    </row>
    <row r="619" spans="1:40" x14ac:dyDescent="0.35">
      <c r="A619" s="14" t="s">
        <v>209</v>
      </c>
      <c r="B619" s="14">
        <v>2</v>
      </c>
      <c r="C619" s="14">
        <v>40</v>
      </c>
      <c r="D619" s="14">
        <v>2058</v>
      </c>
      <c r="E619" s="50">
        <v>51.751709150519851</v>
      </c>
      <c r="F619" s="50">
        <v>1.4190108117552378</v>
      </c>
      <c r="G619" s="50">
        <v>7.0737401705179925</v>
      </c>
      <c r="H619" s="50">
        <v>35.946578418536546</v>
      </c>
      <c r="K619" s="50">
        <v>2.5146603085772521E-2</v>
      </c>
      <c r="L619" s="50">
        <v>81.30333059700807</v>
      </c>
      <c r="M619" s="50">
        <v>3.4371915308639418E-3</v>
      </c>
      <c r="N619" s="50">
        <v>1.7466753361776749E-2</v>
      </c>
      <c r="O619" s="51">
        <v>92.792995860000005</v>
      </c>
      <c r="P619" s="51">
        <v>3.6751111000000003E-2</v>
      </c>
      <c r="AG619" s="14" t="s">
        <v>224</v>
      </c>
      <c r="AH619" s="14" t="s">
        <v>223</v>
      </c>
      <c r="AI619" s="14" t="s">
        <v>224</v>
      </c>
      <c r="AJ619" s="51">
        <v>2.2744700000000001E-4</v>
      </c>
      <c r="AK619" s="55">
        <v>1.43E-5</v>
      </c>
      <c r="AL619" s="55">
        <v>4.7200000000000002E-5</v>
      </c>
      <c r="AM619" s="55">
        <v>1.77E-5</v>
      </c>
      <c r="AN619" s="51">
        <v>0.26871064300000003</v>
      </c>
    </row>
    <row r="620" spans="1:40" x14ac:dyDescent="0.35">
      <c r="A620" s="14" t="s">
        <v>209</v>
      </c>
      <c r="B620" s="14">
        <v>2</v>
      </c>
      <c r="C620" s="44">
        <v>50</v>
      </c>
      <c r="D620" s="14">
        <v>2058</v>
      </c>
      <c r="E620" s="50">
        <v>60.144995635547161</v>
      </c>
      <c r="F620" s="50">
        <v>0.93141907203124008</v>
      </c>
      <c r="G620" s="50">
        <v>7.0805720107912045</v>
      </c>
      <c r="H620" s="50">
        <v>30.318398704417088</v>
      </c>
      <c r="K620" s="50">
        <v>2.9224973583842156E-2</v>
      </c>
      <c r="L620" s="50">
        <v>53.366381785381677</v>
      </c>
      <c r="M620" s="50">
        <v>3.4405111811424706E-3</v>
      </c>
      <c r="N620" s="50">
        <v>1.4731972159580704E-2</v>
      </c>
      <c r="O620" s="51">
        <v>112.2700991</v>
      </c>
      <c r="P620" s="51">
        <v>4.4072725E-2</v>
      </c>
      <c r="AG620" s="14" t="s">
        <v>224</v>
      </c>
      <c r="AH620" s="14" t="s">
        <v>223</v>
      </c>
      <c r="AI620" s="14" t="s">
        <v>224</v>
      </c>
      <c r="AJ620" s="51">
        <v>2.30409E-4</v>
      </c>
      <c r="AK620" s="55">
        <v>2.3E-6</v>
      </c>
      <c r="AL620" s="55">
        <v>4.6E-5</v>
      </c>
      <c r="AM620" s="55">
        <v>6.9400000000000006E-5</v>
      </c>
      <c r="AN620" s="51">
        <v>0.49602791099999999</v>
      </c>
    </row>
    <row r="621" spans="1:40" x14ac:dyDescent="0.35">
      <c r="A621" s="14" t="s">
        <v>209</v>
      </c>
      <c r="B621" s="14">
        <v>2</v>
      </c>
      <c r="C621" s="44">
        <v>60</v>
      </c>
      <c r="D621" s="14">
        <v>2058</v>
      </c>
      <c r="E621" s="50">
        <v>57.600209201009029</v>
      </c>
      <c r="F621" s="50">
        <v>1.4057140813167919</v>
      </c>
      <c r="G621" s="50">
        <v>6.6648705913918338</v>
      </c>
      <c r="H621" s="50">
        <v>37.976340002691188</v>
      </c>
      <c r="K621" s="50">
        <v>2.7988439844999529E-2</v>
      </c>
      <c r="L621" s="50">
        <v>80.541484061561988</v>
      </c>
      <c r="M621" s="50">
        <v>3.2385182659824263E-3</v>
      </c>
      <c r="N621" s="50">
        <v>1.8453032071278515E-2</v>
      </c>
      <c r="O621" s="51">
        <v>113.9974715</v>
      </c>
      <c r="P621" s="51">
        <v>4.2075406000000003E-2</v>
      </c>
      <c r="AG621" s="14" t="s">
        <v>224</v>
      </c>
      <c r="AH621" s="14" t="s">
        <v>223</v>
      </c>
      <c r="AI621" s="14" t="s">
        <v>224</v>
      </c>
      <c r="AJ621" s="51">
        <v>2.2366399999999999E-4</v>
      </c>
      <c r="AK621" s="55">
        <v>1.06E-5</v>
      </c>
      <c r="AL621" s="55">
        <v>3.5299999999999997E-5</v>
      </c>
      <c r="AM621" s="55">
        <v>3.1099999999999997E-5</v>
      </c>
      <c r="AN621" s="51">
        <v>0.28352433100000002</v>
      </c>
    </row>
    <row r="622" spans="1:40" x14ac:dyDescent="0.35">
      <c r="A622" s="14" t="s">
        <v>209</v>
      </c>
      <c r="B622" s="14">
        <v>2</v>
      </c>
      <c r="C622" s="44">
        <v>70</v>
      </c>
      <c r="D622" s="14">
        <v>2058</v>
      </c>
      <c r="E622" s="50">
        <v>56.71750699739885</v>
      </c>
      <c r="F622" s="50">
        <v>1.3179887717580927</v>
      </c>
      <c r="G622" s="50">
        <v>7.6399214655649637</v>
      </c>
      <c r="H622" s="50">
        <v>37.318473977374843</v>
      </c>
      <c r="K622" s="50">
        <v>2.7559527209620432E-2</v>
      </c>
      <c r="L622" s="50">
        <v>75.515194067369862</v>
      </c>
      <c r="M622" s="50">
        <v>3.7123039191277762E-3</v>
      </c>
      <c r="N622" s="50">
        <v>1.8133369279579613E-2</v>
      </c>
      <c r="O622" s="51">
        <v>107.29725740000001</v>
      </c>
      <c r="P622" s="51">
        <v>4.1351941000000003E-2</v>
      </c>
      <c r="AG622" s="14" t="s">
        <v>224</v>
      </c>
      <c r="AH622" s="14" t="s">
        <v>223</v>
      </c>
      <c r="AI622" s="14" t="s">
        <v>224</v>
      </c>
      <c r="AJ622" s="51">
        <v>2.1462799999999999E-4</v>
      </c>
      <c r="AK622" s="55">
        <v>7.8800000000000008E-6</v>
      </c>
      <c r="AL622" s="55">
        <v>1.91E-5</v>
      </c>
      <c r="AM622" s="55">
        <v>3.04E-5</v>
      </c>
      <c r="AN622" s="51">
        <v>0.22229152899999999</v>
      </c>
    </row>
    <row r="623" spans="1:40" x14ac:dyDescent="0.35">
      <c r="A623" s="14" t="s">
        <v>209</v>
      </c>
      <c r="B623" s="14">
        <v>2</v>
      </c>
      <c r="C623" s="44">
        <v>80</v>
      </c>
      <c r="D623" s="14">
        <v>2058</v>
      </c>
      <c r="E623" s="50">
        <v>54.339677032533096</v>
      </c>
      <c r="F623" s="50">
        <v>1.3616529663291637</v>
      </c>
      <c r="G623" s="50">
        <v>5.858207917102269</v>
      </c>
      <c r="H623" s="50">
        <v>32.957525695962069</v>
      </c>
      <c r="K623" s="50">
        <v>2.640411906342716E-2</v>
      </c>
      <c r="L623" s="50">
        <v>78.016968132130259</v>
      </c>
      <c r="M623" s="50">
        <v>2.8465538955793337E-3</v>
      </c>
      <c r="N623" s="50">
        <v>1.601434679104085E-2</v>
      </c>
      <c r="O623" s="51">
        <v>111.42640780000001</v>
      </c>
      <c r="P623" s="51">
        <v>4.0497828E-2</v>
      </c>
      <c r="AG623" s="14" t="s">
        <v>224</v>
      </c>
      <c r="AH623" s="14" t="s">
        <v>223</v>
      </c>
      <c r="AI623" s="14" t="s">
        <v>224</v>
      </c>
      <c r="AJ623" s="51">
        <v>1.8755900000000001E-4</v>
      </c>
      <c r="AK623" s="55">
        <v>7.7100000000000007E-6</v>
      </c>
      <c r="AL623" s="55">
        <v>1.8199999999999999E-5</v>
      </c>
      <c r="AM623" s="55">
        <v>1.2E-5</v>
      </c>
      <c r="AN623" s="51">
        <v>0.15435242800000001</v>
      </c>
    </row>
    <row r="624" spans="1:40" x14ac:dyDescent="0.35">
      <c r="A624" s="14" t="s">
        <v>209</v>
      </c>
      <c r="B624" s="14">
        <v>2</v>
      </c>
      <c r="C624" s="44">
        <v>90</v>
      </c>
      <c r="D624" s="14">
        <v>2058</v>
      </c>
      <c r="E624" s="50">
        <v>51.127614847555712</v>
      </c>
      <c r="F624" s="50">
        <v>1.1839143833997741</v>
      </c>
      <c r="G624" s="50">
        <v>5.6004374829115138</v>
      </c>
      <c r="H624" s="50">
        <v>30.420795518855147</v>
      </c>
      <c r="K624" s="50">
        <v>2.4843350266062058E-2</v>
      </c>
      <c r="L624" s="50">
        <v>67.833297473640258</v>
      </c>
      <c r="M624" s="50">
        <v>2.7213010121047202E-3</v>
      </c>
      <c r="N624" s="50">
        <v>1.4781727657364017E-2</v>
      </c>
      <c r="O624" s="51">
        <v>108.29263109999999</v>
      </c>
      <c r="P624" s="51">
        <v>3.7639907E-2</v>
      </c>
      <c r="AG624" s="14" t="s">
        <v>224</v>
      </c>
      <c r="AH624" s="14" t="s">
        <v>223</v>
      </c>
      <c r="AI624" s="14" t="s">
        <v>224</v>
      </c>
    </row>
    <row r="625" spans="1:40" x14ac:dyDescent="0.35">
      <c r="A625" s="14" t="s">
        <v>209</v>
      </c>
      <c r="B625" s="14">
        <v>3</v>
      </c>
      <c r="C625" s="14">
        <v>40</v>
      </c>
      <c r="D625" s="14">
        <v>2350</v>
      </c>
      <c r="E625" s="49">
        <v>67.422547267216274</v>
      </c>
      <c r="F625" s="50">
        <v>1.404228159718806</v>
      </c>
      <c r="G625" s="50">
        <v>7.0178803067592925</v>
      </c>
      <c r="H625" s="50">
        <v>44.521532779094706</v>
      </c>
      <c r="K625" s="50">
        <v>2.8690445645623945E-2</v>
      </c>
      <c r="L625" s="50">
        <v>80.456347025310066</v>
      </c>
      <c r="M625" s="50">
        <v>2.9863320454294861E-3</v>
      </c>
      <c r="N625" s="50">
        <v>1.894533309748711E-2</v>
      </c>
      <c r="AG625" s="14" t="s">
        <v>224</v>
      </c>
      <c r="AH625" s="14" t="s">
        <v>223</v>
      </c>
      <c r="AI625" s="14" t="s">
        <v>224</v>
      </c>
    </row>
    <row r="626" spans="1:40" x14ac:dyDescent="0.35">
      <c r="A626" s="14" t="s">
        <v>209</v>
      </c>
      <c r="B626" s="14">
        <v>3</v>
      </c>
      <c r="C626" s="44">
        <v>50</v>
      </c>
      <c r="D626" s="14">
        <v>2350</v>
      </c>
      <c r="E626" s="49">
        <v>65.787058423370823</v>
      </c>
      <c r="F626" s="50">
        <v>1.4155653180772823</v>
      </c>
      <c r="G626" s="50">
        <v>8.089655678704732</v>
      </c>
      <c r="H626" s="50">
        <v>42.359741760308275</v>
      </c>
      <c r="K626" s="50">
        <v>2.7994492946115244E-2</v>
      </c>
      <c r="L626" s="50">
        <v>81.105918350922209</v>
      </c>
      <c r="M626" s="50">
        <v>3.4424066717892478E-3</v>
      </c>
      <c r="N626" s="50">
        <v>1.8025422025663096E-2</v>
      </c>
      <c r="AG626" s="14" t="s">
        <v>224</v>
      </c>
      <c r="AH626" s="14" t="s">
        <v>223</v>
      </c>
      <c r="AI626" s="14" t="s">
        <v>224</v>
      </c>
    </row>
    <row r="627" spans="1:40" x14ac:dyDescent="0.35">
      <c r="A627" s="14" t="s">
        <v>209</v>
      </c>
      <c r="B627" s="14">
        <v>3</v>
      </c>
      <c r="C627" s="44">
        <v>60</v>
      </c>
      <c r="D627" s="14">
        <v>2350</v>
      </c>
      <c r="E627" s="49">
        <v>61.828544128096738</v>
      </c>
      <c r="F627" s="50">
        <v>1.49152470766725</v>
      </c>
      <c r="G627" s="50">
        <v>8.0738083331225923</v>
      </c>
      <c r="H627" s="50">
        <v>40.227352684460833</v>
      </c>
      <c r="K627" s="50">
        <v>2.6310018777913505E-2</v>
      </c>
      <c r="L627" s="50">
        <v>85.458070788817324</v>
      </c>
      <c r="M627" s="50">
        <v>3.4356631204776988E-3</v>
      </c>
      <c r="N627" s="50">
        <v>1.7118022418919503E-2</v>
      </c>
      <c r="AG627" s="14" t="s">
        <v>224</v>
      </c>
      <c r="AH627" s="14" t="s">
        <v>223</v>
      </c>
      <c r="AI627" s="14" t="s">
        <v>224</v>
      </c>
    </row>
    <row r="628" spans="1:40" x14ac:dyDescent="0.35">
      <c r="A628" s="14" t="s">
        <v>209</v>
      </c>
      <c r="B628" s="14">
        <v>3</v>
      </c>
      <c r="C628" s="44">
        <v>70</v>
      </c>
      <c r="D628" s="14">
        <v>2350</v>
      </c>
      <c r="E628" s="49">
        <v>58.500574834782604</v>
      </c>
      <c r="F628" s="50">
        <v>1.399377505123804</v>
      </c>
      <c r="G628" s="50">
        <v>7.7522740534632559</v>
      </c>
      <c r="H628" s="50">
        <v>37.077231396100764</v>
      </c>
      <c r="K628" s="50">
        <v>2.4893861631822386E-2</v>
      </c>
      <c r="L628" s="50">
        <v>80.178424989140709</v>
      </c>
      <c r="M628" s="50">
        <v>3.2988400227503215E-3</v>
      </c>
      <c r="N628" s="50">
        <v>1.5777545274936494E-2</v>
      </c>
      <c r="AG628" s="14" t="s">
        <v>224</v>
      </c>
      <c r="AH628" s="14" t="s">
        <v>223</v>
      </c>
      <c r="AI628" s="14" t="s">
        <v>224</v>
      </c>
    </row>
    <row r="629" spans="1:40" x14ac:dyDescent="0.35">
      <c r="A629" s="14" t="s">
        <v>209</v>
      </c>
      <c r="B629" s="14">
        <v>3</v>
      </c>
      <c r="C629" s="44">
        <v>80</v>
      </c>
      <c r="D629" s="14">
        <v>2350</v>
      </c>
      <c r="E629" s="49">
        <v>53.19611782827765</v>
      </c>
      <c r="F629" s="50">
        <v>1.4171507998291306</v>
      </c>
      <c r="G629" s="50">
        <v>5.8740191521648928</v>
      </c>
      <c r="H629" s="50">
        <v>33.567320327961852</v>
      </c>
      <c r="K629" s="50">
        <v>2.2636645884373467E-2</v>
      </c>
      <c r="L629" s="50">
        <v>81.196759763798127</v>
      </c>
      <c r="M629" s="50">
        <v>2.4995826179425077E-3</v>
      </c>
      <c r="N629" s="50">
        <v>1.4283966097005043E-2</v>
      </c>
      <c r="AG629" s="14" t="s">
        <v>224</v>
      </c>
      <c r="AH629" s="14" t="s">
        <v>223</v>
      </c>
      <c r="AI629" s="14" t="s">
        <v>224</v>
      </c>
    </row>
    <row r="630" spans="1:40" x14ac:dyDescent="0.35">
      <c r="A630" s="14" t="s">
        <v>209</v>
      </c>
      <c r="B630" s="14">
        <v>3</v>
      </c>
      <c r="C630" s="44">
        <v>90</v>
      </c>
      <c r="D630" s="14">
        <v>2350</v>
      </c>
      <c r="E630" s="49">
        <v>61.644531501180182</v>
      </c>
      <c r="F630" s="50">
        <v>1.6906550439391117</v>
      </c>
      <c r="G630" s="50">
        <v>5.3079999999999927</v>
      </c>
      <c r="H630" s="50">
        <v>44.953492077924253</v>
      </c>
      <c r="K630" s="50">
        <v>2.6231715532417099E-2</v>
      </c>
      <c r="L630" s="50">
        <v>96.86739863021586</v>
      </c>
      <c r="M630" s="50">
        <v>2.2587234042553161E-3</v>
      </c>
      <c r="N630" s="50">
        <v>1.9129145565074151E-2</v>
      </c>
      <c r="AG630" s="14" t="s">
        <v>224</v>
      </c>
      <c r="AH630" s="14" t="s">
        <v>223</v>
      </c>
      <c r="AI630" s="14" t="s">
        <v>224</v>
      </c>
    </row>
    <row r="631" spans="1:40" x14ac:dyDescent="0.35">
      <c r="A631" s="14" t="s">
        <v>201</v>
      </c>
      <c r="B631" s="14">
        <v>1</v>
      </c>
      <c r="C631" s="44">
        <v>30</v>
      </c>
      <c r="D631" s="14">
        <v>3274</v>
      </c>
      <c r="E631" s="50">
        <v>61.831305986530822</v>
      </c>
      <c r="F631" s="50">
        <v>1.2072855261738944</v>
      </c>
      <c r="G631" s="50">
        <v>9.3108538813580637</v>
      </c>
      <c r="H631" s="50">
        <v>36.77598401130826</v>
      </c>
      <c r="K631" s="50">
        <v>1.8885554669068667E-2</v>
      </c>
      <c r="L631" s="50">
        <v>69.172365316995027</v>
      </c>
      <c r="M631" s="50">
        <v>2.8438771781790053E-3</v>
      </c>
      <c r="N631" s="50">
        <v>1.1232737938701363E-2</v>
      </c>
      <c r="O631" s="51">
        <v>124.13618</v>
      </c>
      <c r="P631" s="51">
        <v>3.4561064000000002E-2</v>
      </c>
      <c r="AG631" s="14" t="s">
        <v>224</v>
      </c>
      <c r="AH631" s="14" t="s">
        <v>223</v>
      </c>
      <c r="AI631" s="14" t="s">
        <v>224</v>
      </c>
      <c r="AJ631" s="51">
        <v>1.07481E-4</v>
      </c>
      <c r="AK631" s="55">
        <v>4.5800000000000002E-5</v>
      </c>
      <c r="AL631" s="55">
        <v>3.3300000000000003E-5</v>
      </c>
      <c r="AM631" s="55">
        <v>9.3700000000000001E-5</v>
      </c>
      <c r="AN631" s="51">
        <v>0.82898832700000002</v>
      </c>
    </row>
    <row r="632" spans="1:40" x14ac:dyDescent="0.35">
      <c r="A632" s="14" t="s">
        <v>201</v>
      </c>
      <c r="B632" s="14">
        <v>1</v>
      </c>
      <c r="C632" s="44">
        <v>40</v>
      </c>
      <c r="D632" s="14">
        <v>3274</v>
      </c>
      <c r="E632" s="50">
        <v>61.713209282940547</v>
      </c>
      <c r="F632" s="50">
        <v>1.3639306829394733</v>
      </c>
      <c r="G632" s="50">
        <v>10.673640428644745</v>
      </c>
      <c r="H632" s="50">
        <v>40.522216128933529</v>
      </c>
      <c r="K632" s="50">
        <v>1.8849483592834622E-2</v>
      </c>
      <c r="L632" s="50">
        <v>78.147471680827849</v>
      </c>
      <c r="M632" s="50">
        <v>3.2601223056337035E-3</v>
      </c>
      <c r="N632" s="50">
        <v>1.2376974993565526E-2</v>
      </c>
      <c r="O632" s="51">
        <v>105.1076108</v>
      </c>
      <c r="P632" s="51">
        <v>3.3079310000000001E-2</v>
      </c>
      <c r="AG632" s="14" t="s">
        <v>224</v>
      </c>
      <c r="AH632" s="14" t="s">
        <v>223</v>
      </c>
      <c r="AI632" s="14" t="s">
        <v>224</v>
      </c>
      <c r="AJ632" s="51">
        <v>1.36873E-4</v>
      </c>
      <c r="AK632" s="55">
        <v>4.6699999999999997E-5</v>
      </c>
      <c r="AL632" s="55">
        <v>3.79E-5</v>
      </c>
      <c r="AM632" s="51">
        <v>1.1157700000000001E-4</v>
      </c>
      <c r="AN632" s="51">
        <v>0.81433939</v>
      </c>
    </row>
    <row r="633" spans="1:40" x14ac:dyDescent="0.35">
      <c r="A633" s="14" t="s">
        <v>201</v>
      </c>
      <c r="B633" s="14">
        <v>1</v>
      </c>
      <c r="C633" s="44">
        <v>50</v>
      </c>
      <c r="D633" s="14">
        <v>3274</v>
      </c>
      <c r="E633" s="50">
        <v>62.052891149405731</v>
      </c>
      <c r="F633" s="50">
        <v>1.426638252236025</v>
      </c>
      <c r="G633" s="50">
        <v>11.020018148805363</v>
      </c>
      <c r="H633" s="50">
        <v>41.739881408552186</v>
      </c>
      <c r="K633" s="50">
        <v>1.8953234926513664E-2</v>
      </c>
      <c r="L633" s="50">
        <v>81.74035074504441</v>
      </c>
      <c r="M633" s="50">
        <v>3.36591879926859E-3</v>
      </c>
      <c r="N633" s="50">
        <v>1.274889474909963E-2</v>
      </c>
      <c r="O633" s="51">
        <v>98.773704530000003</v>
      </c>
      <c r="P633" s="51">
        <v>3.1867950999999999E-2</v>
      </c>
      <c r="AG633" s="14" t="s">
        <v>224</v>
      </c>
      <c r="AH633" s="14" t="s">
        <v>223</v>
      </c>
      <c r="AI633" s="14" t="s">
        <v>224</v>
      </c>
      <c r="AJ633" s="51">
        <v>1.36324E-4</v>
      </c>
      <c r="AK633" s="55">
        <v>4.6900000000000002E-5</v>
      </c>
      <c r="AL633" s="55">
        <v>3.4E-5</v>
      </c>
      <c r="AM633" s="51">
        <v>1.23096E-4</v>
      </c>
      <c r="AN633" s="51">
        <v>0.857566202</v>
      </c>
    </row>
    <row r="634" spans="1:40" x14ac:dyDescent="0.35">
      <c r="A634" s="14" t="s">
        <v>201</v>
      </c>
      <c r="B634" s="14">
        <v>1</v>
      </c>
      <c r="C634" s="44">
        <v>60</v>
      </c>
      <c r="D634" s="14">
        <v>3274</v>
      </c>
      <c r="E634" s="50">
        <v>62.797131303905829</v>
      </c>
      <c r="F634" s="50">
        <v>1.3121151818503312</v>
      </c>
      <c r="G634" s="50">
        <v>10.484436084024718</v>
      </c>
      <c r="H634" s="50">
        <v>40.550448826122711</v>
      </c>
      <c r="K634" s="50">
        <v>1.9180553238822794E-2</v>
      </c>
      <c r="L634" s="50">
        <v>75.178662155064487</v>
      </c>
      <c r="M634" s="50">
        <v>3.2023323408749901E-3</v>
      </c>
      <c r="N634" s="50">
        <v>1.2385598297532899E-2</v>
      </c>
      <c r="O634" s="51">
        <v>109.2764384</v>
      </c>
      <c r="P634" s="51">
        <v>3.3923367000000003E-2</v>
      </c>
      <c r="AG634" s="14" t="s">
        <v>224</v>
      </c>
      <c r="AH634" s="14" t="s">
        <v>223</v>
      </c>
      <c r="AI634" s="14" t="s">
        <v>224</v>
      </c>
      <c r="AJ634" s="51">
        <v>1.31376E-4</v>
      </c>
      <c r="AK634" s="55">
        <v>4.9700000000000002E-5</v>
      </c>
      <c r="AL634" s="55">
        <v>3.5800000000000003E-5</v>
      </c>
      <c r="AM634" s="51">
        <v>1.20741E-4</v>
      </c>
      <c r="AN634" s="51">
        <v>0.86482866199999997</v>
      </c>
    </row>
    <row r="635" spans="1:40" x14ac:dyDescent="0.35">
      <c r="A635" s="14" t="s">
        <v>201</v>
      </c>
      <c r="B635" s="14">
        <v>1</v>
      </c>
      <c r="C635" s="44">
        <v>70</v>
      </c>
      <c r="D635" s="14">
        <v>3274</v>
      </c>
      <c r="E635" s="50">
        <v>61.791168462815044</v>
      </c>
      <c r="F635" s="50">
        <v>1.3011626437429467</v>
      </c>
      <c r="G635" s="50">
        <v>12.14563707674488</v>
      </c>
      <c r="H635" s="50">
        <v>37.896239919020992</v>
      </c>
      <c r="K635" s="50">
        <v>1.8873295193284987E-2</v>
      </c>
      <c r="L635" s="50">
        <v>74.551127946555155</v>
      </c>
      <c r="M635" s="50">
        <v>3.7097242140332557E-3</v>
      </c>
      <c r="N635" s="50">
        <v>1.1574905289865911E-2</v>
      </c>
      <c r="O635" s="51">
        <v>107.86542110000001</v>
      </c>
      <c r="P635" s="51">
        <v>3.2876716E-2</v>
      </c>
      <c r="AG635" s="14" t="s">
        <v>224</v>
      </c>
      <c r="AH635" s="14" t="s">
        <v>223</v>
      </c>
      <c r="AI635" s="14" t="s">
        <v>224</v>
      </c>
      <c r="AJ635" s="51">
        <v>1.30321E-4</v>
      </c>
      <c r="AK635" s="55">
        <v>4.3999999999999999E-5</v>
      </c>
      <c r="AL635" s="55">
        <v>3.15E-5</v>
      </c>
      <c r="AM635" s="51">
        <v>1.11765E-4</v>
      </c>
      <c r="AN635" s="51">
        <v>0.82211899399999999</v>
      </c>
    </row>
    <row r="636" spans="1:40" x14ac:dyDescent="0.35">
      <c r="A636" s="14" t="s">
        <v>201</v>
      </c>
      <c r="B636" s="14">
        <v>1</v>
      </c>
      <c r="C636" s="44">
        <v>80</v>
      </c>
      <c r="D636" s="14">
        <v>3274</v>
      </c>
      <c r="E636" s="50">
        <v>60.640897915515765</v>
      </c>
      <c r="F636" s="50">
        <v>1.2685327078149271</v>
      </c>
      <c r="G636" s="50">
        <v>8.5126082959337221</v>
      </c>
      <c r="H636" s="50">
        <v>35.079851767075652</v>
      </c>
      <c r="K636" s="50">
        <v>1.8521960267414712E-2</v>
      </c>
      <c r="L636" s="50">
        <v>72.681570332097351</v>
      </c>
      <c r="M636" s="50">
        <v>2.6000636212381556E-3</v>
      </c>
      <c r="N636" s="50">
        <v>1.0714676776748824E-2</v>
      </c>
      <c r="O636" s="51">
        <v>103.8462589</v>
      </c>
      <c r="P636" s="51">
        <v>3.1287634000000002E-2</v>
      </c>
      <c r="AG636" s="14" t="s">
        <v>224</v>
      </c>
      <c r="AH636" s="14" t="s">
        <v>223</v>
      </c>
      <c r="AI636" s="14" t="s">
        <v>224</v>
      </c>
      <c r="AJ636" s="51">
        <v>1.27797E-4</v>
      </c>
      <c r="AK636" s="55">
        <v>3.8999999999999999E-5</v>
      </c>
      <c r="AL636" s="55">
        <v>3.3300000000000003E-5</v>
      </c>
      <c r="AM636" s="51">
        <v>1.06703E-4</v>
      </c>
      <c r="AN636" s="51">
        <v>0.83919031200000005</v>
      </c>
    </row>
    <row r="637" spans="1:40" x14ac:dyDescent="0.35">
      <c r="A637" s="14" t="s">
        <v>201</v>
      </c>
      <c r="B637" s="14">
        <v>1</v>
      </c>
      <c r="C637" s="44">
        <v>90</v>
      </c>
      <c r="D637" s="14">
        <v>3274</v>
      </c>
      <c r="E637" s="50">
        <v>58.807095660302892</v>
      </c>
      <c r="F637" s="50">
        <v>1.2584530328723522</v>
      </c>
      <c r="G637" s="50">
        <v>9.8304119954354316</v>
      </c>
      <c r="H637" s="50">
        <v>33.210435107056362</v>
      </c>
      <c r="K637" s="50">
        <v>1.7961849621350914E-2</v>
      </c>
      <c r="L637" s="50">
        <v>72.104047499024034</v>
      </c>
      <c r="M637" s="50">
        <v>3.0025693327536442E-3</v>
      </c>
      <c r="N637" s="50">
        <v>1.0143688181752096E-2</v>
      </c>
      <c r="O637" s="51">
        <v>111.9520196</v>
      </c>
      <c r="P637" s="51">
        <v>3.1272844000000001E-2</v>
      </c>
      <c r="AG637" s="14" t="s">
        <v>224</v>
      </c>
      <c r="AH637" s="14" t="s">
        <v>223</v>
      </c>
      <c r="AI637" s="14" t="s">
        <v>224</v>
      </c>
      <c r="AJ637" s="51">
        <v>1.1510099999999999E-4</v>
      </c>
      <c r="AK637" s="55">
        <v>3.5299999999999997E-5</v>
      </c>
      <c r="AL637" s="55">
        <v>2.6999999999999999E-5</v>
      </c>
      <c r="AM637" s="55">
        <v>9.5500000000000004E-5</v>
      </c>
      <c r="AN637" s="51">
        <v>0.814080786</v>
      </c>
    </row>
    <row r="638" spans="1:40" x14ac:dyDescent="0.35">
      <c r="A638" s="14" t="s">
        <v>201</v>
      </c>
      <c r="B638" s="14">
        <v>2</v>
      </c>
      <c r="C638" s="44">
        <v>30</v>
      </c>
      <c r="D638" s="14">
        <v>1472</v>
      </c>
      <c r="E638" s="50">
        <v>30.047670458789291</v>
      </c>
      <c r="F638" s="50">
        <v>1.3261187111182677</v>
      </c>
      <c r="G638" s="50">
        <v>5.4641559274969476</v>
      </c>
      <c r="H638" s="50">
        <v>17.348763644709642</v>
      </c>
      <c r="K638" s="50">
        <v>2.0412819605155768E-2</v>
      </c>
      <c r="L638" s="50">
        <v>75.981005280405185</v>
      </c>
      <c r="M638" s="50">
        <v>3.7120624507452089E-3</v>
      </c>
      <c r="N638" s="50">
        <v>1.178584486732992E-2</v>
      </c>
      <c r="O638" s="51">
        <v>41.64870586</v>
      </c>
      <c r="P638" s="51">
        <v>1.5726052000000001E-2</v>
      </c>
      <c r="AG638" s="14" t="s">
        <v>224</v>
      </c>
      <c r="AH638" s="14" t="s">
        <v>223</v>
      </c>
      <c r="AI638" s="14" t="s">
        <v>224</v>
      </c>
      <c r="AJ638" s="55">
        <v>7.3899999999999994E-5</v>
      </c>
      <c r="AK638" s="55">
        <v>7.96E-6</v>
      </c>
      <c r="AL638" s="55">
        <v>1.2300000000000001E-5</v>
      </c>
      <c r="AM638" s="55">
        <v>2.5899999999999999E-5</v>
      </c>
      <c r="AN638" s="51">
        <v>0.46721452400000002</v>
      </c>
    </row>
    <row r="639" spans="1:40" x14ac:dyDescent="0.35">
      <c r="A639" s="14" t="s">
        <v>201</v>
      </c>
      <c r="B639" s="14">
        <v>2</v>
      </c>
      <c r="C639" s="44">
        <v>40</v>
      </c>
      <c r="D639" s="14">
        <v>1472</v>
      </c>
      <c r="E639" s="50">
        <v>28.962278915858857</v>
      </c>
      <c r="F639" s="50">
        <v>1.4131201534244882</v>
      </c>
      <c r="G639" s="50">
        <v>6.7804719599744709</v>
      </c>
      <c r="H639" s="50">
        <v>17.520553644220275</v>
      </c>
      <c r="K639" s="50">
        <v>1.9675461220012812E-2</v>
      </c>
      <c r="L639" s="50">
        <v>80.965820736102543</v>
      </c>
      <c r="M639" s="50">
        <v>4.6062988858522223E-3</v>
      </c>
      <c r="N639" s="50">
        <v>1.1902550030040948E-2</v>
      </c>
      <c r="O639" s="51">
        <v>46.558568579999999</v>
      </c>
      <c r="P639" s="51">
        <v>1.5503952999999999E-2</v>
      </c>
      <c r="AG639" s="14" t="s">
        <v>224</v>
      </c>
      <c r="AH639" s="14" t="s">
        <v>223</v>
      </c>
      <c r="AI639" s="14" t="s">
        <v>224</v>
      </c>
      <c r="AJ639" s="55">
        <v>7.5599999999999994E-5</v>
      </c>
      <c r="AK639" s="55">
        <v>8.1899999999999995E-6</v>
      </c>
      <c r="AL639" s="55">
        <v>9.8900000000000002E-6</v>
      </c>
      <c r="AM639" s="55">
        <v>7.0999999999999998E-6</v>
      </c>
      <c r="AN639" s="51">
        <v>0.202761728</v>
      </c>
    </row>
    <row r="640" spans="1:40" x14ac:dyDescent="0.35">
      <c r="A640" s="14" t="s">
        <v>201</v>
      </c>
      <c r="B640" s="14">
        <v>2</v>
      </c>
      <c r="C640" s="44">
        <v>50</v>
      </c>
      <c r="D640" s="14">
        <v>1472</v>
      </c>
      <c r="E640" s="50">
        <v>31.958125727270062</v>
      </c>
      <c r="F640" s="50">
        <v>1.4545209297671553</v>
      </c>
      <c r="G640" s="50">
        <v>7.6426173527136649</v>
      </c>
      <c r="H640" s="50">
        <v>19.050965854780177</v>
      </c>
      <c r="K640" s="50">
        <v>2.1710683238634555E-2</v>
      </c>
      <c r="L640" s="50">
        <v>83.337910489102427</v>
      </c>
      <c r="M640" s="50">
        <v>5.1919954841804792E-3</v>
      </c>
      <c r="N640" s="50">
        <v>1.2942232238301751E-2</v>
      </c>
      <c r="O640" s="51">
        <v>51.899509190000003</v>
      </c>
      <c r="P640" s="51">
        <v>1.7583273E-2</v>
      </c>
      <c r="AG640" s="14" t="s">
        <v>224</v>
      </c>
      <c r="AH640" s="14" t="s">
        <v>223</v>
      </c>
      <c r="AI640" s="14" t="s">
        <v>224</v>
      </c>
      <c r="AJ640" s="55">
        <v>9.9900000000000002E-5</v>
      </c>
      <c r="AK640" s="55">
        <v>1.13E-5</v>
      </c>
      <c r="AL640" s="55">
        <v>2.1699999999999999E-5</v>
      </c>
      <c r="AM640" s="55">
        <v>1.59E-5</v>
      </c>
      <c r="AN640" s="51">
        <v>0.33845035800000001</v>
      </c>
    </row>
    <row r="641" spans="1:40" x14ac:dyDescent="0.35">
      <c r="A641" s="14" t="s">
        <v>201</v>
      </c>
      <c r="B641" s="14">
        <v>2</v>
      </c>
      <c r="C641" s="44">
        <v>60</v>
      </c>
      <c r="D641" s="14">
        <v>1472</v>
      </c>
      <c r="E641" s="50">
        <v>31.404152591655738</v>
      </c>
      <c r="F641" s="50">
        <v>1.5924416893520374</v>
      </c>
      <c r="G641" s="50">
        <v>7.0818076788345614</v>
      </c>
      <c r="H641" s="50">
        <v>20.961374000766259</v>
      </c>
      <c r="K641" s="50">
        <v>2.1334342793244386E-2</v>
      </c>
      <c r="L641" s="50">
        <v>91.240187920554661</v>
      </c>
      <c r="M641" s="50">
        <v>4.8110106513821749E-3</v>
      </c>
      <c r="N641" s="50">
        <v>1.4240063859216209E-2</v>
      </c>
      <c r="O641" s="51">
        <v>57.039152180000002</v>
      </c>
      <c r="P641" s="51">
        <v>1.838559E-2</v>
      </c>
      <c r="AG641" s="14" t="s">
        <v>224</v>
      </c>
      <c r="AH641" s="14" t="s">
        <v>223</v>
      </c>
      <c r="AI641" s="14" t="s">
        <v>224</v>
      </c>
      <c r="AJ641" s="55">
        <v>9.7999999999999997E-5</v>
      </c>
      <c r="AK641" s="55">
        <v>8.4300000000000006E-6</v>
      </c>
      <c r="AL641" s="55">
        <v>1.31E-5</v>
      </c>
      <c r="AM641" s="55">
        <v>1.6200000000000001E-5</v>
      </c>
      <c r="AN641" s="51">
        <v>0.275199947</v>
      </c>
    </row>
    <row r="642" spans="1:40" x14ac:dyDescent="0.35">
      <c r="A642" s="14" t="s">
        <v>201</v>
      </c>
      <c r="B642" s="14">
        <v>2</v>
      </c>
      <c r="C642" s="44">
        <v>70</v>
      </c>
      <c r="D642" s="14">
        <v>1472</v>
      </c>
      <c r="E642" s="50">
        <v>30.215573798953468</v>
      </c>
      <c r="F642" s="50">
        <v>1.4677664683123435</v>
      </c>
      <c r="G642" s="50">
        <v>6.7835683824960471</v>
      </c>
      <c r="H642" s="50">
        <v>19.735308459712492</v>
      </c>
      <c r="K642" s="50">
        <v>2.0526884374289039E-2</v>
      </c>
      <c r="L642" s="50">
        <v>84.096823945119553</v>
      </c>
      <c r="M642" s="50">
        <v>4.6084024337609015E-3</v>
      </c>
      <c r="N642" s="50">
        <v>1.3407138899261204E-2</v>
      </c>
      <c r="O642" s="51">
        <v>56.790996929999999</v>
      </c>
      <c r="P642" s="51">
        <v>1.7674157999999999E-2</v>
      </c>
      <c r="AG642" s="14" t="s">
        <v>224</v>
      </c>
      <c r="AH642" s="14" t="s">
        <v>223</v>
      </c>
      <c r="AI642" s="14" t="s">
        <v>224</v>
      </c>
      <c r="AJ642" s="55">
        <v>9.2800000000000006E-5</v>
      </c>
      <c r="AK642" s="55">
        <v>9.5100000000000004E-6</v>
      </c>
      <c r="AL642" s="55">
        <v>1.3699999999999999E-5</v>
      </c>
      <c r="AM642" s="55">
        <v>7.6499999999999996E-6</v>
      </c>
      <c r="AN642" s="51">
        <v>0.208137347</v>
      </c>
    </row>
    <row r="643" spans="1:40" x14ac:dyDescent="0.35">
      <c r="A643" s="14" t="s">
        <v>201</v>
      </c>
      <c r="B643" s="14">
        <v>2</v>
      </c>
      <c r="C643" s="44">
        <v>80</v>
      </c>
      <c r="D643" s="14">
        <v>1472</v>
      </c>
      <c r="E643" s="50">
        <v>29.798661043744872</v>
      </c>
      <c r="F643" s="50">
        <v>1.4858187216194809</v>
      </c>
      <c r="G643" s="50">
        <v>5.2077826375531391</v>
      </c>
      <c r="H643" s="50">
        <v>19.12207363232346</v>
      </c>
      <c r="K643" s="50">
        <v>2.0243655600370159E-2</v>
      </c>
      <c r="L643" s="50">
        <v>85.131141870319624</v>
      </c>
      <c r="M643" s="50">
        <v>3.5378958135551218E-3</v>
      </c>
      <c r="N643" s="50">
        <v>1.2990539152393654E-2</v>
      </c>
      <c r="O643" s="51">
        <v>56.601381510000003</v>
      </c>
      <c r="P643" s="51">
        <v>1.6802175999999999E-2</v>
      </c>
      <c r="AG643" s="14" t="s">
        <v>224</v>
      </c>
      <c r="AH643" s="14" t="s">
        <v>223</v>
      </c>
      <c r="AI643" s="14" t="s">
        <v>224</v>
      </c>
      <c r="AJ643" s="55">
        <v>8.7499999999999999E-5</v>
      </c>
      <c r="AK643" s="55">
        <v>7.43E-6</v>
      </c>
      <c r="AL643" s="55">
        <v>3.7500000000000001E-6</v>
      </c>
      <c r="AM643" s="55">
        <v>1.13E-5</v>
      </c>
      <c r="AN643" s="51">
        <v>0.158292876</v>
      </c>
    </row>
    <row r="644" spans="1:40" x14ac:dyDescent="0.35">
      <c r="A644" s="14" t="s">
        <v>201</v>
      </c>
      <c r="B644" s="14">
        <v>2</v>
      </c>
      <c r="C644" s="44">
        <v>90</v>
      </c>
      <c r="D644" s="14">
        <v>1472</v>
      </c>
      <c r="E644" s="50">
        <v>28.601853086819403</v>
      </c>
      <c r="F644" s="50">
        <v>1.485720739202969</v>
      </c>
      <c r="G644" s="50">
        <v>4.4282050539693758</v>
      </c>
      <c r="H644" s="50">
        <v>18.313754393897501</v>
      </c>
      <c r="K644" s="50">
        <v>1.943060671658927E-2</v>
      </c>
      <c r="L644" s="50">
        <v>85.125527891386994</v>
      </c>
      <c r="M644" s="50">
        <v>3.0082914768813696E-3</v>
      </c>
      <c r="N644" s="50">
        <v>1.2441409234984714E-2</v>
      </c>
      <c r="O644" s="51">
        <v>59.873051680000003</v>
      </c>
      <c r="P644" s="51">
        <v>1.6275668E-2</v>
      </c>
      <c r="AG644" s="14" t="s">
        <v>224</v>
      </c>
      <c r="AH644" s="14" t="s">
        <v>223</v>
      </c>
      <c r="AI644" s="14" t="s">
        <v>224</v>
      </c>
      <c r="AJ644" s="55">
        <v>8.5699999999999996E-5</v>
      </c>
      <c r="AK644" s="55">
        <v>6.1600000000000003E-6</v>
      </c>
      <c r="AL644" s="55">
        <v>9.9199999999999999E-6</v>
      </c>
      <c r="AM644" s="55">
        <v>2.0100000000000001E-5</v>
      </c>
      <c r="AN644" s="51">
        <v>0.32644404700000001</v>
      </c>
    </row>
    <row r="645" spans="1:40" x14ac:dyDescent="0.35">
      <c r="A645" s="14" t="s">
        <v>201</v>
      </c>
      <c r="B645" s="14">
        <v>3</v>
      </c>
      <c r="C645" s="44">
        <v>30</v>
      </c>
      <c r="D645" s="14">
        <v>3338</v>
      </c>
      <c r="E645" s="49">
        <v>66.822722557525267</v>
      </c>
      <c r="F645" s="50">
        <v>1.435395577637397</v>
      </c>
      <c r="G645" s="50">
        <v>9.3132617809229448</v>
      </c>
      <c r="H645" s="50">
        <v>47.154025088002825</v>
      </c>
      <c r="K645" s="50">
        <v>2.0018790460612723E-2</v>
      </c>
      <c r="L645" s="50">
        <v>82.242108530365741</v>
      </c>
      <c r="M645" s="50">
        <v>2.7900724328708644E-3</v>
      </c>
      <c r="N645" s="50">
        <v>1.4126430523667712E-2</v>
      </c>
      <c r="AG645" s="14" t="s">
        <v>224</v>
      </c>
      <c r="AH645" s="14" t="s">
        <v>223</v>
      </c>
      <c r="AI645" s="14" t="s">
        <v>224</v>
      </c>
    </row>
    <row r="646" spans="1:40" x14ac:dyDescent="0.35">
      <c r="A646" s="14" t="s">
        <v>201</v>
      </c>
      <c r="B646" s="14">
        <v>3</v>
      </c>
      <c r="C646" s="44">
        <v>40</v>
      </c>
      <c r="D646" s="14">
        <v>3338</v>
      </c>
      <c r="E646" s="49">
        <v>63.694300506403088</v>
      </c>
      <c r="F646" s="50">
        <v>1.3834118180646631</v>
      </c>
      <c r="G646" s="50">
        <v>9.4002694110328591</v>
      </c>
      <c r="H646" s="50">
        <v>43.308590302617752</v>
      </c>
      <c r="K646" s="50">
        <v>1.908157594559709E-2</v>
      </c>
      <c r="L646" s="50">
        <v>79.263658503625294</v>
      </c>
      <c r="M646" s="50">
        <v>2.8161382297881544E-3</v>
      </c>
      <c r="N646" s="50">
        <v>1.2974412912707536E-2</v>
      </c>
      <c r="AG646" s="14" t="s">
        <v>224</v>
      </c>
      <c r="AH646" s="14" t="s">
        <v>223</v>
      </c>
      <c r="AI646" s="14" t="s">
        <v>224</v>
      </c>
    </row>
    <row r="647" spans="1:40" x14ac:dyDescent="0.35">
      <c r="A647" s="14" t="s">
        <v>201</v>
      </c>
      <c r="B647" s="14">
        <v>3</v>
      </c>
      <c r="C647" s="44">
        <v>50</v>
      </c>
      <c r="D647" s="14">
        <v>3338</v>
      </c>
      <c r="E647" s="49">
        <v>65.242140530488399</v>
      </c>
      <c r="F647" s="50">
        <v>1.5050076672936672</v>
      </c>
      <c r="G647" s="50">
        <v>11.302929045163433</v>
      </c>
      <c r="H647" s="50">
        <v>46.65148417789085</v>
      </c>
      <c r="K647" s="50">
        <v>1.9545278768870102E-2</v>
      </c>
      <c r="L647" s="50">
        <v>86.230587470756305</v>
      </c>
      <c r="M647" s="50">
        <v>3.3861381201807767E-3</v>
      </c>
      <c r="N647" s="50">
        <v>1.3975879022735425E-2</v>
      </c>
      <c r="AG647" s="14" t="s">
        <v>224</v>
      </c>
      <c r="AH647" s="14" t="s">
        <v>223</v>
      </c>
      <c r="AI647" s="14" t="s">
        <v>224</v>
      </c>
    </row>
    <row r="648" spans="1:40" x14ac:dyDescent="0.35">
      <c r="A648" s="14" t="s">
        <v>201</v>
      </c>
      <c r="B648" s="14">
        <v>3</v>
      </c>
      <c r="C648" s="44">
        <v>60</v>
      </c>
      <c r="D648" s="14">
        <v>3338</v>
      </c>
      <c r="E648" s="49">
        <v>65.284252197601177</v>
      </c>
      <c r="F648" s="50">
        <v>1.5747276237172403</v>
      </c>
      <c r="G648" s="50">
        <v>12.195284539525913</v>
      </c>
      <c r="H648" s="50">
        <v>48.493604289638043</v>
      </c>
      <c r="K648" s="50">
        <v>1.955789460683079E-2</v>
      </c>
      <c r="L648" s="50">
        <v>90.225246721663069</v>
      </c>
      <c r="M648" s="50">
        <v>3.6534705031533591E-3</v>
      </c>
      <c r="N648" s="50">
        <v>1.4527742447464962E-2</v>
      </c>
      <c r="AG648" s="14" t="s">
        <v>224</v>
      </c>
      <c r="AH648" s="14" t="s">
        <v>223</v>
      </c>
      <c r="AI648" s="14" t="s">
        <v>224</v>
      </c>
    </row>
    <row r="649" spans="1:40" x14ac:dyDescent="0.35">
      <c r="A649" s="14" t="s">
        <v>201</v>
      </c>
      <c r="B649" s="14">
        <v>3</v>
      </c>
      <c r="C649" s="44">
        <v>70</v>
      </c>
      <c r="D649" s="14">
        <v>3338</v>
      </c>
      <c r="E649" s="49">
        <v>64.759008408097358</v>
      </c>
      <c r="F649" s="50">
        <v>1.4420228607461893</v>
      </c>
      <c r="G649" s="50">
        <v>11.067104589728975</v>
      </c>
      <c r="H649" s="50">
        <v>44.297693721005388</v>
      </c>
      <c r="K649" s="50">
        <v>1.9400541763959663E-2</v>
      </c>
      <c r="L649" s="50">
        <v>82.621823882137889</v>
      </c>
      <c r="M649" s="50">
        <v>3.3154896913508017E-3</v>
      </c>
      <c r="N649" s="50">
        <v>1.3270729095567821E-2</v>
      </c>
      <c r="AG649" s="14" t="s">
        <v>224</v>
      </c>
      <c r="AH649" s="14" t="s">
        <v>223</v>
      </c>
      <c r="AI649" s="14" t="s">
        <v>224</v>
      </c>
    </row>
    <row r="650" spans="1:40" x14ac:dyDescent="0.35">
      <c r="A650" s="14" t="s">
        <v>201</v>
      </c>
      <c r="B650" s="14">
        <v>3</v>
      </c>
      <c r="C650" s="44">
        <v>80</v>
      </c>
      <c r="D650" s="14">
        <v>3338</v>
      </c>
      <c r="E650" s="49">
        <v>60.904432227876534</v>
      </c>
      <c r="F650" s="50">
        <v>1.4072997534832588</v>
      </c>
      <c r="G650" s="50">
        <v>10.496712104273414</v>
      </c>
      <c r="H650" s="50">
        <v>41.234249671844452</v>
      </c>
      <c r="K650" s="50">
        <v>1.8245785568566965E-2</v>
      </c>
      <c r="L650" s="50">
        <v>80.632336384391905</v>
      </c>
      <c r="M650" s="50">
        <v>3.1446111756361335E-3</v>
      </c>
      <c r="N650" s="50">
        <v>1.2352980728533389E-2</v>
      </c>
      <c r="AG650" s="14" t="s">
        <v>224</v>
      </c>
      <c r="AH650" s="14" t="s">
        <v>223</v>
      </c>
      <c r="AI650" s="14" t="s">
        <v>224</v>
      </c>
    </row>
    <row r="651" spans="1:40" x14ac:dyDescent="0.35">
      <c r="A651" s="14" t="s">
        <v>201</v>
      </c>
      <c r="B651" s="14">
        <v>3</v>
      </c>
      <c r="C651" s="44">
        <v>90</v>
      </c>
      <c r="D651" s="14">
        <v>3338</v>
      </c>
      <c r="E651" s="49">
        <v>55.279119647476307</v>
      </c>
      <c r="F651" s="50">
        <v>1.5177462506612887</v>
      </c>
      <c r="G651" s="50">
        <v>9.1604544101260643</v>
      </c>
      <c r="H651" s="50">
        <v>37.969592992287843</v>
      </c>
      <c r="K651" s="50">
        <v>1.6560551122671151E-2</v>
      </c>
      <c r="L651" s="50">
        <v>86.960454534696566</v>
      </c>
      <c r="M651" s="50">
        <v>2.7442943110024161E-3</v>
      </c>
      <c r="N651" s="50">
        <v>1.13749529635374E-2</v>
      </c>
      <c r="AG651" s="14" t="s">
        <v>224</v>
      </c>
      <c r="AH651" s="14" t="s">
        <v>223</v>
      </c>
      <c r="AI651" s="14" t="s">
        <v>224</v>
      </c>
    </row>
    <row r="652" spans="1:40" x14ac:dyDescent="0.35">
      <c r="A652" s="14" t="s">
        <v>202</v>
      </c>
      <c r="B652" s="14">
        <v>1</v>
      </c>
      <c r="C652" s="44">
        <v>20</v>
      </c>
      <c r="D652" s="14">
        <v>4713</v>
      </c>
      <c r="E652" s="45">
        <v>65.02</v>
      </c>
      <c r="F652" s="45">
        <v>1.26</v>
      </c>
      <c r="G652" s="45">
        <v>8.2100000000000009</v>
      </c>
      <c r="H652" s="45">
        <v>51.65</v>
      </c>
      <c r="K652" s="45">
        <v>1.38E-2</v>
      </c>
      <c r="L652" s="45">
        <v>71.989000000000004</v>
      </c>
      <c r="M652" s="45">
        <v>1.6999999999999999E-3</v>
      </c>
      <c r="N652" s="45">
        <v>1.0999999999999999E-2</v>
      </c>
      <c r="O652" s="51">
        <v>61.375915499999998</v>
      </c>
      <c r="P652" s="51">
        <v>1.1032128E-2</v>
      </c>
      <c r="AG652" s="14" t="s">
        <v>223</v>
      </c>
      <c r="AH652" s="14" t="s">
        <v>223</v>
      </c>
      <c r="AI652" s="14" t="s">
        <v>224</v>
      </c>
      <c r="AJ652" s="55">
        <v>5.13E-5</v>
      </c>
      <c r="AK652" s="55">
        <v>2.9300000000000001E-5</v>
      </c>
      <c r="AL652" s="55">
        <v>3.5099999999999999E-5</v>
      </c>
      <c r="AM652" s="55">
        <v>2.94E-5</v>
      </c>
      <c r="AN652" s="51">
        <v>0.80117327900000002</v>
      </c>
    </row>
    <row r="653" spans="1:40" x14ac:dyDescent="0.35">
      <c r="A653" s="14" t="s">
        <v>202</v>
      </c>
      <c r="B653" s="14">
        <v>1</v>
      </c>
      <c r="C653" s="44">
        <v>30</v>
      </c>
      <c r="D653" s="14">
        <v>4713</v>
      </c>
      <c r="E653" s="45">
        <v>64.59</v>
      </c>
      <c r="F653" s="45">
        <v>1.68</v>
      </c>
      <c r="G653" s="45">
        <v>9.31</v>
      </c>
      <c r="H653" s="45">
        <v>51.17</v>
      </c>
      <c r="K653" s="45">
        <v>1.37E-2</v>
      </c>
      <c r="L653" s="45">
        <v>96.1494</v>
      </c>
      <c r="M653" s="45">
        <v>2E-3</v>
      </c>
      <c r="N653" s="45">
        <v>1.09E-2</v>
      </c>
      <c r="O653" s="51">
        <v>79.029093130000007</v>
      </c>
      <c r="P653" s="51">
        <v>1.0470735E-2</v>
      </c>
      <c r="AG653" s="14" t="s">
        <v>223</v>
      </c>
      <c r="AH653" s="14" t="s">
        <v>223</v>
      </c>
      <c r="AI653" s="14" t="s">
        <v>224</v>
      </c>
      <c r="AJ653" s="55">
        <v>3.3099999999999998E-5</v>
      </c>
      <c r="AK653" s="55">
        <v>4.2700000000000001E-5</v>
      </c>
      <c r="AL653" s="55">
        <v>2.72E-5</v>
      </c>
      <c r="AM653" s="55">
        <v>3.4600000000000001E-5</v>
      </c>
      <c r="AN653" s="51">
        <v>0.81462488899999996</v>
      </c>
    </row>
    <row r="654" spans="1:40" x14ac:dyDescent="0.35">
      <c r="A654" s="14" t="s">
        <v>202</v>
      </c>
      <c r="B654" s="14">
        <v>1</v>
      </c>
      <c r="C654" s="44">
        <v>40</v>
      </c>
      <c r="D654" s="14">
        <v>4713</v>
      </c>
      <c r="E654" s="45">
        <v>64.5</v>
      </c>
      <c r="F654" s="45">
        <v>1.58</v>
      </c>
      <c r="G654" s="45">
        <v>9.82</v>
      </c>
      <c r="H654" s="45">
        <v>51.24</v>
      </c>
      <c r="K654" s="45">
        <v>1.37E-2</v>
      </c>
      <c r="L654" s="45">
        <v>90.507999999999996</v>
      </c>
      <c r="M654" s="45">
        <v>2.0999999999999999E-3</v>
      </c>
      <c r="N654" s="45">
        <v>1.09E-2</v>
      </c>
      <c r="O654" s="51">
        <v>76.201101829999999</v>
      </c>
      <c r="P654" s="51">
        <v>9.8402699999999999E-3</v>
      </c>
      <c r="AG654" s="14" t="s">
        <v>223</v>
      </c>
      <c r="AH654" s="14" t="s">
        <v>223</v>
      </c>
      <c r="AI654" s="14" t="s">
        <v>224</v>
      </c>
      <c r="AJ654" s="55">
        <v>3.0499999999999999E-5</v>
      </c>
      <c r="AK654" s="55">
        <v>3.4199999999999998E-5</v>
      </c>
      <c r="AL654" s="55">
        <v>2.27E-5</v>
      </c>
      <c r="AM654" s="55">
        <v>3.29E-5</v>
      </c>
      <c r="AN654" s="51">
        <v>0.85900958000000005</v>
      </c>
    </row>
    <row r="655" spans="1:40" x14ac:dyDescent="0.35">
      <c r="A655" s="14" t="s">
        <v>202</v>
      </c>
      <c r="B655" s="14">
        <v>1</v>
      </c>
      <c r="C655" s="44">
        <v>50</v>
      </c>
      <c r="D655" s="14">
        <v>4713</v>
      </c>
      <c r="E655" s="45">
        <v>62.87</v>
      </c>
      <c r="F655" s="45">
        <v>1.55</v>
      </c>
      <c r="G655" s="45">
        <v>12.14</v>
      </c>
      <c r="H655" s="45">
        <v>50.74</v>
      </c>
      <c r="K655" s="45">
        <v>1.3299999999999999E-2</v>
      </c>
      <c r="L655" s="45">
        <v>88.602000000000004</v>
      </c>
      <c r="M655" s="45">
        <v>2.5999999999999999E-3</v>
      </c>
      <c r="N655" s="45">
        <v>1.0800000000000001E-2</v>
      </c>
      <c r="O655" s="51">
        <v>91.30345715</v>
      </c>
      <c r="P655" s="51">
        <v>9.9390840000000008E-3</v>
      </c>
      <c r="AG655" s="14" t="s">
        <v>223</v>
      </c>
      <c r="AH655" s="14" t="s">
        <v>223</v>
      </c>
      <c r="AI655" s="14" t="s">
        <v>224</v>
      </c>
      <c r="AJ655" s="55">
        <v>2.3900000000000002E-5</v>
      </c>
      <c r="AK655" s="55">
        <v>3.79E-5</v>
      </c>
      <c r="AL655" s="55">
        <v>2.1299999999999999E-5</v>
      </c>
      <c r="AM655" s="55">
        <v>2.8200000000000001E-5</v>
      </c>
      <c r="AN655" s="51">
        <v>0.80160601099999995</v>
      </c>
    </row>
    <row r="656" spans="1:40" x14ac:dyDescent="0.35">
      <c r="A656" s="14" t="s">
        <v>202</v>
      </c>
      <c r="B656" s="14">
        <v>1</v>
      </c>
      <c r="C656" s="44">
        <v>60</v>
      </c>
      <c r="D656" s="14">
        <v>4713</v>
      </c>
      <c r="E656" s="45">
        <v>59.78</v>
      </c>
      <c r="F656" s="45">
        <v>1.57</v>
      </c>
      <c r="G656" s="45">
        <v>12.2</v>
      </c>
      <c r="H656" s="45">
        <v>46.6</v>
      </c>
      <c r="K656" s="45">
        <v>1.2699999999999999E-2</v>
      </c>
      <c r="L656" s="45">
        <v>89.996300000000005</v>
      </c>
      <c r="M656" s="45">
        <v>2.5999999999999999E-3</v>
      </c>
      <c r="N656" s="45">
        <v>9.9000000000000008E-3</v>
      </c>
      <c r="O656" s="51">
        <v>93.505386650000005</v>
      </c>
      <c r="P656" s="51">
        <v>9.7821809999999992E-3</v>
      </c>
      <c r="AG656" s="14" t="s">
        <v>223</v>
      </c>
      <c r="AH656" s="14" t="s">
        <v>223</v>
      </c>
      <c r="AI656" s="14" t="s">
        <v>224</v>
      </c>
      <c r="AJ656" s="55">
        <v>2.2200000000000001E-5</v>
      </c>
      <c r="AK656" s="55">
        <v>3.9499999999999998E-5</v>
      </c>
      <c r="AL656" s="55">
        <v>2.12E-5</v>
      </c>
      <c r="AM656" s="55">
        <v>2.37E-5</v>
      </c>
      <c r="AN656" s="51">
        <v>0.72868628300000005</v>
      </c>
    </row>
    <row r="657" spans="1:40" x14ac:dyDescent="0.35">
      <c r="A657" s="14" t="s">
        <v>202</v>
      </c>
      <c r="B657" s="14">
        <v>1</v>
      </c>
      <c r="C657" s="44">
        <v>70</v>
      </c>
      <c r="D657" s="14">
        <v>4713</v>
      </c>
      <c r="E657" s="45">
        <v>56.59</v>
      </c>
      <c r="F657" s="45">
        <v>1.49</v>
      </c>
      <c r="G657" s="45">
        <v>6.99</v>
      </c>
      <c r="H657" s="45">
        <v>43.48</v>
      </c>
      <c r="K657" s="45">
        <v>1.2E-2</v>
      </c>
      <c r="L657" s="45">
        <v>85.603899999999996</v>
      </c>
      <c r="M657" s="45">
        <v>1.5E-3</v>
      </c>
      <c r="N657" s="45">
        <v>9.1999999999999998E-3</v>
      </c>
      <c r="O657" s="51">
        <v>83.599777959999997</v>
      </c>
      <c r="P657" s="51">
        <v>8.6974440000000004E-3</v>
      </c>
      <c r="AG657" s="14" t="s">
        <v>223</v>
      </c>
      <c r="AH657" s="14" t="s">
        <v>223</v>
      </c>
      <c r="AI657" s="14" t="s">
        <v>224</v>
      </c>
      <c r="AJ657" s="55">
        <v>2.0599999999999999E-5</v>
      </c>
      <c r="AK657" s="55">
        <v>3.2299999999999999E-5</v>
      </c>
      <c r="AL657" s="55">
        <v>1.6200000000000001E-5</v>
      </c>
      <c r="AM657" s="55">
        <v>2.5899999999999999E-5</v>
      </c>
      <c r="AN657" s="51">
        <v>0.795432421</v>
      </c>
    </row>
    <row r="658" spans="1:40" x14ac:dyDescent="0.35">
      <c r="A658" s="14" t="s">
        <v>202</v>
      </c>
      <c r="B658" s="14">
        <v>1</v>
      </c>
      <c r="C658" s="44">
        <v>80</v>
      </c>
      <c r="D658" s="14">
        <v>4713</v>
      </c>
      <c r="E658" s="45">
        <v>60.27</v>
      </c>
      <c r="F658" s="45">
        <v>1.53</v>
      </c>
      <c r="G658" s="45">
        <v>8.9</v>
      </c>
      <c r="H658" s="45">
        <v>40.69</v>
      </c>
      <c r="K658" s="45">
        <v>1.2800000000000001E-2</v>
      </c>
      <c r="L658" s="45">
        <v>87.656999999999996</v>
      </c>
      <c r="M658" s="45">
        <v>1.9E-3</v>
      </c>
      <c r="N658" s="45">
        <v>8.6E-3</v>
      </c>
      <c r="O658" s="51">
        <v>87.967590369999996</v>
      </c>
      <c r="P658" s="51">
        <v>8.0523880000000006E-3</v>
      </c>
      <c r="AG658" s="14" t="s">
        <v>223</v>
      </c>
      <c r="AH658" s="14" t="s">
        <v>223</v>
      </c>
      <c r="AI658" s="14" t="s">
        <v>224</v>
      </c>
      <c r="AJ658" s="55">
        <v>1.66E-5</v>
      </c>
      <c r="AK658" s="55">
        <v>2.8799999999999999E-5</v>
      </c>
      <c r="AL658" s="55">
        <v>1.59E-5</v>
      </c>
      <c r="AM658" s="55">
        <v>1.8899999999999999E-5</v>
      </c>
      <c r="AN658" s="51">
        <v>0.76601076899999998</v>
      </c>
    </row>
    <row r="659" spans="1:40" x14ac:dyDescent="0.35">
      <c r="A659" s="14" t="s">
        <v>202</v>
      </c>
      <c r="B659" s="14">
        <v>1</v>
      </c>
      <c r="C659" s="44">
        <v>90</v>
      </c>
      <c r="D659" s="14">
        <v>4713</v>
      </c>
      <c r="E659" s="45">
        <v>53.26</v>
      </c>
      <c r="F659" s="45">
        <v>1.18</v>
      </c>
      <c r="G659" s="45">
        <v>7.44</v>
      </c>
      <c r="H659" s="45">
        <v>33.17</v>
      </c>
      <c r="K659" s="45">
        <v>1.1299999999999999E-2</v>
      </c>
      <c r="L659" s="45">
        <v>67.478499999999997</v>
      </c>
      <c r="M659" s="45">
        <v>1.6000000000000001E-3</v>
      </c>
      <c r="N659" s="45">
        <v>7.0000000000000001E-3</v>
      </c>
      <c r="O659" s="51">
        <v>69.105492290000001</v>
      </c>
      <c r="P659" s="51">
        <v>7.1615389999999998E-3</v>
      </c>
      <c r="AG659" s="14" t="s">
        <v>223</v>
      </c>
      <c r="AH659" s="14" t="s">
        <v>223</v>
      </c>
      <c r="AI659" s="14" t="s">
        <v>224</v>
      </c>
      <c r="AJ659" s="55">
        <v>1.8600000000000001E-5</v>
      </c>
      <c r="AK659" s="55">
        <v>1.91E-5</v>
      </c>
      <c r="AL659" s="55">
        <v>1.52E-5</v>
      </c>
      <c r="AM659" s="55">
        <v>1.2099999999999999E-5</v>
      </c>
      <c r="AN659" s="51">
        <v>0.72600138299999994</v>
      </c>
    </row>
    <row r="660" spans="1:40" x14ac:dyDescent="0.35">
      <c r="A660" s="14" t="s">
        <v>202</v>
      </c>
      <c r="B660" s="14">
        <v>2</v>
      </c>
      <c r="C660" s="14">
        <v>20</v>
      </c>
      <c r="D660" s="14">
        <v>4589</v>
      </c>
      <c r="E660" s="45">
        <v>64.33</v>
      </c>
      <c r="F660" s="45">
        <v>1.1399999999999999</v>
      </c>
      <c r="G660" s="45">
        <v>7.78</v>
      </c>
      <c r="H660" s="45">
        <v>54.51</v>
      </c>
      <c r="K660" s="45">
        <v>1.4E-2</v>
      </c>
      <c r="L660" s="45">
        <v>65.379499999999993</v>
      </c>
      <c r="M660" s="45">
        <v>1.6999999999999999E-3</v>
      </c>
      <c r="N660" s="45">
        <v>1.1900000000000001E-2</v>
      </c>
      <c r="O660" s="51">
        <v>102.397936</v>
      </c>
      <c r="P660" s="51">
        <v>1.1878405E-2</v>
      </c>
      <c r="AG660" s="14" t="s">
        <v>223</v>
      </c>
      <c r="AH660" s="14" t="s">
        <v>223</v>
      </c>
      <c r="AI660" s="14" t="s">
        <v>224</v>
      </c>
      <c r="AJ660" s="55">
        <v>2.83E-5</v>
      </c>
      <c r="AK660" s="55">
        <v>5.49E-5</v>
      </c>
      <c r="AL660" s="55">
        <v>3.6999999999999998E-5</v>
      </c>
      <c r="AM660" s="55">
        <v>3.5200000000000002E-5</v>
      </c>
      <c r="AN660" s="51">
        <v>0.86699688100000005</v>
      </c>
    </row>
    <row r="661" spans="1:40" x14ac:dyDescent="0.35">
      <c r="A661" s="14" t="s">
        <v>202</v>
      </c>
      <c r="B661" s="14">
        <v>2</v>
      </c>
      <c r="C661" s="14">
        <v>30</v>
      </c>
      <c r="D661" s="14">
        <v>4589</v>
      </c>
      <c r="E661" s="45">
        <v>64.14</v>
      </c>
      <c r="F661" s="45">
        <v>1.17</v>
      </c>
      <c r="G661" s="45">
        <v>11.16</v>
      </c>
      <c r="H661" s="45">
        <v>53.74</v>
      </c>
      <c r="K661" s="45">
        <v>1.4E-2</v>
      </c>
      <c r="L661" s="45">
        <v>66.783100000000005</v>
      </c>
      <c r="M661" s="45">
        <v>2.3999999999999998E-3</v>
      </c>
      <c r="N661" s="45">
        <v>1.17E-2</v>
      </c>
      <c r="O661" s="51">
        <v>95.03198845</v>
      </c>
      <c r="P661" s="51">
        <v>1.1088603000000001E-2</v>
      </c>
      <c r="AG661" s="14" t="s">
        <v>223</v>
      </c>
      <c r="AH661" s="14" t="s">
        <v>223</v>
      </c>
      <c r="AI661" s="14" t="s">
        <v>224</v>
      </c>
      <c r="AJ661" s="55">
        <v>2.8099999999999999E-5</v>
      </c>
      <c r="AK661" s="55">
        <v>4.6600000000000001E-5</v>
      </c>
      <c r="AL661" s="55">
        <v>2.9E-5</v>
      </c>
      <c r="AM661" s="55">
        <v>2.8099999999999999E-5</v>
      </c>
      <c r="AN661" s="51">
        <v>0.76453586200000001</v>
      </c>
    </row>
    <row r="662" spans="1:40" x14ac:dyDescent="0.35">
      <c r="A662" s="14" t="s">
        <v>202</v>
      </c>
      <c r="B662" s="14">
        <v>2</v>
      </c>
      <c r="C662" s="14">
        <v>40</v>
      </c>
      <c r="D662" s="14">
        <v>4589</v>
      </c>
      <c r="E662" s="45">
        <v>63.16</v>
      </c>
      <c r="F662" s="45">
        <v>1.1299999999999999</v>
      </c>
      <c r="G662" s="45">
        <v>8.51</v>
      </c>
      <c r="H662" s="45">
        <v>53.81</v>
      </c>
      <c r="K662" s="45">
        <v>1.38E-2</v>
      </c>
      <c r="L662" s="45">
        <v>64.788399999999996</v>
      </c>
      <c r="M662" s="45">
        <v>1.9E-3</v>
      </c>
      <c r="N662" s="45">
        <v>1.17E-2</v>
      </c>
      <c r="O662" s="51">
        <v>108.3042451</v>
      </c>
      <c r="P662" s="51">
        <v>1.1024143E-2</v>
      </c>
      <c r="AG662" s="14" t="s">
        <v>223</v>
      </c>
      <c r="AH662" s="14" t="s">
        <v>223</v>
      </c>
      <c r="AI662" s="14" t="s">
        <v>224</v>
      </c>
      <c r="AJ662" s="55">
        <v>2.1800000000000001E-5</v>
      </c>
      <c r="AK662" s="55">
        <v>5.1799999999999999E-5</v>
      </c>
      <c r="AL662" s="55">
        <v>2.6699999999999998E-5</v>
      </c>
      <c r="AM662" s="55">
        <v>3.2199999999999997E-5</v>
      </c>
      <c r="AN662" s="51">
        <v>0.80101177800000001</v>
      </c>
    </row>
    <row r="663" spans="1:40" x14ac:dyDescent="0.35">
      <c r="A663" s="14" t="s">
        <v>202</v>
      </c>
      <c r="B663" s="14">
        <v>2</v>
      </c>
      <c r="C663" s="14">
        <v>50</v>
      </c>
      <c r="D663" s="14">
        <v>4589</v>
      </c>
      <c r="E663" s="45">
        <v>61.5</v>
      </c>
      <c r="F663" s="45">
        <v>1.1100000000000001</v>
      </c>
      <c r="G663" s="45">
        <v>6.9</v>
      </c>
      <c r="H663" s="45">
        <v>50.73</v>
      </c>
      <c r="K663" s="45">
        <v>1.34E-2</v>
      </c>
      <c r="L663" s="45">
        <v>63.4666</v>
      </c>
      <c r="M663" s="45">
        <v>1.5E-3</v>
      </c>
      <c r="N663" s="45">
        <v>1.11E-2</v>
      </c>
      <c r="O663" s="51">
        <v>96.492433509999998</v>
      </c>
      <c r="P663" s="51">
        <v>1.0319794E-2</v>
      </c>
      <c r="AG663" s="14" t="s">
        <v>223</v>
      </c>
      <c r="AH663" s="14" t="s">
        <v>223</v>
      </c>
      <c r="AI663" s="14" t="s">
        <v>224</v>
      </c>
      <c r="AJ663" s="55">
        <v>2.3600000000000001E-5</v>
      </c>
      <c r="AK663" s="55">
        <v>4.32E-5</v>
      </c>
      <c r="AL663" s="55">
        <v>2.7500000000000001E-5</v>
      </c>
      <c r="AM663" s="55">
        <v>2.1500000000000001E-5</v>
      </c>
      <c r="AN663" s="51">
        <v>0.73352398799999996</v>
      </c>
    </row>
    <row r="664" spans="1:40" x14ac:dyDescent="0.35">
      <c r="A664" s="14" t="s">
        <v>202</v>
      </c>
      <c r="B664" s="14">
        <v>2</v>
      </c>
      <c r="C664" s="14">
        <v>60</v>
      </c>
      <c r="D664" s="14">
        <v>4589</v>
      </c>
      <c r="E664" s="45">
        <v>56.98</v>
      </c>
      <c r="F664" s="45">
        <v>1.27</v>
      </c>
      <c r="G664" s="45">
        <v>10.83</v>
      </c>
      <c r="H664" s="45">
        <v>47.2</v>
      </c>
      <c r="K664" s="45">
        <v>1.24E-2</v>
      </c>
      <c r="L664" s="45">
        <v>73.006100000000004</v>
      </c>
      <c r="M664" s="45">
        <v>2.3999999999999998E-3</v>
      </c>
      <c r="N664" s="45">
        <v>1.03E-2</v>
      </c>
      <c r="O664" s="51">
        <v>85.581453580000002</v>
      </c>
      <c r="P664" s="51">
        <v>1.0285588999999999E-2</v>
      </c>
      <c r="AG664" s="14" t="s">
        <v>223</v>
      </c>
      <c r="AH664" s="14" t="s">
        <v>223</v>
      </c>
      <c r="AI664" s="14" t="s">
        <v>224</v>
      </c>
      <c r="AJ664" s="55">
        <v>2.8099999999999999E-5</v>
      </c>
      <c r="AK664" s="55">
        <v>3.57E-5</v>
      </c>
      <c r="AL664" s="55">
        <v>2.8500000000000002E-5</v>
      </c>
      <c r="AM664" s="55">
        <v>2.0800000000000001E-5</v>
      </c>
      <c r="AN664" s="51">
        <v>0.77147760700000001</v>
      </c>
    </row>
    <row r="665" spans="1:40" x14ac:dyDescent="0.35">
      <c r="A665" s="14" t="s">
        <v>202</v>
      </c>
      <c r="B665" s="14">
        <v>2</v>
      </c>
      <c r="C665" s="14">
        <v>70</v>
      </c>
      <c r="D665" s="14">
        <v>4589</v>
      </c>
      <c r="E665" s="45">
        <v>57.29</v>
      </c>
      <c r="F665" s="45">
        <v>0.96</v>
      </c>
      <c r="G665" s="45">
        <v>11.9</v>
      </c>
      <c r="H665" s="45">
        <v>41.71</v>
      </c>
      <c r="K665" s="45">
        <v>1.2500000000000001E-2</v>
      </c>
      <c r="L665" s="45">
        <v>55.039700000000003</v>
      </c>
      <c r="M665" s="45">
        <v>2.5999999999999999E-3</v>
      </c>
      <c r="N665" s="45">
        <v>9.1000000000000004E-3</v>
      </c>
      <c r="O665" s="51">
        <v>99.46715863</v>
      </c>
      <c r="P665" s="51">
        <v>9.1064690000000007E-3</v>
      </c>
      <c r="AG665" s="14" t="s">
        <v>223</v>
      </c>
      <c r="AH665" s="14" t="s">
        <v>223</v>
      </c>
      <c r="AI665" s="14" t="s">
        <v>224</v>
      </c>
      <c r="AJ665" s="55">
        <v>1.7200000000000001E-5</v>
      </c>
      <c r="AK665" s="55">
        <v>3.96E-5</v>
      </c>
      <c r="AL665" s="55">
        <v>2.26E-5</v>
      </c>
      <c r="AM665" s="55">
        <v>1.8099999999999999E-5</v>
      </c>
      <c r="AN665" s="51">
        <v>0.71410137900000004</v>
      </c>
    </row>
    <row r="666" spans="1:40" x14ac:dyDescent="0.35">
      <c r="A666" s="14" t="s">
        <v>202</v>
      </c>
      <c r="B666" s="14">
        <v>2</v>
      </c>
      <c r="C666" s="14">
        <v>80</v>
      </c>
      <c r="D666" s="14">
        <v>4589</v>
      </c>
      <c r="E666" s="45">
        <v>57.86</v>
      </c>
      <c r="F666" s="45">
        <v>0.9</v>
      </c>
      <c r="G666" s="45">
        <v>7.49</v>
      </c>
      <c r="H666" s="45">
        <v>36.79</v>
      </c>
      <c r="K666" s="45">
        <v>1.26E-2</v>
      </c>
      <c r="L666" s="45">
        <v>51.584899999999998</v>
      </c>
      <c r="M666" s="45">
        <v>1.6000000000000001E-3</v>
      </c>
      <c r="N666" s="45">
        <v>8.0000000000000002E-3</v>
      </c>
      <c r="O666" s="51">
        <v>85.605604339999999</v>
      </c>
      <c r="P666" s="51">
        <v>8.0363329999999997E-3</v>
      </c>
      <c r="AG666" s="14" t="s">
        <v>223</v>
      </c>
      <c r="AH666" s="14" t="s">
        <v>223</v>
      </c>
      <c r="AI666" s="14" t="s">
        <v>224</v>
      </c>
      <c r="AJ666" s="55">
        <v>1.7399999999999999E-5</v>
      </c>
      <c r="AK666" s="55">
        <v>3.3000000000000003E-5</v>
      </c>
      <c r="AL666" s="55">
        <v>2.09E-5</v>
      </c>
      <c r="AM666" s="55">
        <v>1.9300000000000002E-5</v>
      </c>
      <c r="AN666" s="51">
        <v>0.79746201100000003</v>
      </c>
    </row>
    <row r="667" spans="1:40" x14ac:dyDescent="0.35">
      <c r="A667" s="14" t="s">
        <v>202</v>
      </c>
      <c r="B667" s="14">
        <v>2</v>
      </c>
      <c r="C667" s="14">
        <v>90</v>
      </c>
      <c r="D667" s="14">
        <v>4589</v>
      </c>
      <c r="E667" s="45">
        <v>49.97</v>
      </c>
      <c r="F667" s="45">
        <v>0.99</v>
      </c>
      <c r="G667" s="45">
        <v>9.6300000000000008</v>
      </c>
      <c r="H667" s="45">
        <v>35.65</v>
      </c>
      <c r="K667" s="45">
        <v>1.09E-2</v>
      </c>
      <c r="L667" s="45">
        <v>56.497999999999998</v>
      </c>
      <c r="M667" s="45">
        <v>2.0999999999999999E-3</v>
      </c>
      <c r="N667" s="45">
        <v>7.7999999999999996E-3</v>
      </c>
      <c r="O667" s="51">
        <v>92.057991490000006</v>
      </c>
      <c r="P667" s="51">
        <v>7.769008E-3</v>
      </c>
      <c r="AG667" s="14" t="s">
        <v>223</v>
      </c>
      <c r="AH667" s="14" t="s">
        <v>223</v>
      </c>
      <c r="AI667" s="14" t="s">
        <v>224</v>
      </c>
      <c r="AJ667" s="55">
        <v>1.4600000000000001E-5</v>
      </c>
      <c r="AK667" s="55">
        <v>2.76E-5</v>
      </c>
      <c r="AL667" s="55">
        <v>1.3699999999999999E-5</v>
      </c>
      <c r="AM667" s="55">
        <v>1.7099999999999999E-5</v>
      </c>
      <c r="AN667" s="51">
        <v>0.73040805399999997</v>
      </c>
    </row>
    <row r="668" spans="1:40" x14ac:dyDescent="0.35">
      <c r="A668" s="14" t="s">
        <v>202</v>
      </c>
      <c r="B668" s="14">
        <v>3</v>
      </c>
      <c r="C668" s="14">
        <v>20</v>
      </c>
      <c r="D668" s="14">
        <v>3156</v>
      </c>
      <c r="E668" s="49">
        <v>65.318996662533038</v>
      </c>
      <c r="F668" s="50">
        <v>0.91012353509726129</v>
      </c>
      <c r="G668" s="50">
        <v>7.7915406050408249</v>
      </c>
      <c r="H668" s="50">
        <v>41.787324693021453</v>
      </c>
      <c r="K668" s="50">
        <v>2.0696767003337464E-2</v>
      </c>
      <c r="L668" s="50">
        <v>52.146237396599723</v>
      </c>
      <c r="M668" s="50">
        <v>2.4688024730801094E-3</v>
      </c>
      <c r="N668" s="50">
        <v>1.3240597177763451E-2</v>
      </c>
      <c r="AG668" s="14" t="s">
        <v>223</v>
      </c>
      <c r="AH668" s="14" t="s">
        <v>223</v>
      </c>
      <c r="AI668" s="14" t="s">
        <v>224</v>
      </c>
    </row>
    <row r="669" spans="1:40" x14ac:dyDescent="0.35">
      <c r="A669" s="14" t="s">
        <v>202</v>
      </c>
      <c r="B669" s="14">
        <v>3</v>
      </c>
      <c r="C669" s="14">
        <v>30</v>
      </c>
      <c r="D669" s="14">
        <v>3156</v>
      </c>
      <c r="E669" s="49">
        <v>61.465905020588458</v>
      </c>
      <c r="F669" s="50">
        <v>1.0863719735230721</v>
      </c>
      <c r="G669" s="50">
        <v>4.6139833116300037</v>
      </c>
      <c r="H669" s="50">
        <v>41.885871806612784</v>
      </c>
      <c r="K669" s="50">
        <v>1.9475888789793554E-2</v>
      </c>
      <c r="L669" s="50">
        <v>62.244529064170052</v>
      </c>
      <c r="M669" s="50">
        <v>1.4619718984885943E-3</v>
      </c>
      <c r="N669" s="50">
        <v>1.3271822498926738E-2</v>
      </c>
      <c r="AG669" s="14" t="s">
        <v>223</v>
      </c>
      <c r="AH669" s="14" t="s">
        <v>223</v>
      </c>
      <c r="AI669" s="14" t="s">
        <v>224</v>
      </c>
    </row>
    <row r="670" spans="1:40" x14ac:dyDescent="0.35">
      <c r="A670" s="14" t="s">
        <v>202</v>
      </c>
      <c r="B670" s="14">
        <v>3</v>
      </c>
      <c r="C670" s="14">
        <v>40</v>
      </c>
      <c r="D670" s="14">
        <v>3156</v>
      </c>
      <c r="E670" s="49">
        <v>61.538168359157439</v>
      </c>
      <c r="F670" s="50">
        <v>1.1287071378645455</v>
      </c>
      <c r="G670" s="50">
        <v>6.0377367448406787</v>
      </c>
      <c r="H670" s="50">
        <v>44.082304669787888</v>
      </c>
      <c r="K670" s="50">
        <v>1.9498785918617693E-2</v>
      </c>
      <c r="L670" s="50">
        <v>64.670155305929214</v>
      </c>
      <c r="M670" s="50">
        <v>1.9130978278962859E-3</v>
      </c>
      <c r="N670" s="50">
        <v>1.3967777145053196E-2</v>
      </c>
      <c r="AG670" s="14" t="s">
        <v>223</v>
      </c>
      <c r="AH670" s="14" t="s">
        <v>223</v>
      </c>
      <c r="AI670" s="14" t="s">
        <v>224</v>
      </c>
    </row>
    <row r="671" spans="1:40" x14ac:dyDescent="0.35">
      <c r="A671" s="14" t="s">
        <v>202</v>
      </c>
      <c r="B671" s="14">
        <v>3</v>
      </c>
      <c r="C671" s="14">
        <v>50</v>
      </c>
      <c r="D671" s="14">
        <v>3156</v>
      </c>
      <c r="E671" s="49">
        <v>61.925620836613348</v>
      </c>
      <c r="F671" s="50">
        <v>1.1518853002074159</v>
      </c>
      <c r="G671" s="50">
        <v>6.856176339622567</v>
      </c>
      <c r="H671" s="50">
        <v>42.788767743416074</v>
      </c>
      <c r="K671" s="50">
        <v>1.9621552863312214E-2</v>
      </c>
      <c r="L671" s="50">
        <v>65.998166185044738</v>
      </c>
      <c r="M671" s="50">
        <v>2.1724259631250211E-3</v>
      </c>
      <c r="N671" s="50">
        <v>1.3557911198801037E-2</v>
      </c>
      <c r="AG671" s="14" t="s">
        <v>223</v>
      </c>
      <c r="AH671" s="14" t="s">
        <v>223</v>
      </c>
      <c r="AI671" s="14" t="s">
        <v>224</v>
      </c>
    </row>
    <row r="672" spans="1:40" x14ac:dyDescent="0.35">
      <c r="A672" s="14" t="s">
        <v>202</v>
      </c>
      <c r="B672" s="14">
        <v>3</v>
      </c>
      <c r="C672" s="14">
        <v>60</v>
      </c>
      <c r="D672" s="14">
        <v>3156</v>
      </c>
      <c r="E672" s="49">
        <v>60.87167763418384</v>
      </c>
      <c r="F672" s="50">
        <v>1.0422674828768335</v>
      </c>
      <c r="G672" s="50">
        <v>6.2244718651464668</v>
      </c>
      <c r="H672" s="50">
        <v>38.241733708083885</v>
      </c>
      <c r="K672" s="50">
        <v>1.9287603813112751E-2</v>
      </c>
      <c r="L672" s="50">
        <v>59.717527892566359</v>
      </c>
      <c r="M672" s="50">
        <v>1.9722661169665609E-3</v>
      </c>
      <c r="N672" s="50">
        <v>1.2117152632472714E-2</v>
      </c>
      <c r="AG672" s="14" t="s">
        <v>223</v>
      </c>
      <c r="AH672" s="14" t="s">
        <v>223</v>
      </c>
      <c r="AI672" s="14" t="s">
        <v>224</v>
      </c>
    </row>
    <row r="673" spans="1:40" x14ac:dyDescent="0.35">
      <c r="A673" s="14" t="s">
        <v>202</v>
      </c>
      <c r="B673" s="14">
        <v>3</v>
      </c>
      <c r="C673" s="14">
        <v>70</v>
      </c>
      <c r="D673" s="14">
        <v>3156</v>
      </c>
      <c r="E673" s="49">
        <v>59.359252960258765</v>
      </c>
      <c r="F673" s="50">
        <v>0.97122659870014905</v>
      </c>
      <c r="G673" s="50">
        <v>5.5952025879319089</v>
      </c>
      <c r="H673" s="50">
        <v>35.103417554420531</v>
      </c>
      <c r="K673" s="50">
        <v>1.8808381799828505E-2</v>
      </c>
      <c r="L673" s="50">
        <v>55.647185056364627</v>
      </c>
      <c r="M673" s="50">
        <v>1.7728778795728481E-3</v>
      </c>
      <c r="N673" s="50">
        <v>1.1122755879093957E-2</v>
      </c>
      <c r="AG673" s="14" t="s">
        <v>223</v>
      </c>
      <c r="AH673" s="14" t="s">
        <v>223</v>
      </c>
      <c r="AI673" s="14" t="s">
        <v>224</v>
      </c>
    </row>
    <row r="674" spans="1:40" x14ac:dyDescent="0.35">
      <c r="A674" s="14" t="s">
        <v>202</v>
      </c>
      <c r="B674" s="14">
        <v>3</v>
      </c>
      <c r="C674" s="14">
        <v>80</v>
      </c>
      <c r="D674" s="14">
        <v>3156</v>
      </c>
      <c r="E674" s="49">
        <v>55.314917382203632</v>
      </c>
      <c r="F674" s="50">
        <v>0.96932800348182391</v>
      </c>
      <c r="G674" s="50">
        <v>4.20799999999997</v>
      </c>
      <c r="H674" s="50">
        <v>32.872072052123528</v>
      </c>
      <c r="K674" s="50">
        <v>1.7526906648353494E-2</v>
      </c>
      <c r="L674" s="50">
        <v>55.538403563350876</v>
      </c>
      <c r="M674" s="50">
        <v>1.3333333333333237E-3</v>
      </c>
      <c r="N674" s="50">
        <v>1.0415738926528367E-2</v>
      </c>
      <c r="AG674" s="14" t="s">
        <v>223</v>
      </c>
      <c r="AH674" s="14" t="s">
        <v>223</v>
      </c>
      <c r="AI674" s="14" t="s">
        <v>224</v>
      </c>
    </row>
    <row r="675" spans="1:40" x14ac:dyDescent="0.35">
      <c r="A675" s="14" t="s">
        <v>202</v>
      </c>
      <c r="B675" s="14">
        <v>3</v>
      </c>
      <c r="C675" s="14">
        <v>90</v>
      </c>
      <c r="D675" s="14">
        <v>3156</v>
      </c>
      <c r="E675" s="49">
        <v>49.023687029842705</v>
      </c>
      <c r="F675" s="50">
        <v>0.91745137366845619</v>
      </c>
      <c r="G675" s="50">
        <v>4.1402321190967184</v>
      </c>
      <c r="H675" s="50">
        <v>26.772020861339502</v>
      </c>
      <c r="K675" s="50">
        <v>1.5533487652041414E-2</v>
      </c>
      <c r="L675" s="50">
        <v>52.566091619682361</v>
      </c>
      <c r="M675" s="50">
        <v>1.3118606207530793E-3</v>
      </c>
      <c r="N675" s="50">
        <v>8.48289634389718E-3</v>
      </c>
      <c r="AG675" s="14" t="s">
        <v>223</v>
      </c>
      <c r="AH675" s="14" t="s">
        <v>223</v>
      </c>
      <c r="AI675" s="14" t="s">
        <v>224</v>
      </c>
    </row>
    <row r="676" spans="1:40" x14ac:dyDescent="0.35">
      <c r="A676" s="14" t="s">
        <v>203</v>
      </c>
      <c r="B676" s="14">
        <v>1</v>
      </c>
      <c r="C676" s="14">
        <v>20</v>
      </c>
      <c r="D676" s="14">
        <v>4389</v>
      </c>
      <c r="E676" s="45">
        <v>53.95</v>
      </c>
      <c r="F676" s="45">
        <v>1.08</v>
      </c>
      <c r="G676" s="45">
        <v>4.88</v>
      </c>
      <c r="H676" s="45">
        <v>44.09</v>
      </c>
      <c r="K676" s="45">
        <v>1.23E-2</v>
      </c>
      <c r="L676" s="45">
        <v>61.917900000000003</v>
      </c>
      <c r="M676" s="45">
        <v>1.1000000000000001E-3</v>
      </c>
      <c r="N676" s="45">
        <v>0.01</v>
      </c>
      <c r="O676" s="51">
        <v>103.31465350000001</v>
      </c>
      <c r="P676" s="51">
        <v>1.0059326E-2</v>
      </c>
      <c r="AG676" s="14" t="s">
        <v>223</v>
      </c>
      <c r="AH676" s="14" t="s">
        <v>223</v>
      </c>
      <c r="AI676" s="14" t="s">
        <v>223</v>
      </c>
      <c r="AJ676" s="55">
        <v>1.9899999999999999E-5</v>
      </c>
      <c r="AK676" s="55">
        <v>4.1999999999999998E-5</v>
      </c>
      <c r="AL676" s="55">
        <v>2.6299999999999999E-5</v>
      </c>
      <c r="AM676" s="55">
        <v>2.8799999999999999E-5</v>
      </c>
      <c r="AN676" s="51">
        <v>0.89051942100000003</v>
      </c>
    </row>
    <row r="677" spans="1:40" x14ac:dyDescent="0.35">
      <c r="A677" s="14" t="s">
        <v>203</v>
      </c>
      <c r="B677" s="14">
        <v>1</v>
      </c>
      <c r="C677" s="14">
        <v>30</v>
      </c>
      <c r="D677" s="14">
        <v>4389</v>
      </c>
      <c r="E677" s="45">
        <v>51.21</v>
      </c>
      <c r="F677" s="45">
        <v>1.31</v>
      </c>
      <c r="G677" s="45">
        <v>4.68</v>
      </c>
      <c r="H677" s="45">
        <v>48.64</v>
      </c>
      <c r="K677" s="45">
        <v>1.17E-2</v>
      </c>
      <c r="L677" s="45">
        <v>74.877200000000002</v>
      </c>
      <c r="M677" s="45">
        <v>1.1000000000000001E-3</v>
      </c>
      <c r="N677" s="45">
        <v>1.11E-2</v>
      </c>
      <c r="O677" s="51">
        <v>102.0035874</v>
      </c>
      <c r="P677" s="51">
        <v>1.1101397000000001E-2</v>
      </c>
      <c r="AG677" s="14" t="s">
        <v>223</v>
      </c>
      <c r="AH677" s="14" t="s">
        <v>223</v>
      </c>
      <c r="AI677" s="14" t="s">
        <v>223</v>
      </c>
      <c r="AJ677" s="55">
        <v>2.48E-5</v>
      </c>
      <c r="AK677" s="55">
        <v>4.0000000000000003E-5</v>
      </c>
      <c r="AL677" s="55">
        <v>2.62E-5</v>
      </c>
      <c r="AM677" s="55">
        <v>3.2499999999999997E-5</v>
      </c>
      <c r="AN677" s="51">
        <v>0.90489218699999996</v>
      </c>
    </row>
    <row r="678" spans="1:40" x14ac:dyDescent="0.35">
      <c r="A678" s="14" t="s">
        <v>203</v>
      </c>
      <c r="B678" s="14">
        <v>1</v>
      </c>
      <c r="C678" s="14">
        <v>40</v>
      </c>
      <c r="D678" s="14">
        <v>4389</v>
      </c>
      <c r="E678" s="45">
        <v>57.69</v>
      </c>
      <c r="F678" s="45">
        <v>1.0900000000000001</v>
      </c>
      <c r="G678" s="45">
        <v>5.78</v>
      </c>
      <c r="H678" s="45">
        <v>46.13</v>
      </c>
      <c r="K678" s="45">
        <v>1.3100000000000001E-2</v>
      </c>
      <c r="L678" s="45">
        <v>62.232300000000002</v>
      </c>
      <c r="M678" s="45">
        <v>1.2999999999999999E-3</v>
      </c>
      <c r="N678" s="45">
        <v>1.0500000000000001E-2</v>
      </c>
      <c r="O678" s="51">
        <v>99.638177819999996</v>
      </c>
      <c r="P678" s="51">
        <v>1.0529642000000001E-2</v>
      </c>
      <c r="AG678" s="14" t="s">
        <v>223</v>
      </c>
      <c r="AH678" s="14" t="s">
        <v>223</v>
      </c>
      <c r="AI678" s="14" t="s">
        <v>223</v>
      </c>
      <c r="AJ678" s="55">
        <v>2.34E-5</v>
      </c>
      <c r="AK678" s="55">
        <v>4.57E-5</v>
      </c>
      <c r="AL678" s="55">
        <v>2.97E-5</v>
      </c>
      <c r="AM678" s="55">
        <v>3.0800000000000003E-5</v>
      </c>
      <c r="AN678" s="51">
        <v>0.87599283900000002</v>
      </c>
    </row>
    <row r="679" spans="1:40" x14ac:dyDescent="0.35">
      <c r="A679" s="14" t="s">
        <v>203</v>
      </c>
      <c r="B679" s="14">
        <v>1</v>
      </c>
      <c r="C679" s="14">
        <v>50</v>
      </c>
      <c r="D679" s="14">
        <v>4389</v>
      </c>
      <c r="E679" s="45">
        <v>57.89</v>
      </c>
      <c r="F679" s="45">
        <v>1.1200000000000001</v>
      </c>
      <c r="G679" s="45">
        <v>6.43</v>
      </c>
      <c r="H679" s="45">
        <v>48.72</v>
      </c>
      <c r="K679" s="45">
        <v>1.32E-2</v>
      </c>
      <c r="L679" s="45">
        <v>64.006299999999996</v>
      </c>
      <c r="M679" s="45">
        <v>1.5E-3</v>
      </c>
      <c r="N679" s="45">
        <v>1.11E-2</v>
      </c>
      <c r="O679" s="51">
        <v>104.17956030000001</v>
      </c>
      <c r="P679" s="51">
        <v>1.1133106E-2</v>
      </c>
      <c r="AG679" s="14" t="s">
        <v>223</v>
      </c>
      <c r="AH679" s="14" t="s">
        <v>223</v>
      </c>
      <c r="AI679" s="14" t="s">
        <v>223</v>
      </c>
      <c r="AJ679" s="55">
        <v>2.41E-5</v>
      </c>
      <c r="AK679" s="55">
        <v>4.9299999999999999E-5</v>
      </c>
      <c r="AL679" s="55">
        <v>2.8399999999999999E-5</v>
      </c>
      <c r="AM679" s="55">
        <v>3.54E-5</v>
      </c>
      <c r="AN679" s="51">
        <v>0.86936141600000005</v>
      </c>
    </row>
    <row r="680" spans="1:40" x14ac:dyDescent="0.35">
      <c r="A680" s="14" t="s">
        <v>203</v>
      </c>
      <c r="B680" s="14">
        <v>1</v>
      </c>
      <c r="C680" s="14">
        <v>60</v>
      </c>
      <c r="D680" s="14">
        <v>4389</v>
      </c>
      <c r="E680" s="45">
        <v>58.17</v>
      </c>
      <c r="F680" s="45">
        <v>1.1000000000000001</v>
      </c>
      <c r="G680" s="45">
        <v>8.48</v>
      </c>
      <c r="H680" s="45">
        <v>48.89</v>
      </c>
      <c r="K680" s="45">
        <v>1.3299999999999999E-2</v>
      </c>
      <c r="L680" s="45">
        <v>63.120800000000003</v>
      </c>
      <c r="M680" s="45">
        <v>1.9E-3</v>
      </c>
      <c r="N680" s="45">
        <v>1.11E-2</v>
      </c>
      <c r="O680" s="51">
        <v>105.4660178</v>
      </c>
      <c r="P680" s="51">
        <v>1.1222841000000001E-2</v>
      </c>
      <c r="AG680" s="14" t="s">
        <v>223</v>
      </c>
      <c r="AH680" s="14" t="s">
        <v>223</v>
      </c>
      <c r="AI680" s="14" t="s">
        <v>223</v>
      </c>
      <c r="AJ680" s="55">
        <v>2.3900000000000002E-5</v>
      </c>
      <c r="AK680" s="55">
        <v>5.0500000000000001E-5</v>
      </c>
      <c r="AL680" s="55">
        <v>3.26E-5</v>
      </c>
      <c r="AM680" s="55">
        <v>2.9099999999999999E-5</v>
      </c>
      <c r="AN680" s="51">
        <v>0.82967742200000005</v>
      </c>
    </row>
    <row r="681" spans="1:40" x14ac:dyDescent="0.35">
      <c r="A681" s="14" t="s">
        <v>203</v>
      </c>
      <c r="B681" s="14">
        <v>1</v>
      </c>
      <c r="C681" s="14">
        <v>70</v>
      </c>
      <c r="D681" s="14">
        <v>4389</v>
      </c>
      <c r="E681" s="45">
        <v>54.46</v>
      </c>
      <c r="F681" s="45">
        <v>1.2</v>
      </c>
      <c r="G681" s="45">
        <v>7.13</v>
      </c>
      <c r="H681" s="45">
        <v>47.2</v>
      </c>
      <c r="K681" s="45">
        <v>1.24E-2</v>
      </c>
      <c r="L681" s="45">
        <v>68.756</v>
      </c>
      <c r="M681" s="45">
        <v>1.6000000000000001E-3</v>
      </c>
      <c r="N681" s="45">
        <v>1.0800000000000001E-2</v>
      </c>
      <c r="O681" s="51">
        <v>98.728827390000006</v>
      </c>
      <c r="P681" s="51">
        <v>1.0876395000000001E-2</v>
      </c>
      <c r="AG681" s="14" t="s">
        <v>223</v>
      </c>
      <c r="AH681" s="14" t="s">
        <v>223</v>
      </c>
      <c r="AI681" s="14" t="s">
        <v>223</v>
      </c>
      <c r="AJ681" s="55">
        <v>2.5299999999999998E-5</v>
      </c>
      <c r="AK681" s="55">
        <v>4.18E-5</v>
      </c>
      <c r="AL681" s="55">
        <v>3.2499999999999997E-5</v>
      </c>
      <c r="AM681" s="55">
        <v>2.4700000000000001E-5</v>
      </c>
      <c r="AN681" s="51">
        <v>0.85300701899999998</v>
      </c>
    </row>
    <row r="682" spans="1:40" x14ac:dyDescent="0.35">
      <c r="A682" s="14" t="s">
        <v>203</v>
      </c>
      <c r="B682" s="14">
        <v>1</v>
      </c>
      <c r="C682" s="14">
        <v>80</v>
      </c>
      <c r="D682" s="14">
        <v>4389</v>
      </c>
      <c r="E682" s="45">
        <v>51.26</v>
      </c>
      <c r="F682" s="45">
        <v>1.0900000000000001</v>
      </c>
      <c r="G682" s="45">
        <v>5.52</v>
      </c>
      <c r="H682" s="45">
        <v>40.99</v>
      </c>
      <c r="K682" s="45">
        <v>1.17E-2</v>
      </c>
      <c r="L682" s="45">
        <v>62.325099999999999</v>
      </c>
      <c r="M682" s="45">
        <v>1.2999999999999999E-3</v>
      </c>
      <c r="N682" s="45">
        <v>9.2999999999999992E-3</v>
      </c>
      <c r="O682" s="51">
        <v>98.845239280000001</v>
      </c>
      <c r="P682" s="51">
        <v>9.3434859999999998E-3</v>
      </c>
      <c r="AG682" s="14" t="s">
        <v>223</v>
      </c>
      <c r="AH682" s="14" t="s">
        <v>223</v>
      </c>
      <c r="AI682" s="14" t="s">
        <v>223</v>
      </c>
      <c r="AJ682" s="55">
        <v>1.8700000000000001E-5</v>
      </c>
      <c r="AK682" s="55">
        <v>3.5899999999999998E-5</v>
      </c>
      <c r="AL682" s="55">
        <v>2.4199999999999999E-5</v>
      </c>
      <c r="AM682" s="55">
        <v>2.3E-5</v>
      </c>
      <c r="AN682" s="51">
        <v>0.86565866499999999</v>
      </c>
    </row>
    <row r="683" spans="1:40" x14ac:dyDescent="0.35">
      <c r="A683" s="14" t="s">
        <v>203</v>
      </c>
      <c r="B683" s="14">
        <v>1</v>
      </c>
      <c r="C683" s="14">
        <v>90</v>
      </c>
      <c r="D683" s="14">
        <v>4389</v>
      </c>
      <c r="E683" s="45">
        <v>49.54</v>
      </c>
      <c r="F683" s="45">
        <v>0.89</v>
      </c>
      <c r="G683" s="45">
        <v>5.32</v>
      </c>
      <c r="H683" s="45">
        <v>35.08</v>
      </c>
      <c r="K683" s="45">
        <v>1.1299999999999999E-2</v>
      </c>
      <c r="L683" s="45">
        <v>51.016199999999998</v>
      </c>
      <c r="M683" s="45">
        <v>1.1999999999999999E-3</v>
      </c>
      <c r="N683" s="45">
        <v>8.0000000000000002E-3</v>
      </c>
      <c r="O683" s="51">
        <v>105.5115114</v>
      </c>
      <c r="P683" s="51">
        <v>8.1351289999999996E-3</v>
      </c>
      <c r="AG683" s="14" t="s">
        <v>223</v>
      </c>
      <c r="AH683" s="14" t="s">
        <v>223</v>
      </c>
      <c r="AI683" s="14" t="s">
        <v>223</v>
      </c>
      <c r="AJ683" s="55">
        <v>1.26E-5</v>
      </c>
      <c r="AK683" s="55">
        <v>3.3500000000000001E-5</v>
      </c>
      <c r="AL683" s="55">
        <v>1.9599999999999999E-5</v>
      </c>
      <c r="AM683" s="55">
        <v>2.02E-5</v>
      </c>
      <c r="AN683" s="51">
        <v>0.86358582699999997</v>
      </c>
    </row>
    <row r="684" spans="1:40" x14ac:dyDescent="0.35">
      <c r="A684" s="14" t="s">
        <v>203</v>
      </c>
      <c r="B684" s="14">
        <v>2</v>
      </c>
      <c r="C684" s="14">
        <v>20</v>
      </c>
      <c r="D684" s="14">
        <v>3548</v>
      </c>
      <c r="E684" s="45">
        <v>45.52</v>
      </c>
      <c r="F684" s="45">
        <v>1.02</v>
      </c>
      <c r="G684" s="45">
        <v>4.12</v>
      </c>
      <c r="H684" s="45">
        <v>33.78</v>
      </c>
      <c r="K684" s="45">
        <v>1.2800000000000001E-2</v>
      </c>
      <c r="L684" s="45">
        <v>58.174799999999998</v>
      </c>
      <c r="M684" s="45">
        <v>1.1999999999999999E-3</v>
      </c>
      <c r="N684" s="45">
        <v>9.4999999999999998E-3</v>
      </c>
      <c r="O684" s="51">
        <v>95.417725599999997</v>
      </c>
      <c r="P684" s="51">
        <v>9.570739E-3</v>
      </c>
      <c r="AG684" s="14" t="s">
        <v>223</v>
      </c>
      <c r="AH684" s="14" t="s">
        <v>223</v>
      </c>
      <c r="AI684" s="14" t="s">
        <v>223</v>
      </c>
      <c r="AJ684" s="55">
        <v>2.0800000000000001E-5</v>
      </c>
      <c r="AK684" s="55">
        <v>4.0599999999999998E-5</v>
      </c>
      <c r="AL684" s="55">
        <v>2.4000000000000001E-5</v>
      </c>
      <c r="AM684" s="55">
        <v>3.01E-5</v>
      </c>
      <c r="AN684" s="51">
        <v>0.88024080299999996</v>
      </c>
    </row>
    <row r="685" spans="1:40" x14ac:dyDescent="0.35">
      <c r="A685" s="14" t="s">
        <v>203</v>
      </c>
      <c r="B685" s="14">
        <v>2</v>
      </c>
      <c r="C685" s="14">
        <v>30</v>
      </c>
      <c r="D685" s="14">
        <v>3548</v>
      </c>
      <c r="E685" s="45">
        <v>42.42</v>
      </c>
      <c r="F685" s="45">
        <v>1.04</v>
      </c>
      <c r="G685" s="45">
        <v>5.82</v>
      </c>
      <c r="H685" s="45">
        <v>35.93</v>
      </c>
      <c r="K685" s="45">
        <v>1.2E-2</v>
      </c>
      <c r="L685" s="45">
        <v>59.550400000000003</v>
      </c>
      <c r="M685" s="45">
        <v>1.6000000000000001E-3</v>
      </c>
      <c r="N685" s="45">
        <v>1.01E-2</v>
      </c>
      <c r="O685" s="51">
        <v>115.1325976</v>
      </c>
      <c r="P685" s="51">
        <v>1.0127265E-2</v>
      </c>
      <c r="AG685" s="14" t="s">
        <v>223</v>
      </c>
      <c r="AH685" s="14" t="s">
        <v>223</v>
      </c>
      <c r="AI685" s="14" t="s">
        <v>223</v>
      </c>
      <c r="AJ685" s="55">
        <v>1.6200000000000001E-5</v>
      </c>
      <c r="AK685" s="55">
        <v>4.4299999999999999E-5</v>
      </c>
      <c r="AL685" s="55">
        <v>2.09E-5</v>
      </c>
      <c r="AM685" s="55">
        <v>2.9799999999999999E-5</v>
      </c>
      <c r="AN685" s="51">
        <v>0.83815750700000002</v>
      </c>
    </row>
    <row r="686" spans="1:40" x14ac:dyDescent="0.35">
      <c r="A686" s="14" t="s">
        <v>203</v>
      </c>
      <c r="B686" s="14">
        <v>2</v>
      </c>
      <c r="C686" s="14">
        <v>40</v>
      </c>
      <c r="D686" s="14">
        <v>3548</v>
      </c>
      <c r="E686" s="45">
        <v>43.36</v>
      </c>
      <c r="F686" s="45">
        <v>0.94</v>
      </c>
      <c r="G686" s="45">
        <v>6.76</v>
      </c>
      <c r="H686" s="45">
        <v>33.74</v>
      </c>
      <c r="K686" s="45">
        <v>1.2200000000000001E-2</v>
      </c>
      <c r="L686" s="45">
        <v>53.632199999999997</v>
      </c>
      <c r="M686" s="45">
        <v>1.9E-3</v>
      </c>
      <c r="N686" s="45">
        <v>9.4999999999999998E-3</v>
      </c>
      <c r="O686" s="51">
        <v>118.6480492</v>
      </c>
      <c r="P686" s="51">
        <v>9.5146369999999994E-3</v>
      </c>
      <c r="AG686" s="14" t="s">
        <v>223</v>
      </c>
      <c r="AH686" s="14" t="s">
        <v>223</v>
      </c>
      <c r="AI686" s="14" t="s">
        <v>223</v>
      </c>
      <c r="AJ686" s="55">
        <v>1.34E-5</v>
      </c>
      <c r="AK686" s="55">
        <v>4.46E-5</v>
      </c>
      <c r="AL686" s="55">
        <v>2.3099999999999999E-5</v>
      </c>
      <c r="AM686" s="55">
        <v>2.34E-5</v>
      </c>
      <c r="AN686" s="51">
        <v>0.801381801</v>
      </c>
    </row>
    <row r="687" spans="1:40" x14ac:dyDescent="0.35">
      <c r="A687" s="14" t="s">
        <v>203</v>
      </c>
      <c r="B687" s="14">
        <v>2</v>
      </c>
      <c r="C687" s="14">
        <v>50</v>
      </c>
      <c r="D687" s="14">
        <v>3548</v>
      </c>
      <c r="E687" s="45">
        <v>44.82</v>
      </c>
      <c r="F687" s="45">
        <v>0.94</v>
      </c>
      <c r="G687" s="45">
        <v>6.4</v>
      </c>
      <c r="H687" s="45">
        <v>35.07</v>
      </c>
      <c r="K687" s="45">
        <v>1.26E-2</v>
      </c>
      <c r="L687" s="45">
        <v>53.776499999999999</v>
      </c>
      <c r="M687" s="45">
        <v>1.8E-3</v>
      </c>
      <c r="N687" s="45">
        <v>9.9000000000000008E-3</v>
      </c>
      <c r="O687" s="51">
        <v>118.5098351</v>
      </c>
      <c r="P687" s="51">
        <v>9.8899950000000004E-3</v>
      </c>
      <c r="AG687" s="14" t="s">
        <v>223</v>
      </c>
      <c r="AH687" s="14" t="s">
        <v>223</v>
      </c>
      <c r="AI687" s="14" t="s">
        <v>223</v>
      </c>
      <c r="AJ687" s="55">
        <v>1.45E-5</v>
      </c>
      <c r="AK687" s="55">
        <v>4.7800000000000003E-5</v>
      </c>
      <c r="AL687" s="55">
        <v>2.3300000000000001E-5</v>
      </c>
      <c r="AM687" s="55">
        <v>2.76E-5</v>
      </c>
      <c r="AN687" s="51">
        <v>0.81764558799999998</v>
      </c>
    </row>
    <row r="688" spans="1:40" x14ac:dyDescent="0.35">
      <c r="A688" s="14" t="s">
        <v>203</v>
      </c>
      <c r="B688" s="14">
        <v>2</v>
      </c>
      <c r="C688" s="14">
        <v>60</v>
      </c>
      <c r="D688" s="14">
        <v>3548</v>
      </c>
      <c r="E688" s="45">
        <v>45.15</v>
      </c>
      <c r="F688" s="45">
        <v>0.95</v>
      </c>
      <c r="G688" s="45">
        <v>5.23</v>
      </c>
      <c r="H688" s="45">
        <v>34.36</v>
      </c>
      <c r="K688" s="45">
        <v>1.2699999999999999E-2</v>
      </c>
      <c r="L688" s="45">
        <v>54.508800000000001</v>
      </c>
      <c r="M688" s="45">
        <v>1.5E-3</v>
      </c>
      <c r="N688" s="45">
        <v>9.7000000000000003E-3</v>
      </c>
      <c r="O688" s="51">
        <v>110.87705769999999</v>
      </c>
      <c r="P688" s="51">
        <v>9.6855350000000003E-3</v>
      </c>
      <c r="AG688" s="14" t="s">
        <v>223</v>
      </c>
      <c r="AH688" s="14" t="s">
        <v>223</v>
      </c>
      <c r="AI688" s="14" t="s">
        <v>223</v>
      </c>
      <c r="AJ688" s="55">
        <v>1.6099999999999998E-5</v>
      </c>
      <c r="AK688" s="55">
        <v>4.5500000000000001E-5</v>
      </c>
      <c r="AL688" s="55">
        <v>2.4700000000000001E-5</v>
      </c>
      <c r="AM688" s="55">
        <v>2.76E-5</v>
      </c>
      <c r="AN688" s="51">
        <v>0.84798753400000004</v>
      </c>
    </row>
    <row r="689" spans="1:40" x14ac:dyDescent="0.35">
      <c r="A689" s="14" t="s">
        <v>203</v>
      </c>
      <c r="B689" s="14">
        <v>2</v>
      </c>
      <c r="C689" s="14">
        <v>70</v>
      </c>
      <c r="D689" s="14">
        <v>3548</v>
      </c>
      <c r="E689" s="45">
        <v>44.15</v>
      </c>
      <c r="F689" s="45">
        <v>1.01</v>
      </c>
      <c r="G689" s="45">
        <v>3.26</v>
      </c>
      <c r="H689" s="45">
        <v>31.81</v>
      </c>
      <c r="K689" s="45">
        <v>1.24E-2</v>
      </c>
      <c r="L689" s="45">
        <v>58.150300000000001</v>
      </c>
      <c r="M689" s="45">
        <v>8.9999999999999998E-4</v>
      </c>
      <c r="N689" s="45">
        <v>8.9999999999999993E-3</v>
      </c>
      <c r="O689" s="51">
        <v>91.183497070000001</v>
      </c>
      <c r="P689" s="51">
        <v>8.9656500000000004E-3</v>
      </c>
      <c r="AG689" s="14" t="s">
        <v>223</v>
      </c>
      <c r="AH689" s="14" t="s">
        <v>223</v>
      </c>
      <c r="AI689" s="14" t="s">
        <v>223</v>
      </c>
      <c r="AJ689" s="55">
        <v>1.9700000000000001E-5</v>
      </c>
      <c r="AK689" s="55">
        <v>3.6100000000000003E-5</v>
      </c>
      <c r="AL689" s="55">
        <v>2.26E-5</v>
      </c>
      <c r="AM689" s="55">
        <v>2.7500000000000001E-5</v>
      </c>
      <c r="AN689" s="51">
        <v>0.89759994700000001</v>
      </c>
    </row>
    <row r="690" spans="1:40" x14ac:dyDescent="0.35">
      <c r="A690" s="14" t="s">
        <v>203</v>
      </c>
      <c r="B690" s="14">
        <v>2</v>
      </c>
      <c r="C690" s="14">
        <v>80</v>
      </c>
      <c r="D690" s="14">
        <v>3548</v>
      </c>
      <c r="E690" s="45">
        <v>39.32</v>
      </c>
      <c r="F690" s="45">
        <v>0.82</v>
      </c>
      <c r="G690" s="45">
        <v>7.52</v>
      </c>
      <c r="H690" s="45">
        <v>26.49</v>
      </c>
      <c r="K690" s="45">
        <v>1.11E-2</v>
      </c>
      <c r="L690" s="45">
        <v>47.153799999999997</v>
      </c>
      <c r="M690" s="45">
        <v>2.0999999999999999E-3</v>
      </c>
      <c r="N690" s="45">
        <v>7.4999999999999997E-3</v>
      </c>
      <c r="O690" s="51">
        <v>111.31902239999999</v>
      </c>
      <c r="P690" s="51">
        <v>7.4709820000000001E-3</v>
      </c>
      <c r="AG690" s="14" t="s">
        <v>223</v>
      </c>
      <c r="AH690" s="14" t="s">
        <v>223</v>
      </c>
      <c r="AI690" s="14" t="s">
        <v>223</v>
      </c>
      <c r="AJ690" s="55">
        <v>9.4900000000000006E-6</v>
      </c>
      <c r="AK690" s="55">
        <v>3.18E-5</v>
      </c>
      <c r="AL690" s="55">
        <v>1.5500000000000001E-5</v>
      </c>
      <c r="AM690" s="55">
        <v>1.4E-5</v>
      </c>
      <c r="AN690" s="51">
        <v>0.71578534299999996</v>
      </c>
    </row>
    <row r="691" spans="1:40" x14ac:dyDescent="0.35">
      <c r="A691" s="14" t="s">
        <v>203</v>
      </c>
      <c r="B691" s="14">
        <v>2</v>
      </c>
      <c r="C691" s="14">
        <v>90</v>
      </c>
      <c r="D691" s="14">
        <v>3548</v>
      </c>
      <c r="E691" s="45">
        <v>36.229999999999997</v>
      </c>
      <c r="F691" s="45">
        <v>0.73</v>
      </c>
      <c r="G691" s="45">
        <v>5.36</v>
      </c>
      <c r="H691" s="45">
        <v>21.1</v>
      </c>
      <c r="K691" s="45">
        <v>1.0200000000000001E-2</v>
      </c>
      <c r="L691" s="45">
        <v>41.692799999999998</v>
      </c>
      <c r="M691" s="45">
        <v>1.5E-3</v>
      </c>
      <c r="N691" s="45">
        <v>5.8999999999999999E-3</v>
      </c>
      <c r="O691" s="51">
        <v>100.2403225</v>
      </c>
      <c r="P691" s="51">
        <v>5.9598979999999999E-3</v>
      </c>
      <c r="AG691" s="14" t="s">
        <v>223</v>
      </c>
      <c r="AH691" s="14" t="s">
        <v>223</v>
      </c>
      <c r="AI691" s="14" t="s">
        <v>223</v>
      </c>
      <c r="AJ691" s="55">
        <v>7.1899999999999998E-6</v>
      </c>
      <c r="AK691" s="55">
        <v>2.3200000000000001E-5</v>
      </c>
      <c r="AL691" s="55">
        <v>1.3900000000000001E-5</v>
      </c>
      <c r="AM691" s="55">
        <v>8.8400000000000001E-6</v>
      </c>
      <c r="AN691" s="51">
        <v>0.74788008699999997</v>
      </c>
    </row>
    <row r="692" spans="1:40" x14ac:dyDescent="0.35">
      <c r="A692" s="14" t="s">
        <v>203</v>
      </c>
      <c r="B692" s="14">
        <v>3</v>
      </c>
      <c r="C692" s="14">
        <v>20</v>
      </c>
      <c r="D692" s="14">
        <v>4133</v>
      </c>
      <c r="E692" s="45">
        <v>47.92</v>
      </c>
      <c r="F692" s="45">
        <v>1.21</v>
      </c>
      <c r="G692" s="45">
        <v>16.34</v>
      </c>
      <c r="H692" s="45">
        <v>40.090000000000003</v>
      </c>
      <c r="K692" s="45">
        <v>1.1599999999999999E-2</v>
      </c>
      <c r="L692" s="45">
        <v>69.162300000000002</v>
      </c>
      <c r="M692" s="45">
        <v>4.0000000000000001E-3</v>
      </c>
      <c r="N692" s="45">
        <v>9.7000000000000003E-3</v>
      </c>
      <c r="O692" s="51">
        <v>92.924828120000001</v>
      </c>
      <c r="P692" s="51">
        <v>9.9473889999999992E-3</v>
      </c>
      <c r="AG692" s="14" t="s">
        <v>223</v>
      </c>
      <c r="AH692" s="14" t="s">
        <v>223</v>
      </c>
      <c r="AI692" s="14" t="s">
        <v>223</v>
      </c>
      <c r="AJ692" s="55">
        <v>2.3499999999999999E-5</v>
      </c>
      <c r="AK692" s="55">
        <v>3.3899999999999997E-5</v>
      </c>
      <c r="AL692" s="55">
        <v>2.1699999999999999E-5</v>
      </c>
      <c r="AM692" s="55">
        <v>2.5400000000000001E-5</v>
      </c>
      <c r="AN692" s="51">
        <v>0.82076632199999999</v>
      </c>
    </row>
    <row r="693" spans="1:40" x14ac:dyDescent="0.35">
      <c r="A693" s="14" t="s">
        <v>203</v>
      </c>
      <c r="B693" s="14">
        <v>3</v>
      </c>
      <c r="C693" s="14">
        <v>30</v>
      </c>
      <c r="D693" s="14">
        <v>4133</v>
      </c>
      <c r="E693" s="45">
        <v>49.15</v>
      </c>
      <c r="F693" s="45">
        <v>1.18</v>
      </c>
      <c r="G693" s="45">
        <v>15.11</v>
      </c>
      <c r="H693" s="45">
        <v>38.799999999999997</v>
      </c>
      <c r="K693" s="45">
        <v>1.1900000000000001E-2</v>
      </c>
      <c r="L693" s="45">
        <v>67.681700000000006</v>
      </c>
      <c r="M693" s="45">
        <v>3.7000000000000002E-3</v>
      </c>
      <c r="N693" s="45">
        <v>9.4000000000000004E-3</v>
      </c>
      <c r="O693" s="51">
        <v>96.284101059999998</v>
      </c>
      <c r="P693" s="51">
        <v>9.4542319999999999E-3</v>
      </c>
      <c r="AG693" s="14" t="s">
        <v>223</v>
      </c>
      <c r="AH693" s="14" t="s">
        <v>223</v>
      </c>
      <c r="AI693" s="14" t="s">
        <v>223</v>
      </c>
      <c r="AJ693" s="55">
        <v>2.0000000000000002E-5</v>
      </c>
      <c r="AK693" s="55">
        <v>3.2700000000000002E-5</v>
      </c>
      <c r="AL693" s="55">
        <v>1.9899999999999999E-5</v>
      </c>
      <c r="AM693" s="55">
        <v>2.34E-5</v>
      </c>
      <c r="AN693" s="51">
        <v>0.82149192100000001</v>
      </c>
    </row>
    <row r="694" spans="1:40" x14ac:dyDescent="0.35">
      <c r="A694" s="14" t="s">
        <v>203</v>
      </c>
      <c r="B694" s="14">
        <v>3</v>
      </c>
      <c r="C694" s="14">
        <v>40</v>
      </c>
      <c r="D694" s="14">
        <v>4133</v>
      </c>
      <c r="E694" s="45">
        <v>49.38</v>
      </c>
      <c r="F694" s="45">
        <v>1.1399999999999999</v>
      </c>
      <c r="G694" s="45">
        <v>14.87</v>
      </c>
      <c r="H694" s="45">
        <v>42.94</v>
      </c>
      <c r="K694" s="45">
        <v>1.1900000000000001E-2</v>
      </c>
      <c r="L694" s="45">
        <v>65.210800000000006</v>
      </c>
      <c r="M694" s="45">
        <v>3.5999999999999999E-3</v>
      </c>
      <c r="N694" s="45">
        <v>1.04E-2</v>
      </c>
      <c r="O694" s="51">
        <v>106.3685479</v>
      </c>
      <c r="P694" s="51">
        <v>1.0394631E-2</v>
      </c>
      <c r="AG694" s="14" t="s">
        <v>223</v>
      </c>
      <c r="AH694" s="14" t="s">
        <v>223</v>
      </c>
      <c r="AI694" s="14" t="s">
        <v>223</v>
      </c>
      <c r="AJ694" s="55">
        <v>2.02E-5</v>
      </c>
      <c r="AK694" s="55">
        <v>4.1699999999999997E-5</v>
      </c>
      <c r="AL694" s="55">
        <v>2.5000000000000001E-5</v>
      </c>
      <c r="AM694" s="55">
        <v>2.6699999999999998E-5</v>
      </c>
      <c r="AN694" s="51">
        <v>0.83593402500000002</v>
      </c>
    </row>
    <row r="695" spans="1:40" x14ac:dyDescent="0.35">
      <c r="A695" s="14" t="s">
        <v>203</v>
      </c>
      <c r="B695" s="14">
        <v>3</v>
      </c>
      <c r="C695" s="14">
        <v>50</v>
      </c>
      <c r="D695" s="14">
        <v>4133</v>
      </c>
      <c r="E695" s="45">
        <v>53.03</v>
      </c>
      <c r="F695" s="45">
        <v>1.1599999999999999</v>
      </c>
      <c r="G695" s="45">
        <v>14.44</v>
      </c>
      <c r="H695" s="45">
        <v>43.2</v>
      </c>
      <c r="K695" s="45">
        <v>1.2800000000000001E-2</v>
      </c>
      <c r="L695" s="45">
        <v>66.514200000000002</v>
      </c>
      <c r="M695" s="45">
        <v>3.5000000000000001E-3</v>
      </c>
      <c r="N695" s="45">
        <v>1.0500000000000001E-2</v>
      </c>
      <c r="O695" s="51">
        <v>93.902130319999998</v>
      </c>
      <c r="P695" s="51">
        <v>1.0455213999999999E-2</v>
      </c>
      <c r="AG695" s="14" t="s">
        <v>223</v>
      </c>
      <c r="AH695" s="14" t="s">
        <v>223</v>
      </c>
      <c r="AI695" s="14" t="s">
        <v>223</v>
      </c>
      <c r="AJ695" s="55">
        <v>2.55E-5</v>
      </c>
      <c r="AK695" s="55">
        <v>4.1399999999999997E-5</v>
      </c>
      <c r="AL695" s="55">
        <v>2.87E-5</v>
      </c>
      <c r="AM695" s="55">
        <v>2.7900000000000001E-5</v>
      </c>
      <c r="AN695" s="51">
        <v>0.84615488100000003</v>
      </c>
    </row>
    <row r="696" spans="1:40" x14ac:dyDescent="0.35">
      <c r="A696" s="14" t="s">
        <v>203</v>
      </c>
      <c r="B696" s="14">
        <v>3</v>
      </c>
      <c r="C696" s="14">
        <v>60</v>
      </c>
      <c r="D696" s="14">
        <v>4133</v>
      </c>
      <c r="E696" s="45">
        <v>50.83</v>
      </c>
      <c r="F696" s="45">
        <v>1.1499999999999999</v>
      </c>
      <c r="G696" s="45">
        <v>13.03</v>
      </c>
      <c r="H696" s="45">
        <v>42.76</v>
      </c>
      <c r="K696" s="45">
        <v>1.23E-2</v>
      </c>
      <c r="L696" s="45">
        <v>65.8613</v>
      </c>
      <c r="M696" s="45">
        <v>3.2000000000000002E-3</v>
      </c>
      <c r="N696" s="45">
        <v>1.03E-2</v>
      </c>
      <c r="O696" s="51">
        <v>99.532213929999998</v>
      </c>
      <c r="P696" s="51">
        <v>1.0346496E-2</v>
      </c>
      <c r="AG696" s="14" t="s">
        <v>223</v>
      </c>
      <c r="AH696" s="14" t="s">
        <v>223</v>
      </c>
      <c r="AI696" s="14" t="s">
        <v>223</v>
      </c>
      <c r="AJ696" s="55">
        <v>2.2399999999999999E-5</v>
      </c>
      <c r="AK696" s="55">
        <v>4.1100000000000003E-5</v>
      </c>
      <c r="AL696" s="55">
        <v>2.3E-5</v>
      </c>
      <c r="AM696" s="55">
        <v>3.1699999999999998E-5</v>
      </c>
      <c r="AN696" s="51">
        <v>0.86249130900000004</v>
      </c>
    </row>
    <row r="697" spans="1:40" x14ac:dyDescent="0.35">
      <c r="A697" s="14" t="s">
        <v>203</v>
      </c>
      <c r="B697" s="14">
        <v>3</v>
      </c>
      <c r="C697" s="14">
        <v>70</v>
      </c>
      <c r="D697" s="14">
        <v>4133</v>
      </c>
      <c r="E697" s="45">
        <v>48.88</v>
      </c>
      <c r="F697" s="45">
        <v>1.1499999999999999</v>
      </c>
      <c r="G697" s="45">
        <v>14.64</v>
      </c>
      <c r="H697" s="45">
        <v>39.76</v>
      </c>
      <c r="K697" s="45">
        <v>1.18E-2</v>
      </c>
      <c r="L697" s="45">
        <v>65.608000000000004</v>
      </c>
      <c r="M697" s="45">
        <v>3.5000000000000001E-3</v>
      </c>
      <c r="N697" s="45">
        <v>9.5999999999999992E-3</v>
      </c>
      <c r="O697" s="51">
        <v>93.932537740000001</v>
      </c>
      <c r="P697" s="51">
        <v>9.6342870000000001E-3</v>
      </c>
      <c r="AG697" s="14" t="s">
        <v>223</v>
      </c>
      <c r="AH697" s="14" t="s">
        <v>223</v>
      </c>
      <c r="AI697" s="14" t="s">
        <v>223</v>
      </c>
      <c r="AJ697" s="55">
        <v>2.1399999999999998E-5</v>
      </c>
      <c r="AK697" s="55">
        <v>3.5500000000000002E-5</v>
      </c>
      <c r="AL697" s="55">
        <v>2.05E-5</v>
      </c>
      <c r="AM697" s="55">
        <v>2.7500000000000001E-5</v>
      </c>
      <c r="AN697" s="51">
        <v>0.84339420600000004</v>
      </c>
    </row>
    <row r="698" spans="1:40" x14ac:dyDescent="0.35">
      <c r="A698" s="14" t="s">
        <v>203</v>
      </c>
      <c r="B698" s="14">
        <v>3</v>
      </c>
      <c r="C698" s="14">
        <v>80</v>
      </c>
      <c r="D698" s="14">
        <v>4133</v>
      </c>
      <c r="E698" s="45">
        <v>45.72</v>
      </c>
      <c r="F698" s="45">
        <v>1.06</v>
      </c>
      <c r="G698" s="45">
        <v>14.64</v>
      </c>
      <c r="H698" s="45">
        <v>37.82</v>
      </c>
      <c r="K698" s="45">
        <v>1.11E-2</v>
      </c>
      <c r="L698" s="45">
        <v>60.598599999999998</v>
      </c>
      <c r="M698" s="45">
        <v>3.5000000000000001E-3</v>
      </c>
      <c r="N698" s="45">
        <v>9.1999999999999998E-3</v>
      </c>
      <c r="O698" s="51">
        <v>104.0338141</v>
      </c>
      <c r="P698" s="51">
        <v>9.2349140000000003E-3</v>
      </c>
      <c r="AG698" s="14" t="s">
        <v>223</v>
      </c>
      <c r="AH698" s="14" t="s">
        <v>223</v>
      </c>
      <c r="AI698" s="14" t="s">
        <v>223</v>
      </c>
      <c r="AJ698" s="55">
        <v>1.5999999999999999E-5</v>
      </c>
      <c r="AK698" s="55">
        <v>3.4999999999999997E-5</v>
      </c>
      <c r="AL698" s="55">
        <v>1.6399999999999999E-5</v>
      </c>
      <c r="AM698" s="55">
        <v>2.6599999999999999E-5</v>
      </c>
      <c r="AN698" s="51">
        <v>0.84365278700000002</v>
      </c>
    </row>
    <row r="699" spans="1:40" x14ac:dyDescent="0.35">
      <c r="A699" s="14" t="s">
        <v>203</v>
      </c>
      <c r="B699" s="14">
        <v>3</v>
      </c>
      <c r="C699" s="14">
        <v>90</v>
      </c>
      <c r="D699" s="14">
        <v>4133</v>
      </c>
      <c r="E699" s="45">
        <v>45.25</v>
      </c>
      <c r="F699" s="45">
        <v>1.02</v>
      </c>
      <c r="G699" s="45">
        <v>11.08</v>
      </c>
      <c r="H699" s="45">
        <v>33.43</v>
      </c>
      <c r="K699" s="45">
        <v>1.09E-2</v>
      </c>
      <c r="L699" s="45">
        <v>58.672400000000003</v>
      </c>
      <c r="M699" s="45">
        <v>2.7000000000000001E-3</v>
      </c>
      <c r="N699" s="45">
        <v>8.0999999999999996E-3</v>
      </c>
      <c r="O699" s="51">
        <v>89.008723380000006</v>
      </c>
      <c r="P699" s="51">
        <v>7.7421369999999996E-3</v>
      </c>
      <c r="AG699" s="14" t="s">
        <v>223</v>
      </c>
      <c r="AH699" s="14" t="s">
        <v>223</v>
      </c>
      <c r="AI699" s="14" t="s">
        <v>223</v>
      </c>
      <c r="AJ699" s="55">
        <v>1.4100000000000001E-5</v>
      </c>
      <c r="AK699" s="55">
        <v>2.26E-5</v>
      </c>
      <c r="AL699" s="55">
        <v>1.19E-5</v>
      </c>
      <c r="AM699" s="55">
        <v>1.84E-5</v>
      </c>
      <c r="AN699" s="51">
        <v>0.82555761699999997</v>
      </c>
    </row>
    <row r="700" spans="1:40" x14ac:dyDescent="0.35">
      <c r="A700" s="14" t="s">
        <v>204</v>
      </c>
      <c r="B700" s="14">
        <v>1</v>
      </c>
      <c r="C700" s="14">
        <v>20</v>
      </c>
      <c r="D700" s="14">
        <v>4222</v>
      </c>
      <c r="E700" s="45">
        <v>28.63</v>
      </c>
      <c r="F700" s="45">
        <v>1.43</v>
      </c>
      <c r="G700" s="45">
        <v>6.7</v>
      </c>
      <c r="H700" s="45">
        <v>37.590000000000003</v>
      </c>
      <c r="K700" s="45">
        <v>6.7999999999999996E-3</v>
      </c>
      <c r="L700" s="45">
        <v>82.108400000000003</v>
      </c>
      <c r="M700" s="45">
        <v>1.6000000000000001E-3</v>
      </c>
      <c r="N700" s="45">
        <v>8.8999999999999999E-3</v>
      </c>
      <c r="O700" s="51">
        <v>87.201777980000003</v>
      </c>
      <c r="P700" s="51">
        <v>9.4945740000000004E-3</v>
      </c>
      <c r="AG700" s="14" t="s">
        <v>224</v>
      </c>
      <c r="AH700" s="14" t="s">
        <v>223</v>
      </c>
      <c r="AI700" s="14" t="s">
        <v>224</v>
      </c>
      <c r="AJ700" s="55">
        <v>2.37E-5</v>
      </c>
      <c r="AK700" s="55">
        <v>3.4199999999999998E-5</v>
      </c>
      <c r="AL700" s="55">
        <v>2.1500000000000001E-5</v>
      </c>
      <c r="AM700" s="55">
        <v>2.2200000000000001E-5</v>
      </c>
      <c r="AN700" s="51">
        <v>0.754150918</v>
      </c>
    </row>
    <row r="701" spans="1:40" x14ac:dyDescent="0.35">
      <c r="A701" s="14" t="s">
        <v>204</v>
      </c>
      <c r="B701" s="14">
        <v>1</v>
      </c>
      <c r="C701" s="14">
        <v>30</v>
      </c>
      <c r="D701" s="14">
        <v>4222</v>
      </c>
      <c r="E701" s="45">
        <v>51.9</v>
      </c>
      <c r="F701" s="45">
        <v>1.1100000000000001</v>
      </c>
      <c r="G701" s="45">
        <v>9.81</v>
      </c>
      <c r="H701" s="45">
        <v>38.9</v>
      </c>
      <c r="K701" s="45">
        <v>1.23E-2</v>
      </c>
      <c r="L701" s="45">
        <v>63.572400000000002</v>
      </c>
      <c r="M701" s="45">
        <v>2.3E-3</v>
      </c>
      <c r="N701" s="45">
        <v>9.1999999999999998E-3</v>
      </c>
      <c r="O701" s="51">
        <v>96.845165750000007</v>
      </c>
      <c r="P701" s="51">
        <v>9.7791869999999999E-3</v>
      </c>
      <c r="AG701" s="14" t="s">
        <v>224</v>
      </c>
      <c r="AH701" s="14" t="s">
        <v>223</v>
      </c>
      <c r="AI701" s="14" t="s">
        <v>224</v>
      </c>
      <c r="AJ701" s="55">
        <v>2.12E-5</v>
      </c>
      <c r="AK701" s="55">
        <v>3.3699999999999999E-5</v>
      </c>
      <c r="AL701" s="55">
        <v>2.26E-5</v>
      </c>
      <c r="AM701" s="55">
        <v>2.09E-5</v>
      </c>
      <c r="AN701" s="51">
        <v>0.79360193000000001</v>
      </c>
    </row>
    <row r="702" spans="1:40" x14ac:dyDescent="0.35">
      <c r="A702" s="14" t="s">
        <v>204</v>
      </c>
      <c r="B702" s="14">
        <v>1</v>
      </c>
      <c r="C702" s="14">
        <v>40</v>
      </c>
      <c r="D702" s="14">
        <v>4222</v>
      </c>
      <c r="E702" s="45">
        <v>47.31</v>
      </c>
      <c r="F702" s="45">
        <v>1.21</v>
      </c>
      <c r="G702" s="45">
        <v>8.51</v>
      </c>
      <c r="H702" s="45">
        <v>40.81</v>
      </c>
      <c r="K702" s="45">
        <v>1.12E-2</v>
      </c>
      <c r="L702" s="45">
        <v>69.483500000000006</v>
      </c>
      <c r="M702" s="45">
        <v>2E-3</v>
      </c>
      <c r="N702" s="45">
        <v>9.7000000000000003E-3</v>
      </c>
      <c r="O702" s="51">
        <v>96.294000969999999</v>
      </c>
      <c r="P702" s="51">
        <v>9.8574690000000006E-3</v>
      </c>
      <c r="AG702" s="14" t="s">
        <v>224</v>
      </c>
      <c r="AH702" s="14" t="s">
        <v>223</v>
      </c>
      <c r="AI702" s="14" t="s">
        <v>224</v>
      </c>
      <c r="AJ702" s="55">
        <v>2.1699999999999999E-5</v>
      </c>
      <c r="AK702" s="55">
        <v>3.6699999999999998E-5</v>
      </c>
      <c r="AL702" s="55">
        <v>2.1999999999999999E-5</v>
      </c>
      <c r="AM702" s="55">
        <v>2.2799999999999999E-5</v>
      </c>
      <c r="AN702" s="51">
        <v>0.76712742099999998</v>
      </c>
    </row>
    <row r="703" spans="1:40" x14ac:dyDescent="0.35">
      <c r="A703" s="14" t="s">
        <v>204</v>
      </c>
      <c r="B703" s="14">
        <v>1</v>
      </c>
      <c r="C703" s="14">
        <v>50</v>
      </c>
      <c r="D703" s="14">
        <v>4222</v>
      </c>
      <c r="E703" s="45">
        <v>49.91</v>
      </c>
      <c r="F703" s="45">
        <v>1.1599999999999999</v>
      </c>
      <c r="G703" s="45">
        <v>9.69</v>
      </c>
      <c r="H703" s="45">
        <v>41.47</v>
      </c>
      <c r="K703" s="45">
        <v>1.18E-2</v>
      </c>
      <c r="L703" s="45">
        <v>66.373900000000006</v>
      </c>
      <c r="M703" s="45">
        <v>2.3E-3</v>
      </c>
      <c r="N703" s="45">
        <v>9.7999999999999997E-3</v>
      </c>
      <c r="O703" s="51">
        <v>88.000764360000005</v>
      </c>
      <c r="P703" s="51">
        <v>9.6045550000000007E-3</v>
      </c>
      <c r="AG703" s="14" t="s">
        <v>224</v>
      </c>
      <c r="AH703" s="14" t="s">
        <v>223</v>
      </c>
      <c r="AI703" s="14" t="s">
        <v>224</v>
      </c>
      <c r="AJ703" s="55">
        <v>2.34E-5</v>
      </c>
      <c r="AK703" s="55">
        <v>3.5899999999999998E-5</v>
      </c>
      <c r="AL703" s="55">
        <v>2.1100000000000001E-5</v>
      </c>
      <c r="AM703" s="55">
        <v>2.3E-5</v>
      </c>
      <c r="AN703" s="51">
        <v>0.74362515900000004</v>
      </c>
    </row>
    <row r="704" spans="1:40" x14ac:dyDescent="0.35">
      <c r="A704" s="14" t="s">
        <v>204</v>
      </c>
      <c r="B704" s="14">
        <v>1</v>
      </c>
      <c r="C704" s="14">
        <v>60</v>
      </c>
      <c r="D704" s="14">
        <v>4222</v>
      </c>
      <c r="E704" s="45">
        <v>52.52</v>
      </c>
      <c r="F704" s="45">
        <v>1.1399999999999999</v>
      </c>
      <c r="G704" s="45">
        <v>10.39</v>
      </c>
      <c r="H704" s="45">
        <v>40.49</v>
      </c>
      <c r="K704" s="45">
        <v>1.24E-2</v>
      </c>
      <c r="L704" s="45">
        <v>65.118499999999997</v>
      </c>
      <c r="M704" s="45">
        <v>2.5000000000000001E-3</v>
      </c>
      <c r="N704" s="45">
        <v>9.5999999999999992E-3</v>
      </c>
      <c r="O704" s="51">
        <v>96.369079889999995</v>
      </c>
      <c r="P704" s="51">
        <v>9.9188279999999993E-3</v>
      </c>
      <c r="AG704" s="14" t="s">
        <v>224</v>
      </c>
      <c r="AH704" s="14" t="s">
        <v>223</v>
      </c>
      <c r="AI704" s="14" t="s">
        <v>224</v>
      </c>
      <c r="AJ704" s="55">
        <v>2.1999999999999999E-5</v>
      </c>
      <c r="AK704" s="55">
        <v>3.7700000000000002E-5</v>
      </c>
      <c r="AL704" s="55">
        <v>2.3200000000000001E-5</v>
      </c>
      <c r="AM704" s="55">
        <v>2.3099999999999999E-5</v>
      </c>
      <c r="AN704" s="51">
        <v>0.77632254000000001</v>
      </c>
    </row>
    <row r="705" spans="1:40" x14ac:dyDescent="0.35">
      <c r="A705" s="14" t="s">
        <v>204</v>
      </c>
      <c r="B705" s="14">
        <v>1</v>
      </c>
      <c r="C705" s="14">
        <v>70</v>
      </c>
      <c r="D705" s="14">
        <v>4222</v>
      </c>
      <c r="E705" s="45">
        <v>50.97</v>
      </c>
      <c r="F705" s="45">
        <v>1.1499999999999999</v>
      </c>
      <c r="G705" s="45">
        <v>9.3800000000000008</v>
      </c>
      <c r="H705" s="45">
        <v>41.74</v>
      </c>
      <c r="K705" s="45">
        <v>1.21E-2</v>
      </c>
      <c r="L705" s="45">
        <v>65.742599999999996</v>
      </c>
      <c r="M705" s="45">
        <v>2.2000000000000001E-3</v>
      </c>
      <c r="N705" s="45">
        <v>9.9000000000000008E-3</v>
      </c>
      <c r="O705" s="51">
        <v>79.939907939999998</v>
      </c>
      <c r="P705" s="51">
        <v>9.0867090000000001E-3</v>
      </c>
      <c r="AG705" s="14" t="s">
        <v>224</v>
      </c>
      <c r="AH705" s="14" t="s">
        <v>223</v>
      </c>
      <c r="AI705" s="14" t="s">
        <v>224</v>
      </c>
      <c r="AJ705" s="55">
        <v>2.4600000000000002E-5</v>
      </c>
      <c r="AK705" s="55">
        <v>2.97E-5</v>
      </c>
      <c r="AL705" s="55">
        <v>1.98E-5</v>
      </c>
      <c r="AM705" s="55">
        <v>1.5500000000000001E-5</v>
      </c>
      <c r="AN705" s="51">
        <v>0.649881767</v>
      </c>
    </row>
    <row r="706" spans="1:40" x14ac:dyDescent="0.35">
      <c r="A706" s="14" t="s">
        <v>204</v>
      </c>
      <c r="B706" s="14">
        <v>1</v>
      </c>
      <c r="C706" s="14">
        <v>80</v>
      </c>
      <c r="D706" s="14">
        <v>4222</v>
      </c>
      <c r="E706" s="45">
        <v>50.56</v>
      </c>
      <c r="F706" s="45">
        <v>1.2</v>
      </c>
      <c r="G706" s="45">
        <v>13.44</v>
      </c>
      <c r="H706" s="45">
        <v>38.229999999999997</v>
      </c>
      <c r="K706" s="45">
        <v>1.2E-2</v>
      </c>
      <c r="L706" s="45">
        <v>69.0304</v>
      </c>
      <c r="M706" s="45">
        <v>3.2000000000000002E-3</v>
      </c>
      <c r="N706" s="45">
        <v>9.1000000000000004E-3</v>
      </c>
      <c r="O706" s="51">
        <v>72.128602150000006</v>
      </c>
      <c r="P706" s="51">
        <v>7.0341220000000003E-3</v>
      </c>
      <c r="AG706" s="14" t="s">
        <v>224</v>
      </c>
      <c r="AH706" s="14" t="s">
        <v>223</v>
      </c>
      <c r="AI706" s="14" t="s">
        <v>224</v>
      </c>
      <c r="AJ706" s="55">
        <v>1.7E-5</v>
      </c>
      <c r="AK706" s="55">
        <v>2.05E-5</v>
      </c>
      <c r="AL706" s="55">
        <v>1.5099999999999999E-5</v>
      </c>
      <c r="AM706" s="55">
        <v>1.2300000000000001E-5</v>
      </c>
      <c r="AN706" s="51">
        <v>0.73183425700000004</v>
      </c>
    </row>
    <row r="707" spans="1:40" x14ac:dyDescent="0.35">
      <c r="A707" s="14" t="s">
        <v>204</v>
      </c>
      <c r="B707" s="14">
        <v>1</v>
      </c>
      <c r="C707" s="14">
        <v>90</v>
      </c>
      <c r="D707" s="14">
        <v>4222</v>
      </c>
      <c r="E707" s="45">
        <v>44.97</v>
      </c>
      <c r="F707" s="45">
        <v>1.08</v>
      </c>
      <c r="G707" s="45">
        <v>7.97</v>
      </c>
      <c r="H707" s="45">
        <v>29.64</v>
      </c>
      <c r="K707" s="45">
        <v>1.0699999999999999E-2</v>
      </c>
      <c r="L707" s="45">
        <v>61.894399999999997</v>
      </c>
      <c r="M707" s="45">
        <v>1.9E-3</v>
      </c>
      <c r="N707" s="45">
        <v>7.0000000000000001E-3</v>
      </c>
      <c r="O707" s="51">
        <v>118.5757539</v>
      </c>
      <c r="P707" s="51">
        <v>8.935274E-3</v>
      </c>
      <c r="AG707" s="14" t="s">
        <v>224</v>
      </c>
      <c r="AH707" s="14" t="s">
        <v>223</v>
      </c>
      <c r="AI707" s="14" t="s">
        <v>224</v>
      </c>
      <c r="AJ707" s="55">
        <v>8.3899999999999993E-6</v>
      </c>
      <c r="AK707" s="55">
        <v>2.1999999999999999E-5</v>
      </c>
      <c r="AL707" s="55">
        <v>2.02E-5</v>
      </c>
      <c r="AM707" s="55">
        <v>4.3900000000000003E-6</v>
      </c>
      <c r="AN707" s="51">
        <v>0.80772142000000002</v>
      </c>
    </row>
    <row r="708" spans="1:40" x14ac:dyDescent="0.35">
      <c r="A708" s="14" t="s">
        <v>204</v>
      </c>
      <c r="B708" s="14">
        <v>2</v>
      </c>
      <c r="C708" s="14">
        <v>20</v>
      </c>
      <c r="D708" s="14">
        <v>2928</v>
      </c>
      <c r="E708" s="50">
        <v>44.547756396927575</v>
      </c>
      <c r="F708" s="50">
        <v>1.0366898895058565</v>
      </c>
      <c r="G708" s="50">
        <v>5.9387877550894084</v>
      </c>
      <c r="H708" s="50">
        <v>25.521671183525612</v>
      </c>
      <c r="K708" s="50">
        <v>1.5214397676546303E-2</v>
      </c>
      <c r="L708" s="50">
        <v>59.397955332569232</v>
      </c>
      <c r="M708" s="50">
        <v>2.0282745065196067E-3</v>
      </c>
      <c r="N708" s="50">
        <v>8.7164177539363428E-3</v>
      </c>
      <c r="O708" s="51">
        <v>133.74921670000001</v>
      </c>
      <c r="P708" s="51">
        <v>2.8680796000000001E-2</v>
      </c>
      <c r="AG708" s="14" t="s">
        <v>224</v>
      </c>
      <c r="AH708" s="14" t="s">
        <v>223</v>
      </c>
      <c r="AI708" s="14" t="s">
        <v>224</v>
      </c>
      <c r="AJ708" s="55">
        <v>5.5600000000000003E-5</v>
      </c>
      <c r="AK708" s="55">
        <v>3.3300000000000003E-5</v>
      </c>
      <c r="AL708" s="55">
        <v>2.02E-5</v>
      </c>
      <c r="AM708" s="55">
        <v>5.1900000000000001E-5</v>
      </c>
      <c r="AN708" s="51">
        <v>0.81089225300000001</v>
      </c>
    </row>
    <row r="709" spans="1:40" x14ac:dyDescent="0.35">
      <c r="A709" s="14" t="s">
        <v>204</v>
      </c>
      <c r="B709" s="14">
        <v>2</v>
      </c>
      <c r="C709" s="14">
        <v>30</v>
      </c>
      <c r="D709" s="14">
        <v>2928</v>
      </c>
      <c r="E709" s="50">
        <v>44.05237791538616</v>
      </c>
      <c r="F709" s="50">
        <v>1.1344373212924839</v>
      </c>
      <c r="G709" s="50">
        <v>7.7152446493937763</v>
      </c>
      <c r="H709" s="50">
        <v>28.112354935152663</v>
      </c>
      <c r="K709" s="50">
        <v>1.5045211036675601E-2</v>
      </c>
      <c r="L709" s="50">
        <v>64.998470632185885</v>
      </c>
      <c r="M709" s="50">
        <v>2.6349879267055245E-3</v>
      </c>
      <c r="N709" s="50">
        <v>9.6012141171969469E-3</v>
      </c>
      <c r="O709" s="51">
        <v>117.0303449</v>
      </c>
      <c r="P709" s="51">
        <v>2.7624660999999998E-2</v>
      </c>
      <c r="AG709" s="14" t="s">
        <v>224</v>
      </c>
      <c r="AH709" s="14" t="s">
        <v>223</v>
      </c>
      <c r="AI709" s="14" t="s">
        <v>224</v>
      </c>
      <c r="AJ709" s="55">
        <v>6.7600000000000003E-5</v>
      </c>
      <c r="AK709" s="55">
        <v>3.6100000000000003E-5</v>
      </c>
      <c r="AL709" s="55">
        <v>1.8499999999999999E-5</v>
      </c>
      <c r="AM709" s="55">
        <v>7.7399999999999998E-5</v>
      </c>
      <c r="AN709" s="51">
        <v>0.92474863900000004</v>
      </c>
    </row>
    <row r="710" spans="1:40" x14ac:dyDescent="0.35">
      <c r="A710" s="14" t="s">
        <v>204</v>
      </c>
      <c r="B710" s="14">
        <v>2</v>
      </c>
      <c r="C710" s="14">
        <v>40</v>
      </c>
      <c r="D710" s="14">
        <v>2928</v>
      </c>
      <c r="E710" s="50">
        <v>45.906092188292391</v>
      </c>
      <c r="F710" s="50">
        <v>1.1524101395223694</v>
      </c>
      <c r="G710" s="50">
        <v>8.8461573578588641</v>
      </c>
      <c r="H710" s="50">
        <v>28.441914492523122</v>
      </c>
      <c r="K710" s="50">
        <v>1.5678310173597127E-2</v>
      </c>
      <c r="L710" s="50">
        <v>66.028237262714114</v>
      </c>
      <c r="M710" s="50">
        <v>3.0212286058261149E-3</v>
      </c>
      <c r="N710" s="50">
        <v>9.7137686108343998E-3</v>
      </c>
      <c r="O710" s="51">
        <v>104.057362</v>
      </c>
      <c r="P710" s="51">
        <v>2.7044656E-2</v>
      </c>
      <c r="AG710" s="14" t="s">
        <v>224</v>
      </c>
      <c r="AH710" s="14" t="s">
        <v>223</v>
      </c>
      <c r="AI710" s="14" t="s">
        <v>224</v>
      </c>
      <c r="AJ710" s="55">
        <v>8.1000000000000004E-5</v>
      </c>
      <c r="AK710" s="55">
        <v>3.6300000000000001E-5</v>
      </c>
      <c r="AL710" s="55">
        <v>1.9899999999999999E-5</v>
      </c>
      <c r="AM710" s="55">
        <v>9.1600000000000004E-5</v>
      </c>
      <c r="AN710" s="51">
        <v>0.95033563799999998</v>
      </c>
    </row>
    <row r="711" spans="1:40" x14ac:dyDescent="0.35">
      <c r="A711" s="14" t="s">
        <v>204</v>
      </c>
      <c r="B711" s="14">
        <v>2</v>
      </c>
      <c r="C711" s="14">
        <v>50</v>
      </c>
      <c r="D711" s="14">
        <v>2928</v>
      </c>
      <c r="E711" s="50">
        <v>48.047007190874986</v>
      </c>
      <c r="F711" s="50">
        <v>1.0760335023865011</v>
      </c>
      <c r="G711" s="50">
        <v>9.5743929311470577</v>
      </c>
      <c r="H711" s="50">
        <v>30.008520456696978</v>
      </c>
      <c r="K711" s="50">
        <v>1.6409496991419054E-2</v>
      </c>
      <c r="L711" s="50">
        <v>61.652178301426709</v>
      </c>
      <c r="M711" s="50">
        <v>3.2699429409655252E-3</v>
      </c>
      <c r="N711" s="50">
        <v>1.0248811631385579E-2</v>
      </c>
      <c r="O711" s="51">
        <v>97.339648870000005</v>
      </c>
      <c r="P711" s="51">
        <v>2.7301636000000001E-2</v>
      </c>
      <c r="AG711" s="14" t="s">
        <v>224</v>
      </c>
      <c r="AH711" s="14" t="s">
        <v>223</v>
      </c>
      <c r="AI711" s="14" t="s">
        <v>224</v>
      </c>
      <c r="AJ711" s="55">
        <v>7.9200000000000001E-5</v>
      </c>
      <c r="AK711" s="55">
        <v>4.3900000000000003E-5</v>
      </c>
      <c r="AL711" s="55">
        <v>1.8099999999999999E-5</v>
      </c>
      <c r="AM711" s="51">
        <v>1.16783E-4</v>
      </c>
      <c r="AN711" s="51">
        <v>1.096348852</v>
      </c>
    </row>
    <row r="712" spans="1:40" x14ac:dyDescent="0.35">
      <c r="A712" s="14" t="s">
        <v>204</v>
      </c>
      <c r="B712" s="14">
        <v>2</v>
      </c>
      <c r="C712" s="14">
        <v>60</v>
      </c>
      <c r="D712" s="14">
        <v>2928</v>
      </c>
      <c r="E712" s="50">
        <v>47.748015215294529</v>
      </c>
      <c r="F712" s="50">
        <v>1.187900039181796</v>
      </c>
      <c r="G712" s="50">
        <v>11.873669441246918</v>
      </c>
      <c r="H712" s="50">
        <v>31.380272306020508</v>
      </c>
      <c r="K712" s="50">
        <v>1.6307382245660699E-2</v>
      </c>
      <c r="L712" s="50">
        <v>68.061658728542042</v>
      </c>
      <c r="M712" s="50">
        <v>4.0552149731034551E-3</v>
      </c>
      <c r="N712" s="50">
        <v>1.0717306115444162E-2</v>
      </c>
      <c r="O712" s="51">
        <v>9.6650491340000002</v>
      </c>
      <c r="P712" s="51">
        <v>2.8715210000000001E-3</v>
      </c>
      <c r="AG712" s="14" t="s">
        <v>224</v>
      </c>
      <c r="AH712" s="14" t="s">
        <v>223</v>
      </c>
      <c r="AI712" s="14" t="s">
        <v>224</v>
      </c>
      <c r="AJ712" s="55">
        <v>2.2799999999999999E-5</v>
      </c>
      <c r="AK712" s="55">
        <v>3.5999999999999998E-6</v>
      </c>
      <c r="AL712" s="55">
        <v>7.3100000000000003E-6</v>
      </c>
      <c r="AM712" s="55">
        <v>3.5200000000000002E-5</v>
      </c>
      <c r="AN712" s="51">
        <v>1.610223016</v>
      </c>
    </row>
    <row r="713" spans="1:40" x14ac:dyDescent="0.35">
      <c r="A713" s="14" t="s">
        <v>204</v>
      </c>
      <c r="B713" s="14">
        <v>2</v>
      </c>
      <c r="C713" s="14">
        <v>70</v>
      </c>
      <c r="D713" s="14">
        <v>2928</v>
      </c>
      <c r="E713" s="50">
        <v>44.615638513866585</v>
      </c>
      <c r="F713" s="50">
        <v>0.9941335361725977</v>
      </c>
      <c r="G713" s="50">
        <v>8.6597113115853634</v>
      </c>
      <c r="H713" s="50">
        <v>25.511771792645035</v>
      </c>
      <c r="K713" s="50">
        <v>1.5237581459653888E-2</v>
      </c>
      <c r="L713" s="50">
        <v>56.95965589510601</v>
      </c>
      <c r="M713" s="50">
        <v>2.9575516774540175E-3</v>
      </c>
      <c r="N713" s="50">
        <v>8.7130368144279491E-3</v>
      </c>
      <c r="O713" s="51">
        <v>97.720830739999997</v>
      </c>
      <c r="P713" s="51">
        <v>2.5378199000000001E-2</v>
      </c>
      <c r="AG713" s="14" t="s">
        <v>224</v>
      </c>
      <c r="AH713" s="14" t="s">
        <v>223</v>
      </c>
      <c r="AI713" s="14" t="s">
        <v>224</v>
      </c>
      <c r="AJ713" s="55">
        <v>7.0900000000000002E-5</v>
      </c>
      <c r="AK713" s="55">
        <v>3.4900000000000001E-5</v>
      </c>
      <c r="AL713" s="55">
        <v>1.6200000000000001E-5</v>
      </c>
      <c r="AM713" s="55">
        <v>9.6600000000000003E-5</v>
      </c>
      <c r="AN713" s="51">
        <v>1.0661684069999999</v>
      </c>
    </row>
    <row r="714" spans="1:40" x14ac:dyDescent="0.35">
      <c r="A714" s="14" t="s">
        <v>204</v>
      </c>
      <c r="B714" s="14">
        <v>2</v>
      </c>
      <c r="C714" s="14">
        <v>80</v>
      </c>
      <c r="D714" s="14">
        <v>2928</v>
      </c>
      <c r="E714" s="50">
        <v>41.322672481338714</v>
      </c>
      <c r="F714" s="50">
        <v>1.1361285079160774</v>
      </c>
      <c r="G714" s="50">
        <v>7.8079977587086962</v>
      </c>
      <c r="H714" s="50">
        <v>27.008456527539654</v>
      </c>
      <c r="K714" s="50">
        <v>1.4112934590621145E-2</v>
      </c>
      <c r="L714" s="50">
        <v>65.095368488086777</v>
      </c>
      <c r="M714" s="50">
        <v>2.6666659011983251E-3</v>
      </c>
      <c r="N714" s="50">
        <v>9.2241996337225594E-3</v>
      </c>
      <c r="O714" s="51">
        <v>9.4288609149999996</v>
      </c>
      <c r="P714" s="51">
        <v>2.431665E-3</v>
      </c>
      <c r="AG714" s="14" t="s">
        <v>224</v>
      </c>
      <c r="AH714" s="14" t="s">
        <v>223</v>
      </c>
      <c r="AI714" s="14" t="s">
        <v>224</v>
      </c>
      <c r="AJ714" s="55">
        <v>1.6699999999999999E-5</v>
      </c>
      <c r="AK714" s="55">
        <v>2.9100000000000001E-6</v>
      </c>
      <c r="AL714" s="55">
        <v>4.25E-6</v>
      </c>
      <c r="AM714" s="55">
        <v>2.6999999999999999E-5</v>
      </c>
      <c r="AN714" s="51">
        <v>1.591421682</v>
      </c>
    </row>
    <row r="715" spans="1:40" x14ac:dyDescent="0.35">
      <c r="A715" s="14" t="s">
        <v>204</v>
      </c>
      <c r="B715" s="14">
        <v>2</v>
      </c>
      <c r="C715" s="14">
        <v>90</v>
      </c>
      <c r="D715" s="14">
        <v>2928</v>
      </c>
      <c r="E715" s="50">
        <v>34.375005454545025</v>
      </c>
      <c r="F715" s="50">
        <v>0.82980555620129381</v>
      </c>
      <c r="G715" s="50">
        <v>5.6873983507399988</v>
      </c>
      <c r="H715" s="50">
        <v>16.798118942310161</v>
      </c>
      <c r="K715" s="50">
        <v>1.1740097491306362E-2</v>
      </c>
      <c r="L715" s="50">
        <v>47.544356186839977</v>
      </c>
      <c r="M715" s="50">
        <v>1.942417469515027E-3</v>
      </c>
      <c r="N715" s="50">
        <v>5.7370624802971859E-3</v>
      </c>
      <c r="O715" s="51">
        <v>110.3058855</v>
      </c>
      <c r="P715" s="51">
        <v>2.1042891000000001E-2</v>
      </c>
      <c r="AG715" s="14" t="s">
        <v>224</v>
      </c>
      <c r="AH715" s="14" t="s">
        <v>223</v>
      </c>
      <c r="AI715" s="14" t="s">
        <v>224</v>
      </c>
      <c r="AJ715" s="55">
        <v>4.2599999999999999E-5</v>
      </c>
      <c r="AK715" s="55">
        <v>1.8700000000000001E-5</v>
      </c>
      <c r="AL715" s="55">
        <v>1.0900000000000001E-5</v>
      </c>
      <c r="AM715" s="55">
        <v>4.8399999999999997E-5</v>
      </c>
      <c r="AN715" s="51">
        <v>0.96822663499999995</v>
      </c>
    </row>
    <row r="716" spans="1:40" x14ac:dyDescent="0.35">
      <c r="A716" s="14" t="s">
        <v>204</v>
      </c>
      <c r="B716" s="14">
        <v>3</v>
      </c>
      <c r="C716" s="14">
        <v>20</v>
      </c>
      <c r="D716" s="14">
        <v>3373</v>
      </c>
      <c r="E716" s="50">
        <v>54.90079143327528</v>
      </c>
      <c r="F716" s="50">
        <v>1.0581344643751927</v>
      </c>
      <c r="G716" s="50">
        <v>7.697512585244664</v>
      </c>
      <c r="H716" s="50">
        <v>35.864467094883764</v>
      </c>
      <c r="K716" s="50">
        <v>1.6276546526319383E-2</v>
      </c>
      <c r="L716" s="50">
        <v>60.626638966034506</v>
      </c>
      <c r="M716" s="50">
        <v>2.2820968233752338E-3</v>
      </c>
      <c r="N716" s="50">
        <v>1.0632809693117036E-2</v>
      </c>
      <c r="O716" s="51">
        <v>79.649787230000001</v>
      </c>
      <c r="P716" s="51">
        <v>2.2649998000000001E-2</v>
      </c>
      <c r="AG716" s="14" t="s">
        <v>224</v>
      </c>
      <c r="AH716" s="14" t="s">
        <v>223</v>
      </c>
      <c r="AI716" s="14" t="s">
        <v>224</v>
      </c>
      <c r="AJ716" s="55">
        <v>6.6500000000000004E-5</v>
      </c>
      <c r="AK716" s="55">
        <v>4.9699999999999998E-6</v>
      </c>
      <c r="AL716" s="55">
        <v>1.8300000000000001E-5</v>
      </c>
      <c r="AM716" s="55">
        <v>4.2200000000000003E-5</v>
      </c>
      <c r="AN716" s="51">
        <v>0.84702089899999999</v>
      </c>
    </row>
    <row r="717" spans="1:40" x14ac:dyDescent="0.35">
      <c r="A717" s="14" t="s">
        <v>204</v>
      </c>
      <c r="B717" s="14">
        <v>3</v>
      </c>
      <c r="C717" s="14">
        <v>30</v>
      </c>
      <c r="D717" s="14">
        <v>3373</v>
      </c>
      <c r="E717" s="50">
        <v>57.057178338925915</v>
      </c>
      <c r="F717" s="50">
        <v>1.0610515001876335</v>
      </c>
      <c r="G717" s="50">
        <v>7.863237246834144</v>
      </c>
      <c r="H717" s="50">
        <v>35.908507348537917</v>
      </c>
      <c r="K717" s="50">
        <v>1.6915854829210174E-2</v>
      </c>
      <c r="L717" s="50">
        <v>60.793772806775877</v>
      </c>
      <c r="M717" s="50">
        <v>2.3312295424945582E-3</v>
      </c>
      <c r="N717" s="50">
        <v>1.0645866394467214E-2</v>
      </c>
      <c r="O717" s="51">
        <v>72.684797349999997</v>
      </c>
      <c r="P717" s="51">
        <v>2.3167561999999999E-2</v>
      </c>
      <c r="AG717" s="14" t="s">
        <v>224</v>
      </c>
      <c r="AH717" s="14" t="s">
        <v>223</v>
      </c>
      <c r="AI717" s="14" t="s">
        <v>224</v>
      </c>
      <c r="AJ717" s="55">
        <v>7.2999999999999999E-5</v>
      </c>
      <c r="AK717" s="55">
        <v>5.84E-6</v>
      </c>
      <c r="AL717" s="55">
        <v>1.8600000000000001E-5</v>
      </c>
      <c r="AM717" s="55">
        <v>5.6799999999999998E-5</v>
      </c>
      <c r="AN717" s="51">
        <v>0.95664648699999999</v>
      </c>
    </row>
    <row r="718" spans="1:40" x14ac:dyDescent="0.35">
      <c r="A718" s="14" t="s">
        <v>204</v>
      </c>
      <c r="B718" s="14">
        <v>3</v>
      </c>
      <c r="C718" s="14">
        <v>40</v>
      </c>
      <c r="D718" s="14">
        <v>3373</v>
      </c>
      <c r="E718" s="50">
        <v>53.254355690403386</v>
      </c>
      <c r="F718" s="50">
        <v>0.94199824905614227</v>
      </c>
      <c r="G718" s="50">
        <v>9.5734737687006959</v>
      </c>
      <c r="H718" s="50">
        <v>30.547348493772745</v>
      </c>
      <c r="K718" s="50">
        <v>1.5788424456093502E-2</v>
      </c>
      <c r="L718" s="50">
        <v>53.972523979630331</v>
      </c>
      <c r="M718" s="50">
        <v>2.8382667562112944E-3</v>
      </c>
      <c r="N718" s="50">
        <v>9.0564329954855461E-3</v>
      </c>
      <c r="O718" s="51">
        <v>75.309115050000003</v>
      </c>
      <c r="P718" s="51">
        <v>2.1944188999999999E-2</v>
      </c>
      <c r="AG718" s="14" t="s">
        <v>224</v>
      </c>
      <c r="AH718" s="14" t="s">
        <v>223</v>
      </c>
      <c r="AI718" s="14" t="s">
        <v>224</v>
      </c>
      <c r="AJ718" s="55">
        <v>6.9099999999999999E-5</v>
      </c>
      <c r="AK718" s="55">
        <v>6.9500000000000004E-6</v>
      </c>
      <c r="AL718" s="55">
        <v>2.4300000000000001E-5</v>
      </c>
      <c r="AM718" s="55">
        <v>4.3399999999999998E-5</v>
      </c>
      <c r="AN718" s="51">
        <v>0.89023022699999999</v>
      </c>
    </row>
    <row r="719" spans="1:40" x14ac:dyDescent="0.35">
      <c r="A719" s="14" t="s">
        <v>204</v>
      </c>
      <c r="B719" s="14">
        <v>3</v>
      </c>
      <c r="C719" s="14">
        <v>50</v>
      </c>
      <c r="D719" s="14">
        <v>3373</v>
      </c>
      <c r="E719" s="50">
        <v>56.036811115551579</v>
      </c>
      <c r="F719" s="50">
        <v>0.91862516358148594</v>
      </c>
      <c r="G719" s="50">
        <v>8.0941769192426261</v>
      </c>
      <c r="H719" s="50">
        <v>33.40267204880471</v>
      </c>
      <c r="K719" s="50">
        <v>1.6613344534702514E-2</v>
      </c>
      <c r="L719" s="50">
        <v>52.633344827734007</v>
      </c>
      <c r="M719" s="50">
        <v>2.3996966852186854E-3</v>
      </c>
      <c r="N719" s="50">
        <v>9.9029564330876691E-3</v>
      </c>
      <c r="O719" s="51">
        <v>76.402986389999995</v>
      </c>
      <c r="P719" s="51">
        <v>2.2976158999999999E-2</v>
      </c>
      <c r="AG719" s="14" t="s">
        <v>224</v>
      </c>
      <c r="AH719" s="14" t="s">
        <v>223</v>
      </c>
      <c r="AI719" s="14" t="s">
        <v>224</v>
      </c>
      <c r="AJ719" s="55">
        <v>6.7100000000000005E-5</v>
      </c>
      <c r="AK719" s="55">
        <v>5.5099999999999998E-6</v>
      </c>
      <c r="AL719" s="55">
        <v>2.4000000000000001E-5</v>
      </c>
      <c r="AM719" s="55">
        <v>5.3000000000000001E-5</v>
      </c>
      <c r="AN719" s="51">
        <v>1.060689797</v>
      </c>
    </row>
    <row r="720" spans="1:40" x14ac:dyDescent="0.35">
      <c r="A720" s="14" t="s">
        <v>204</v>
      </c>
      <c r="B720" s="14">
        <v>3</v>
      </c>
      <c r="C720" s="14">
        <v>60</v>
      </c>
      <c r="D720" s="14">
        <v>3373</v>
      </c>
      <c r="E720" s="50">
        <v>52.72558771602246</v>
      </c>
      <c r="F720" s="50">
        <v>0.9197428275373275</v>
      </c>
      <c r="G720" s="50">
        <v>9.8853123369977673</v>
      </c>
      <c r="H720" s="50">
        <v>28.966920789065572</v>
      </c>
      <c r="K720" s="50">
        <v>1.5631659565971675E-2</v>
      </c>
      <c r="L720" s="50">
        <v>52.697382255317621</v>
      </c>
      <c r="M720" s="50">
        <v>2.9307181550541853E-3</v>
      </c>
      <c r="N720" s="50">
        <v>8.5878804592545432E-3</v>
      </c>
      <c r="O720" s="51">
        <v>99.210802560000005</v>
      </c>
      <c r="P720" s="51">
        <v>2.2857243999999999E-2</v>
      </c>
      <c r="AG720" s="14" t="s">
        <v>224</v>
      </c>
      <c r="AH720" s="14" t="s">
        <v>223</v>
      </c>
      <c r="AI720" s="14" t="s">
        <v>224</v>
      </c>
      <c r="AJ720" s="55">
        <v>6.4599999999999998E-5</v>
      </c>
      <c r="AK720" s="55">
        <v>6.1700000000000002E-6</v>
      </c>
      <c r="AL720" s="55">
        <v>1.9599999999999999E-5</v>
      </c>
      <c r="AM720" s="55">
        <v>2.26E-5</v>
      </c>
      <c r="AN720" s="51">
        <v>0.596841442</v>
      </c>
    </row>
    <row r="721" spans="1:40" x14ac:dyDescent="0.35">
      <c r="A721" s="14" t="s">
        <v>204</v>
      </c>
      <c r="B721" s="14">
        <v>3</v>
      </c>
      <c r="C721" s="14">
        <v>70</v>
      </c>
      <c r="D721" s="14">
        <v>3373</v>
      </c>
      <c r="E721" s="50">
        <v>49.135299938028389</v>
      </c>
      <c r="F721" s="50">
        <v>0.98674224890098772</v>
      </c>
      <c r="G721" s="50">
        <v>8.669140672523449</v>
      </c>
      <c r="H721" s="50">
        <v>29.852550979773874</v>
      </c>
      <c r="K721" s="50">
        <v>1.4567239827461722E-2</v>
      </c>
      <c r="L721" s="50">
        <v>56.536166329273989</v>
      </c>
      <c r="M721" s="50">
        <v>2.5701573295355616E-3</v>
      </c>
      <c r="N721" s="50">
        <v>8.8504449984506007E-3</v>
      </c>
      <c r="O721" s="51">
        <v>103.6601405</v>
      </c>
      <c r="P721" s="51">
        <v>2.1323702999999999E-2</v>
      </c>
      <c r="AG721" s="14" t="s">
        <v>224</v>
      </c>
      <c r="AH721" s="14" t="s">
        <v>223</v>
      </c>
      <c r="AI721" s="14" t="s">
        <v>224</v>
      </c>
      <c r="AJ721" s="55">
        <v>5.4599999999999999E-5</v>
      </c>
      <c r="AK721" s="55">
        <v>4.4399999999999998E-6</v>
      </c>
      <c r="AL721" s="55">
        <v>1.5699999999999999E-5</v>
      </c>
      <c r="AM721" s="55">
        <v>1.3200000000000001E-5</v>
      </c>
      <c r="AN721" s="51">
        <v>0.49066367100000002</v>
      </c>
    </row>
    <row r="722" spans="1:40" x14ac:dyDescent="0.35">
      <c r="A722" s="14" t="s">
        <v>204</v>
      </c>
      <c r="B722" s="14">
        <v>3</v>
      </c>
      <c r="C722" s="14">
        <v>80</v>
      </c>
      <c r="D722" s="14">
        <v>3373</v>
      </c>
      <c r="E722" s="50">
        <v>49.010798810057942</v>
      </c>
      <c r="F722" s="50">
        <v>0.81434163695513528</v>
      </c>
      <c r="G722" s="50">
        <v>8.7653009075558117</v>
      </c>
      <c r="H722" s="50">
        <v>26.072809591603228</v>
      </c>
      <c r="K722" s="50">
        <v>1.4530328731117089E-2</v>
      </c>
      <c r="L722" s="50">
        <v>46.658338879303962</v>
      </c>
      <c r="M722" s="50">
        <v>2.5986661451395826E-3</v>
      </c>
      <c r="N722" s="50">
        <v>7.7298575723697685E-3</v>
      </c>
      <c r="O722" s="51">
        <v>100.24098410000001</v>
      </c>
      <c r="P722" s="51">
        <v>2.1130109000000001E-2</v>
      </c>
      <c r="AG722" s="14" t="s">
        <v>224</v>
      </c>
      <c r="AH722" s="14" t="s">
        <v>223</v>
      </c>
      <c r="AI722" s="14" t="s">
        <v>224</v>
      </c>
      <c r="AJ722" s="55">
        <v>5.1600000000000001E-5</v>
      </c>
      <c r="AK722" s="55">
        <v>5.49E-6</v>
      </c>
      <c r="AL722" s="55">
        <v>1.88E-5</v>
      </c>
      <c r="AM722" s="55">
        <v>1.84E-5</v>
      </c>
      <c r="AN722" s="51">
        <v>0.65233287699999998</v>
      </c>
    </row>
    <row r="723" spans="1:40" x14ac:dyDescent="0.35">
      <c r="A723" s="14" t="s">
        <v>204</v>
      </c>
      <c r="B723" s="14">
        <v>3</v>
      </c>
      <c r="C723" s="14">
        <v>90</v>
      </c>
      <c r="D723" s="14">
        <v>3373</v>
      </c>
      <c r="E723" s="50">
        <v>43.038035503493951</v>
      </c>
      <c r="F723" s="50">
        <v>0.90299818538083498</v>
      </c>
      <c r="G723" s="50">
        <v>6.7585575384101322</v>
      </c>
      <c r="H723" s="50">
        <v>23.02157683565574</v>
      </c>
      <c r="K723" s="50">
        <v>1.2759571747255841E-2</v>
      </c>
      <c r="L723" s="50">
        <v>51.737984930293756</v>
      </c>
      <c r="M723" s="50">
        <v>2.0037229583190429E-3</v>
      </c>
      <c r="N723" s="50">
        <v>6.8252525454063863E-3</v>
      </c>
      <c r="O723" s="51">
        <v>112.8250831</v>
      </c>
      <c r="P723" s="51">
        <v>1.8932790000000001E-2</v>
      </c>
      <c r="AG723" s="14" t="s">
        <v>224</v>
      </c>
      <c r="AH723" s="14" t="s">
        <v>223</v>
      </c>
      <c r="AI723" s="14" t="s">
        <v>224</v>
      </c>
      <c r="AJ723" s="55">
        <v>3.8000000000000002E-5</v>
      </c>
      <c r="AK723" s="55">
        <v>3.8199999999999998E-6</v>
      </c>
      <c r="AL723" s="55">
        <v>1.17E-5</v>
      </c>
      <c r="AM723" s="55">
        <v>1.0100000000000001E-6</v>
      </c>
      <c r="AN723" s="51">
        <v>0.30274183500000001</v>
      </c>
    </row>
    <row r="724" spans="1:40" x14ac:dyDescent="0.35">
      <c r="A724" s="14" t="s">
        <v>205</v>
      </c>
      <c r="B724" s="14">
        <v>1</v>
      </c>
      <c r="C724" s="14">
        <v>20</v>
      </c>
      <c r="D724" s="14">
        <v>3815</v>
      </c>
      <c r="E724" s="45">
        <v>62.04</v>
      </c>
      <c r="F724" s="45">
        <v>1.37</v>
      </c>
      <c r="G724" s="45">
        <v>7.14</v>
      </c>
      <c r="H724" s="45">
        <v>46.54</v>
      </c>
      <c r="K724" s="45">
        <v>1.6299999999999999E-2</v>
      </c>
      <c r="L724" s="45">
        <v>78.322100000000006</v>
      </c>
      <c r="M724" s="45">
        <v>1.9E-3</v>
      </c>
      <c r="N724" s="45">
        <v>1.2200000000000001E-2</v>
      </c>
      <c r="O724" s="51">
        <v>69.24681966</v>
      </c>
      <c r="P724" s="51">
        <v>1.2199453000000001E-2</v>
      </c>
      <c r="AG724" s="14" t="s">
        <v>224</v>
      </c>
      <c r="AH724" s="14" t="s">
        <v>223</v>
      </c>
      <c r="AI724" s="14" t="s">
        <v>224</v>
      </c>
      <c r="AJ724" s="55">
        <v>5.3499999999999999E-5</v>
      </c>
      <c r="AK724" s="55">
        <v>4.5599999999999997E-5</v>
      </c>
      <c r="AL724" s="55">
        <v>4.2799999999999997E-5</v>
      </c>
      <c r="AM724" s="55">
        <v>4.1199999999999999E-5</v>
      </c>
      <c r="AN724" s="51">
        <v>0.84835091799999995</v>
      </c>
    </row>
    <row r="725" spans="1:40" x14ac:dyDescent="0.35">
      <c r="A725" s="14" t="s">
        <v>205</v>
      </c>
      <c r="B725" s="14">
        <v>1</v>
      </c>
      <c r="C725" s="14">
        <v>30</v>
      </c>
      <c r="D725" s="14">
        <v>3815</v>
      </c>
      <c r="E725" s="45">
        <v>76.33</v>
      </c>
      <c r="F725" s="45">
        <v>1.1299999999999999</v>
      </c>
      <c r="G725" s="45">
        <v>8.2200000000000006</v>
      </c>
      <c r="H725" s="45">
        <v>46.93</v>
      </c>
      <c r="K725" s="45">
        <v>0.02</v>
      </c>
      <c r="L725" s="45">
        <v>64.508899999999997</v>
      </c>
      <c r="M725" s="45">
        <v>2.2000000000000001E-3</v>
      </c>
      <c r="N725" s="45">
        <v>1.23E-2</v>
      </c>
      <c r="O725" s="51">
        <v>61.341012579999997</v>
      </c>
      <c r="P725" s="51">
        <v>1.2311152000000001E-2</v>
      </c>
      <c r="AG725" s="14" t="s">
        <v>224</v>
      </c>
      <c r="AH725" s="14" t="s">
        <v>223</v>
      </c>
      <c r="AI725" s="14" t="s">
        <v>224</v>
      </c>
      <c r="AJ725" s="55">
        <v>6.3700000000000003E-5</v>
      </c>
      <c r="AK725" s="55">
        <v>5.9500000000000003E-5</v>
      </c>
      <c r="AL725" s="55">
        <v>5.5300000000000002E-5</v>
      </c>
      <c r="AM725" s="55">
        <v>4.6400000000000003E-5</v>
      </c>
      <c r="AN725" s="51">
        <v>0.82536397100000003</v>
      </c>
    </row>
    <row r="726" spans="1:40" x14ac:dyDescent="0.35">
      <c r="A726" s="14" t="s">
        <v>205</v>
      </c>
      <c r="B726" s="14">
        <v>1</v>
      </c>
      <c r="C726" s="14">
        <v>40</v>
      </c>
      <c r="D726" s="14">
        <v>3815</v>
      </c>
      <c r="E726" s="45">
        <v>76.099999999999994</v>
      </c>
      <c r="F726" s="45">
        <v>1.25</v>
      </c>
      <c r="G726" s="45">
        <v>6.06</v>
      </c>
      <c r="H726" s="45">
        <v>49.81</v>
      </c>
      <c r="K726" s="45">
        <v>1.9900000000000001E-2</v>
      </c>
      <c r="L726" s="45">
        <v>71.577500000000001</v>
      </c>
      <c r="M726" s="45">
        <v>1.6000000000000001E-3</v>
      </c>
      <c r="N726" s="45">
        <v>1.3100000000000001E-2</v>
      </c>
      <c r="O726" s="51">
        <v>61.68285711</v>
      </c>
      <c r="P726" s="51">
        <v>1.3061596E-2</v>
      </c>
      <c r="AG726" s="14" t="s">
        <v>224</v>
      </c>
      <c r="AH726" s="14" t="s">
        <v>223</v>
      </c>
      <c r="AI726" s="14" t="s">
        <v>224</v>
      </c>
      <c r="AJ726" s="55">
        <v>7.1199999999999996E-5</v>
      </c>
      <c r="AK726" s="55">
        <v>5.91E-5</v>
      </c>
      <c r="AL726" s="55">
        <v>5.3199999999999999E-5</v>
      </c>
      <c r="AM726" s="55">
        <v>6.1199999999999997E-5</v>
      </c>
      <c r="AN726" s="51">
        <v>0.87843802000000004</v>
      </c>
    </row>
    <row r="727" spans="1:40" x14ac:dyDescent="0.35">
      <c r="A727" s="14" t="s">
        <v>205</v>
      </c>
      <c r="B727" s="14">
        <v>1</v>
      </c>
      <c r="C727" s="14">
        <v>50</v>
      </c>
      <c r="D727" s="14">
        <v>3815</v>
      </c>
      <c r="E727" s="45">
        <v>72.400000000000006</v>
      </c>
      <c r="F727" s="45">
        <v>1.23</v>
      </c>
      <c r="G727" s="45">
        <v>3.86</v>
      </c>
      <c r="H727" s="45">
        <v>51.55</v>
      </c>
      <c r="K727" s="45">
        <v>1.9E-2</v>
      </c>
      <c r="L727" s="45">
        <v>70.428799999999995</v>
      </c>
      <c r="M727" s="45">
        <v>1E-3</v>
      </c>
      <c r="N727" s="45">
        <v>1.35E-2</v>
      </c>
      <c r="O727" s="51">
        <v>71.198247859999995</v>
      </c>
      <c r="P727" s="51">
        <v>1.3515187999999999E-2</v>
      </c>
      <c r="AG727" s="14" t="s">
        <v>224</v>
      </c>
      <c r="AH727" s="14" t="s">
        <v>223</v>
      </c>
      <c r="AI727" s="14" t="s">
        <v>224</v>
      </c>
      <c r="AJ727" s="55">
        <v>6.3700000000000003E-5</v>
      </c>
      <c r="AK727" s="55">
        <v>6.4599999999999998E-5</v>
      </c>
      <c r="AL727" s="55">
        <v>5.4799999999999997E-5</v>
      </c>
      <c r="AM727" s="55">
        <v>6.3899999999999995E-5</v>
      </c>
      <c r="AN727" s="51">
        <v>0.92524835299999997</v>
      </c>
    </row>
    <row r="728" spans="1:40" x14ac:dyDescent="0.35">
      <c r="A728" s="14" t="s">
        <v>205</v>
      </c>
      <c r="B728" s="14">
        <v>1</v>
      </c>
      <c r="C728" s="14">
        <v>60</v>
      </c>
      <c r="D728" s="14">
        <v>3815</v>
      </c>
      <c r="E728" s="45">
        <v>72.91</v>
      </c>
      <c r="F728" s="45">
        <v>1.27</v>
      </c>
      <c r="G728" s="45">
        <v>2.44</v>
      </c>
      <c r="H728" s="45">
        <v>50.9</v>
      </c>
      <c r="K728" s="45">
        <v>1.9099999999999999E-2</v>
      </c>
      <c r="L728" s="45">
        <v>72.499399999999994</v>
      </c>
      <c r="M728" s="45">
        <v>5.9999999999999995E-4</v>
      </c>
      <c r="N728" s="45">
        <v>1.3299999999999999E-2</v>
      </c>
      <c r="O728" s="51">
        <v>67.280953220000001</v>
      </c>
      <c r="P728" s="51">
        <v>1.3360944E-2</v>
      </c>
      <c r="AG728" s="14" t="s">
        <v>224</v>
      </c>
      <c r="AH728" s="14" t="s">
        <v>223</v>
      </c>
      <c r="AI728" s="14" t="s">
        <v>224</v>
      </c>
      <c r="AJ728" s="55">
        <v>6.7000000000000002E-5</v>
      </c>
      <c r="AK728" s="55">
        <v>6.0600000000000003E-5</v>
      </c>
      <c r="AL728" s="55">
        <v>5.8199999999999998E-5</v>
      </c>
      <c r="AM728" s="55">
        <v>6.3399999999999996E-5</v>
      </c>
      <c r="AN728" s="51">
        <v>0.95210241500000004</v>
      </c>
    </row>
    <row r="729" spans="1:40" x14ac:dyDescent="0.35">
      <c r="A729" s="14" t="s">
        <v>205</v>
      </c>
      <c r="B729" s="14">
        <v>1</v>
      </c>
      <c r="C729" s="14">
        <v>70</v>
      </c>
      <c r="D729" s="14">
        <v>3815</v>
      </c>
      <c r="E729" s="45">
        <v>69.08</v>
      </c>
      <c r="F729" s="45">
        <v>1.19</v>
      </c>
      <c r="G729" s="45">
        <v>5.76</v>
      </c>
      <c r="H729" s="45">
        <v>39.880000000000003</v>
      </c>
      <c r="K729" s="45">
        <v>1.8100000000000002E-2</v>
      </c>
      <c r="L729" s="45">
        <v>68.217500000000001</v>
      </c>
      <c r="M729" s="45">
        <v>1.5E-3</v>
      </c>
      <c r="N729" s="45">
        <v>1.0500000000000001E-2</v>
      </c>
      <c r="O729" s="51">
        <v>53.230039179999999</v>
      </c>
      <c r="P729" s="51">
        <v>1.0453473E-2</v>
      </c>
      <c r="AG729" s="14" t="s">
        <v>224</v>
      </c>
      <c r="AH729" s="14" t="s">
        <v>223</v>
      </c>
      <c r="AI729" s="14" t="s">
        <v>224</v>
      </c>
      <c r="AJ729" s="55">
        <v>5.4500000000000003E-5</v>
      </c>
      <c r="AK729" s="55">
        <v>4.0200000000000001E-5</v>
      </c>
      <c r="AL729" s="55">
        <v>3.5500000000000002E-5</v>
      </c>
      <c r="AM729" s="55">
        <v>4.5500000000000001E-5</v>
      </c>
      <c r="AN729" s="51">
        <v>0.85593591800000002</v>
      </c>
    </row>
    <row r="730" spans="1:40" x14ac:dyDescent="0.35">
      <c r="A730" s="14" t="s">
        <v>205</v>
      </c>
      <c r="B730" s="14">
        <v>1</v>
      </c>
      <c r="C730" s="14">
        <v>80</v>
      </c>
      <c r="D730" s="14">
        <v>3815</v>
      </c>
      <c r="E730" s="45">
        <v>66.38</v>
      </c>
      <c r="F730" s="45">
        <v>1.1599999999999999</v>
      </c>
      <c r="G730" s="45">
        <v>4.7</v>
      </c>
      <c r="H730" s="45">
        <v>39.909999999999997</v>
      </c>
      <c r="K730" s="45">
        <v>1.7399999999999999E-2</v>
      </c>
      <c r="L730" s="45">
        <v>66.41</v>
      </c>
      <c r="M730" s="45">
        <v>1.1999999999999999E-3</v>
      </c>
      <c r="N730" s="45">
        <v>1.0500000000000001E-2</v>
      </c>
      <c r="O730" s="51">
        <v>57.809948439999999</v>
      </c>
      <c r="P730" s="51">
        <v>1.0465146E-2</v>
      </c>
      <c r="AG730" s="14" t="s">
        <v>224</v>
      </c>
      <c r="AH730" s="14" t="s">
        <v>223</v>
      </c>
      <c r="AI730" s="14" t="s">
        <v>224</v>
      </c>
      <c r="AJ730" s="55">
        <v>4.9499999999999997E-5</v>
      </c>
      <c r="AK730" s="55">
        <v>4.1499999999999999E-5</v>
      </c>
      <c r="AL730" s="55">
        <v>3.3500000000000001E-5</v>
      </c>
      <c r="AM730" s="55">
        <v>4.6900000000000002E-5</v>
      </c>
      <c r="AN730" s="51">
        <v>0.88252906200000003</v>
      </c>
    </row>
    <row r="731" spans="1:40" x14ac:dyDescent="0.35">
      <c r="A731" s="14" t="s">
        <v>205</v>
      </c>
      <c r="B731" s="14">
        <v>1</v>
      </c>
      <c r="C731" s="14">
        <v>90</v>
      </c>
      <c r="D731" s="14">
        <v>3815</v>
      </c>
      <c r="E731" s="45">
        <v>62.21</v>
      </c>
      <c r="F731" s="45">
        <v>1.08</v>
      </c>
      <c r="G731" s="45">
        <v>4.43</v>
      </c>
      <c r="H731" s="45">
        <v>36.33</v>
      </c>
      <c r="K731" s="45">
        <v>1.6299999999999999E-2</v>
      </c>
      <c r="L731" s="45">
        <v>61.935000000000002</v>
      </c>
      <c r="M731" s="45">
        <v>1.1999999999999999E-3</v>
      </c>
      <c r="N731" s="45">
        <v>9.4999999999999998E-3</v>
      </c>
      <c r="O731" s="51">
        <v>58.99073808</v>
      </c>
      <c r="P731" s="51">
        <v>9.5248360000000001E-3</v>
      </c>
      <c r="AG731" s="14" t="s">
        <v>224</v>
      </c>
      <c r="AH731" s="14" t="s">
        <v>223</v>
      </c>
      <c r="AI731" s="14" t="s">
        <v>224</v>
      </c>
      <c r="AJ731" s="55">
        <v>3.9900000000000001E-5</v>
      </c>
      <c r="AK731" s="55">
        <v>3.7700000000000002E-5</v>
      </c>
      <c r="AL731" s="55">
        <v>2.9099999999999999E-5</v>
      </c>
      <c r="AM731" s="55">
        <v>3.9100000000000002E-5</v>
      </c>
      <c r="AN731" s="51">
        <v>0.878547992</v>
      </c>
    </row>
    <row r="732" spans="1:40" x14ac:dyDescent="0.35">
      <c r="A732" s="14" t="s">
        <v>205</v>
      </c>
      <c r="B732" s="14">
        <v>2</v>
      </c>
      <c r="C732" s="14">
        <v>20</v>
      </c>
      <c r="D732" s="14">
        <v>3664</v>
      </c>
      <c r="E732" s="45">
        <v>72.14</v>
      </c>
      <c r="F732" s="45">
        <v>1.05</v>
      </c>
      <c r="G732" s="45">
        <v>6.21</v>
      </c>
      <c r="H732" s="45">
        <v>43.84</v>
      </c>
      <c r="K732" s="45">
        <v>1.9699999999999999E-2</v>
      </c>
      <c r="L732" s="45">
        <v>59.928199999999997</v>
      </c>
      <c r="M732" s="45">
        <v>1.6999999999999999E-3</v>
      </c>
      <c r="N732" s="45">
        <v>1.2E-2</v>
      </c>
      <c r="O732" s="51">
        <v>65.390552479999997</v>
      </c>
      <c r="P732" s="51">
        <v>1.1998955E-2</v>
      </c>
      <c r="AG732" s="14" t="s">
        <v>224</v>
      </c>
      <c r="AH732" s="14" t="s">
        <v>223</v>
      </c>
      <c r="AI732" s="14" t="s">
        <v>224</v>
      </c>
      <c r="AJ732" s="55">
        <v>5.5699999999999999E-5</v>
      </c>
      <c r="AK732" s="55">
        <v>6.2100000000000005E-5</v>
      </c>
      <c r="AL732" s="55">
        <v>4.74E-5</v>
      </c>
      <c r="AM732" s="55">
        <v>5.3699999999999997E-5</v>
      </c>
      <c r="AN732" s="51">
        <v>0.858421294</v>
      </c>
    </row>
    <row r="733" spans="1:40" x14ac:dyDescent="0.35">
      <c r="A733" s="14" t="s">
        <v>205</v>
      </c>
      <c r="B733" s="14">
        <v>2</v>
      </c>
      <c r="C733" s="14">
        <v>30</v>
      </c>
      <c r="D733" s="14">
        <v>3664</v>
      </c>
      <c r="E733" s="45">
        <v>74.94</v>
      </c>
      <c r="F733" s="45">
        <v>1.07</v>
      </c>
      <c r="G733" s="45">
        <v>3.68</v>
      </c>
      <c r="H733" s="45">
        <v>50.17</v>
      </c>
      <c r="K733" s="45">
        <v>2.0500000000000001E-2</v>
      </c>
      <c r="L733" s="45">
        <v>61.045299999999997</v>
      </c>
      <c r="M733" s="45">
        <v>1E-3</v>
      </c>
      <c r="N733" s="45">
        <v>1.37E-2</v>
      </c>
      <c r="O733" s="51">
        <v>75.992441299999996</v>
      </c>
      <c r="P733" s="51">
        <v>1.4071988000000001E-2</v>
      </c>
      <c r="AG733" s="14" t="s">
        <v>224</v>
      </c>
      <c r="AH733" s="14" t="s">
        <v>223</v>
      </c>
      <c r="AI733" s="14" t="s">
        <v>224</v>
      </c>
      <c r="AJ733" s="55">
        <v>6.1099999999999994E-5</v>
      </c>
      <c r="AK733" s="55">
        <v>7.8100000000000001E-5</v>
      </c>
      <c r="AL733" s="55">
        <v>6.7600000000000003E-5</v>
      </c>
      <c r="AM733" s="55">
        <v>6.1600000000000007E-5</v>
      </c>
      <c r="AN733" s="51">
        <v>0.92848474599999997</v>
      </c>
    </row>
    <row r="734" spans="1:40" x14ac:dyDescent="0.35">
      <c r="A734" s="14" t="s">
        <v>205</v>
      </c>
      <c r="B734" s="14">
        <v>2</v>
      </c>
      <c r="C734" s="14">
        <v>40</v>
      </c>
      <c r="D734" s="14">
        <v>3664</v>
      </c>
      <c r="E734" s="45">
        <v>75.400000000000006</v>
      </c>
      <c r="F734" s="45">
        <v>1.1000000000000001</v>
      </c>
      <c r="G734" s="45">
        <v>3.99</v>
      </c>
      <c r="H734" s="45">
        <v>51.55</v>
      </c>
      <c r="K734" s="45">
        <v>2.06E-2</v>
      </c>
      <c r="L734" s="45">
        <v>63.044400000000003</v>
      </c>
      <c r="M734" s="45">
        <v>1.1000000000000001E-3</v>
      </c>
      <c r="N734" s="45">
        <v>1.41E-2</v>
      </c>
      <c r="O734" s="51">
        <v>75.284927379999999</v>
      </c>
      <c r="P734" s="51">
        <v>1.4138194E-2</v>
      </c>
      <c r="AG734" s="14" t="s">
        <v>224</v>
      </c>
      <c r="AH734" s="14" t="s">
        <v>223</v>
      </c>
      <c r="AI734" s="14" t="s">
        <v>224</v>
      </c>
      <c r="AJ734" s="55">
        <v>6.4800000000000003E-5</v>
      </c>
      <c r="AK734" s="55">
        <v>8.0400000000000003E-5</v>
      </c>
      <c r="AL734" s="55">
        <v>6.3600000000000001E-5</v>
      </c>
      <c r="AM734" s="55">
        <v>7.0599999999999995E-5</v>
      </c>
      <c r="AN734" s="51">
        <v>0.92434591899999996</v>
      </c>
    </row>
    <row r="735" spans="1:40" x14ac:dyDescent="0.35">
      <c r="A735" s="14" t="s">
        <v>205</v>
      </c>
      <c r="B735" s="14">
        <v>2</v>
      </c>
      <c r="C735" s="14">
        <v>50</v>
      </c>
      <c r="D735" s="14">
        <v>3664</v>
      </c>
      <c r="E735" s="45">
        <v>76.14</v>
      </c>
      <c r="F735" s="45">
        <v>1.1299999999999999</v>
      </c>
      <c r="G735" s="45">
        <v>5.2</v>
      </c>
      <c r="H735" s="45">
        <v>52.28</v>
      </c>
      <c r="K735" s="45">
        <v>2.0799999999999999E-2</v>
      </c>
      <c r="L735" s="45">
        <v>64.493600000000001</v>
      </c>
      <c r="M735" s="45">
        <v>1.4E-3</v>
      </c>
      <c r="N735" s="45">
        <v>1.43E-2</v>
      </c>
      <c r="O735" s="51">
        <v>73.866994629999994</v>
      </c>
      <c r="P735" s="51">
        <v>1.4336008000000001E-2</v>
      </c>
      <c r="AG735" s="14" t="s">
        <v>224</v>
      </c>
      <c r="AH735" s="14" t="s">
        <v>223</v>
      </c>
      <c r="AI735" s="14" t="s">
        <v>224</v>
      </c>
      <c r="AJ735" s="55">
        <v>6.8300000000000007E-5</v>
      </c>
      <c r="AK735" s="55">
        <v>8.0199999999999998E-5</v>
      </c>
      <c r="AL735" s="55">
        <v>6.0999999999999999E-5</v>
      </c>
      <c r="AM735" s="55">
        <v>7.2899999999999997E-5</v>
      </c>
      <c r="AN735" s="51">
        <v>0.90116391799999995</v>
      </c>
    </row>
    <row r="736" spans="1:40" x14ac:dyDescent="0.35">
      <c r="A736" s="14" t="s">
        <v>205</v>
      </c>
      <c r="B736" s="14">
        <v>2</v>
      </c>
      <c r="C736" s="14">
        <v>60</v>
      </c>
      <c r="D736" s="14">
        <v>3664</v>
      </c>
      <c r="E736" s="45">
        <v>76.25</v>
      </c>
      <c r="F736" s="45">
        <v>1.24</v>
      </c>
      <c r="G736" s="45">
        <v>4.09</v>
      </c>
      <c r="H736" s="45">
        <v>55.55</v>
      </c>
      <c r="K736" s="45">
        <v>2.0799999999999999E-2</v>
      </c>
      <c r="L736" s="45">
        <v>70.966399999999993</v>
      </c>
      <c r="M736" s="45">
        <v>1.1000000000000001E-3</v>
      </c>
      <c r="N736" s="45">
        <v>1.52E-2</v>
      </c>
      <c r="O736" s="51">
        <v>72.229919719999998</v>
      </c>
      <c r="P736" s="51">
        <v>1.5191811E-2</v>
      </c>
      <c r="AG736" s="14" t="s">
        <v>224</v>
      </c>
      <c r="AH736" s="14" t="s">
        <v>223</v>
      </c>
      <c r="AI736" s="14" t="s">
        <v>224</v>
      </c>
      <c r="AJ736" s="55">
        <v>7.7799999999999994E-5</v>
      </c>
      <c r="AK736" s="55">
        <v>8.0400000000000003E-5</v>
      </c>
      <c r="AL736" s="55">
        <v>6.7600000000000003E-5</v>
      </c>
      <c r="AM736" s="55">
        <v>7.9099999999999998E-5</v>
      </c>
      <c r="AN736" s="51">
        <v>0.92689994899999995</v>
      </c>
    </row>
    <row r="737" spans="1:40" x14ac:dyDescent="0.35">
      <c r="A737" s="14" t="s">
        <v>205</v>
      </c>
      <c r="B737" s="14">
        <v>2</v>
      </c>
      <c r="C737" s="14">
        <v>70</v>
      </c>
      <c r="D737" s="14">
        <v>3664</v>
      </c>
      <c r="E737" s="45">
        <v>71.56</v>
      </c>
      <c r="F737" s="45">
        <v>1.08</v>
      </c>
      <c r="G737" s="45">
        <v>6.04</v>
      </c>
      <c r="H737" s="45">
        <v>48.25</v>
      </c>
      <c r="K737" s="45">
        <v>1.95E-2</v>
      </c>
      <c r="L737" s="45">
        <v>61.746600000000001</v>
      </c>
      <c r="M737" s="45">
        <v>1.6000000000000001E-3</v>
      </c>
      <c r="N737" s="45">
        <v>1.32E-2</v>
      </c>
      <c r="O737" s="51">
        <v>75.092909399999996</v>
      </c>
      <c r="P737" s="51">
        <v>1.3385517E-2</v>
      </c>
      <c r="AG737" s="14" t="s">
        <v>224</v>
      </c>
      <c r="AH737" s="14" t="s">
        <v>223</v>
      </c>
      <c r="AI737" s="14" t="s">
        <v>224</v>
      </c>
      <c r="AJ737" s="55">
        <v>5.8300000000000001E-5</v>
      </c>
      <c r="AK737" s="55">
        <v>7.08E-5</v>
      </c>
      <c r="AL737" s="55">
        <v>4.8399999999999997E-5</v>
      </c>
      <c r="AM737" s="55">
        <v>6.4700000000000001E-5</v>
      </c>
      <c r="AN737" s="51">
        <v>0.87687181300000006</v>
      </c>
    </row>
    <row r="738" spans="1:40" x14ac:dyDescent="0.35">
      <c r="A738" s="14" t="s">
        <v>205</v>
      </c>
      <c r="B738" s="14">
        <v>2</v>
      </c>
      <c r="C738" s="14">
        <v>80</v>
      </c>
      <c r="D738" s="14">
        <v>3664</v>
      </c>
      <c r="E738" s="45">
        <v>68.650000000000006</v>
      </c>
      <c r="F738" s="45">
        <v>1.1599999999999999</v>
      </c>
      <c r="G738" s="45">
        <v>3.87</v>
      </c>
      <c r="H738" s="45">
        <v>46.4</v>
      </c>
      <c r="K738" s="45">
        <v>1.8700000000000001E-2</v>
      </c>
      <c r="L738" s="45">
        <v>66.497200000000007</v>
      </c>
      <c r="M738" s="45">
        <v>1.1000000000000001E-3</v>
      </c>
      <c r="N738" s="45">
        <v>1.2699999999999999E-2</v>
      </c>
      <c r="O738" s="51">
        <v>68.435738950000001</v>
      </c>
      <c r="P738" s="51">
        <v>1.2700523999999999E-2</v>
      </c>
      <c r="AG738" s="14" t="s">
        <v>224</v>
      </c>
      <c r="AH738" s="14" t="s">
        <v>223</v>
      </c>
      <c r="AI738" s="14" t="s">
        <v>224</v>
      </c>
      <c r="AJ738" s="55">
        <v>5.8E-5</v>
      </c>
      <c r="AK738" s="55">
        <v>6.1099999999999994E-5</v>
      </c>
      <c r="AL738" s="55">
        <v>4.6300000000000001E-5</v>
      </c>
      <c r="AM738" s="55">
        <v>6.3200000000000005E-5</v>
      </c>
      <c r="AN738" s="51">
        <v>0.91928798599999995</v>
      </c>
    </row>
    <row r="739" spans="1:40" x14ac:dyDescent="0.35">
      <c r="A739" s="14" t="s">
        <v>205</v>
      </c>
      <c r="B739" s="14">
        <v>2</v>
      </c>
      <c r="C739" s="14">
        <v>90</v>
      </c>
      <c r="D739" s="14">
        <v>3664</v>
      </c>
      <c r="E739" s="45">
        <v>61.86</v>
      </c>
      <c r="F739" s="45">
        <v>1.1599999999999999</v>
      </c>
      <c r="G739" s="45">
        <v>3.59</v>
      </c>
      <c r="H739" s="45">
        <v>36.9</v>
      </c>
      <c r="K739" s="45">
        <v>1.6899999999999998E-2</v>
      </c>
      <c r="L739" s="45">
        <v>66.510000000000005</v>
      </c>
      <c r="M739" s="45">
        <v>1E-3</v>
      </c>
      <c r="N739" s="45">
        <v>1.01E-2</v>
      </c>
      <c r="O739" s="51">
        <v>56.78838073</v>
      </c>
      <c r="P739" s="51">
        <v>1.0083824E-2</v>
      </c>
      <c r="AG739" s="14" t="s">
        <v>224</v>
      </c>
      <c r="AH739" s="14" t="s">
        <v>223</v>
      </c>
      <c r="AI739" s="14" t="s">
        <v>224</v>
      </c>
      <c r="AJ739" s="55">
        <v>4.6400000000000003E-5</v>
      </c>
      <c r="AK739" s="55">
        <v>3.8600000000000003E-5</v>
      </c>
      <c r="AL739" s="55">
        <v>4.3300000000000002E-5</v>
      </c>
      <c r="AM739" s="55">
        <v>3.3399999999999999E-5</v>
      </c>
      <c r="AN739" s="51">
        <v>0.90239757099999995</v>
      </c>
    </row>
    <row r="740" spans="1:40" x14ac:dyDescent="0.35">
      <c r="A740" s="14" t="s">
        <v>205</v>
      </c>
      <c r="B740" s="14">
        <v>3</v>
      </c>
      <c r="C740" s="14">
        <v>20</v>
      </c>
      <c r="D740" s="14">
        <v>3544</v>
      </c>
      <c r="E740" s="49">
        <v>59.167780734112405</v>
      </c>
      <c r="F740" s="50">
        <v>1.4695725864717253</v>
      </c>
      <c r="G740" s="50">
        <v>6.9319999999999595</v>
      </c>
      <c r="H740" s="50">
        <v>44.397882404457086</v>
      </c>
      <c r="K740" s="50">
        <v>1.6695197724072349E-2</v>
      </c>
      <c r="L740" s="50">
        <v>84.200306892954075</v>
      </c>
      <c r="M740" s="50">
        <v>1.9559819413092435E-3</v>
      </c>
      <c r="N740" s="50">
        <v>1.2527619188616558E-2</v>
      </c>
      <c r="AG740" s="14" t="s">
        <v>224</v>
      </c>
      <c r="AH740" s="14" t="s">
        <v>223</v>
      </c>
      <c r="AI740" s="14" t="s">
        <v>224</v>
      </c>
    </row>
    <row r="741" spans="1:40" x14ac:dyDescent="0.35">
      <c r="A741" s="14" t="s">
        <v>205</v>
      </c>
      <c r="B741" s="14">
        <v>3</v>
      </c>
      <c r="C741" s="14">
        <v>30</v>
      </c>
      <c r="D741" s="14">
        <v>3544</v>
      </c>
      <c r="E741" s="49">
        <v>82.638350770087413</v>
      </c>
      <c r="F741" s="50">
        <v>1.1506518551455203</v>
      </c>
      <c r="G741" s="50">
        <v>7.3852389263990519</v>
      </c>
      <c r="H741" s="50">
        <v>49.141901631906727</v>
      </c>
      <c r="K741" s="50">
        <v>2.3317819066051754E-2</v>
      </c>
      <c r="L741" s="50">
        <v>65.927494988736868</v>
      </c>
      <c r="M741" s="50">
        <v>2.0838710288936376E-3</v>
      </c>
      <c r="N741" s="50">
        <v>1.3866225065436435E-2</v>
      </c>
      <c r="AG741" s="14" t="s">
        <v>224</v>
      </c>
      <c r="AH741" s="14" t="s">
        <v>223</v>
      </c>
      <c r="AI741" s="14" t="s">
        <v>224</v>
      </c>
    </row>
    <row r="742" spans="1:40" x14ac:dyDescent="0.35">
      <c r="A742" s="14" t="s">
        <v>205</v>
      </c>
      <c r="B742" s="14">
        <v>3</v>
      </c>
      <c r="C742" s="14">
        <v>40</v>
      </c>
      <c r="D742" s="14">
        <v>3544</v>
      </c>
      <c r="E742" s="49">
        <v>86.376107697672836</v>
      </c>
      <c r="F742" s="50">
        <v>1.2794596506244253</v>
      </c>
      <c r="G742" s="50">
        <v>7.4790647142540312</v>
      </c>
      <c r="H742" s="50">
        <v>53.212488834859045</v>
      </c>
      <c r="K742" s="50">
        <v>2.4372490885347865E-2</v>
      </c>
      <c r="L742" s="50">
        <v>73.307638038062422</v>
      </c>
      <c r="M742" s="50">
        <v>2.1103455739994443E-3</v>
      </c>
      <c r="N742" s="50">
        <v>1.5014810619316886E-2</v>
      </c>
      <c r="AG742" s="14" t="s">
        <v>224</v>
      </c>
      <c r="AH742" s="14" t="s">
        <v>223</v>
      </c>
      <c r="AI742" s="14" t="s">
        <v>224</v>
      </c>
    </row>
    <row r="743" spans="1:40" x14ac:dyDescent="0.35">
      <c r="A743" s="14" t="s">
        <v>205</v>
      </c>
      <c r="B743" s="14">
        <v>3</v>
      </c>
      <c r="C743" s="14">
        <v>50</v>
      </c>
      <c r="D743" s="14">
        <v>3544</v>
      </c>
      <c r="E743" s="49">
        <v>83.677837364501755</v>
      </c>
      <c r="F743" s="50">
        <v>1.2811331983477445</v>
      </c>
      <c r="G743" s="50">
        <v>7.9762072440477541</v>
      </c>
      <c r="H743" s="50">
        <v>52.979500658273487</v>
      </c>
      <c r="K743" s="50">
        <v>2.361112792452081E-2</v>
      </c>
      <c r="L743" s="50">
        <v>73.403525259422338</v>
      </c>
      <c r="M743" s="50">
        <v>2.2506228115258898E-3</v>
      </c>
      <c r="N743" s="50">
        <v>1.4949069034501548E-2</v>
      </c>
      <c r="AG743" s="14" t="s">
        <v>224</v>
      </c>
      <c r="AH743" s="14" t="s">
        <v>223</v>
      </c>
      <c r="AI743" s="14" t="s">
        <v>224</v>
      </c>
    </row>
    <row r="744" spans="1:40" x14ac:dyDescent="0.35">
      <c r="A744" s="14" t="s">
        <v>205</v>
      </c>
      <c r="B744" s="14">
        <v>3</v>
      </c>
      <c r="C744" s="14">
        <v>60</v>
      </c>
      <c r="D744" s="14">
        <v>3544</v>
      </c>
      <c r="E744" s="49">
        <v>81.558905743027239</v>
      </c>
      <c r="F744" s="50">
        <v>1.291844852080307</v>
      </c>
      <c r="G744" s="50">
        <v>9.2903888508500732</v>
      </c>
      <c r="H744" s="50">
        <v>50.792021125369679</v>
      </c>
      <c r="K744" s="50">
        <v>2.3013235254804525E-2</v>
      </c>
      <c r="L744" s="50">
        <v>74.017257809903711</v>
      </c>
      <c r="M744" s="50">
        <v>2.6214415493369279E-3</v>
      </c>
      <c r="N744" s="50">
        <v>1.4331834403321015E-2</v>
      </c>
      <c r="AG744" s="14" t="s">
        <v>224</v>
      </c>
      <c r="AH744" s="14" t="s">
        <v>223</v>
      </c>
      <c r="AI744" s="14" t="s">
        <v>224</v>
      </c>
    </row>
    <row r="745" spans="1:40" x14ac:dyDescent="0.35">
      <c r="A745" s="14" t="s">
        <v>205</v>
      </c>
      <c r="B745" s="14">
        <v>3</v>
      </c>
      <c r="C745" s="14">
        <v>70</v>
      </c>
      <c r="D745" s="14">
        <v>3544</v>
      </c>
      <c r="E745" s="49">
        <v>77.05335015429236</v>
      </c>
      <c r="F745" s="50">
        <v>1.2715228702473822</v>
      </c>
      <c r="G745" s="50">
        <v>9.0556146671553783</v>
      </c>
      <c r="H745" s="50">
        <v>46.899380433007877</v>
      </c>
      <c r="K745" s="50">
        <v>2.1741915957757436E-2</v>
      </c>
      <c r="L745" s="50">
        <v>72.852894019535583</v>
      </c>
      <c r="M745" s="50">
        <v>2.5551960121770255E-3</v>
      </c>
      <c r="N745" s="50">
        <v>1.3233459490126376E-2</v>
      </c>
      <c r="AG745" s="14" t="s">
        <v>224</v>
      </c>
      <c r="AH745" s="14" t="s">
        <v>223</v>
      </c>
      <c r="AI745" s="14" t="s">
        <v>224</v>
      </c>
    </row>
    <row r="746" spans="1:40" x14ac:dyDescent="0.35">
      <c r="A746" s="14" t="s">
        <v>205</v>
      </c>
      <c r="B746" s="14">
        <v>3</v>
      </c>
      <c r="C746" s="14">
        <v>80</v>
      </c>
      <c r="D746" s="14">
        <v>3544</v>
      </c>
      <c r="E746" s="49">
        <v>69.897708496058868</v>
      </c>
      <c r="F746" s="50">
        <v>1.2682523187485399</v>
      </c>
      <c r="G746" s="50">
        <v>7.7728937339963764</v>
      </c>
      <c r="H746" s="50">
        <v>41.752171260905726</v>
      </c>
      <c r="K746" s="50">
        <v>1.9722829711077559E-2</v>
      </c>
      <c r="L746" s="50">
        <v>72.665505221971742</v>
      </c>
      <c r="M746" s="50">
        <v>2.1932544396152305E-3</v>
      </c>
      <c r="N746" s="50">
        <v>1.1781086698901164E-2</v>
      </c>
      <c r="AG746" s="14" t="s">
        <v>224</v>
      </c>
      <c r="AH746" s="14" t="s">
        <v>223</v>
      </c>
      <c r="AI746" s="14" t="s">
        <v>224</v>
      </c>
    </row>
    <row r="747" spans="1:40" x14ac:dyDescent="0.35">
      <c r="A747" s="14" t="s">
        <v>205</v>
      </c>
      <c r="B747" s="14">
        <v>3</v>
      </c>
      <c r="C747" s="14">
        <v>90</v>
      </c>
      <c r="D747" s="14">
        <v>3544</v>
      </c>
      <c r="E747" s="49">
        <v>63.468272388650995</v>
      </c>
      <c r="F747" s="50">
        <v>1.3329712182300559</v>
      </c>
      <c r="G747" s="50">
        <v>7.131535879458224</v>
      </c>
      <c r="H747" s="50">
        <v>39.225037578057233</v>
      </c>
      <c r="K747" s="50">
        <v>1.7908654737204006E-2</v>
      </c>
      <c r="L747" s="50">
        <v>76.373625016994026</v>
      </c>
      <c r="M747" s="50">
        <v>2.0122843903663161E-3</v>
      </c>
      <c r="N747" s="50">
        <v>1.106801286062563E-2</v>
      </c>
      <c r="AG747" s="14" t="s">
        <v>224</v>
      </c>
      <c r="AH747" s="14" t="s">
        <v>223</v>
      </c>
      <c r="AI747" s="14" t="s">
        <v>224</v>
      </c>
    </row>
    <row r="748" spans="1:40" x14ac:dyDescent="0.35">
      <c r="A748" s="14" t="s">
        <v>206</v>
      </c>
      <c r="B748" s="14">
        <v>1</v>
      </c>
      <c r="C748" s="14">
        <v>20</v>
      </c>
      <c r="D748" s="14">
        <v>3480</v>
      </c>
      <c r="E748" s="45">
        <v>50.03</v>
      </c>
      <c r="F748" s="45">
        <v>1.23</v>
      </c>
      <c r="G748" s="45">
        <v>12.92</v>
      </c>
      <c r="H748" s="45">
        <v>38.61</v>
      </c>
      <c r="K748" s="45">
        <v>1.44E-2</v>
      </c>
      <c r="L748" s="45">
        <v>70.543599999999998</v>
      </c>
      <c r="M748" s="45">
        <v>3.7000000000000002E-3</v>
      </c>
      <c r="N748" s="45">
        <v>1.11E-2</v>
      </c>
      <c r="O748" s="51">
        <v>81.480160499999997</v>
      </c>
      <c r="P748" s="51">
        <v>1.1863841999999999E-2</v>
      </c>
      <c r="AG748" s="14" t="s">
        <v>223</v>
      </c>
      <c r="AH748" s="14" t="s">
        <v>223</v>
      </c>
      <c r="AI748" s="14" t="s">
        <v>224</v>
      </c>
      <c r="AJ748" s="55">
        <v>3.9199999999999997E-5</v>
      </c>
      <c r="AK748" s="55">
        <v>4.35E-5</v>
      </c>
      <c r="AL748" s="55">
        <v>2.1500000000000001E-5</v>
      </c>
      <c r="AM748" s="55">
        <v>3.5500000000000002E-5</v>
      </c>
      <c r="AN748" s="51">
        <v>0.69032332699999999</v>
      </c>
    </row>
    <row r="749" spans="1:40" x14ac:dyDescent="0.35">
      <c r="A749" s="14" t="s">
        <v>206</v>
      </c>
      <c r="B749" s="14">
        <v>1</v>
      </c>
      <c r="C749" s="14">
        <v>30</v>
      </c>
      <c r="D749" s="14">
        <v>3480</v>
      </c>
      <c r="E749" s="45">
        <v>49.16</v>
      </c>
      <c r="F749" s="45">
        <v>1.17</v>
      </c>
      <c r="G749" s="45">
        <v>9.1999999999999993</v>
      </c>
      <c r="H749" s="45">
        <v>36.619999999999997</v>
      </c>
      <c r="K749" s="45">
        <v>1.41E-2</v>
      </c>
      <c r="L749" s="45">
        <v>67.242699999999999</v>
      </c>
      <c r="M749" s="45">
        <v>2.5999999999999999E-3</v>
      </c>
      <c r="N749" s="45">
        <v>1.0500000000000001E-2</v>
      </c>
      <c r="O749" s="51">
        <v>79.547427470000002</v>
      </c>
      <c r="P749" s="51">
        <v>1.0686579999999999E-2</v>
      </c>
      <c r="AG749" s="14" t="s">
        <v>223</v>
      </c>
      <c r="AH749" s="14" t="s">
        <v>223</v>
      </c>
      <c r="AI749" s="14" t="s">
        <v>224</v>
      </c>
      <c r="AJ749" s="55">
        <v>3.3699999999999999E-5</v>
      </c>
      <c r="AK749" s="55">
        <v>4.1399999999999997E-5</v>
      </c>
      <c r="AL749" s="55">
        <v>2.4899999999999999E-5</v>
      </c>
      <c r="AM749" s="55">
        <v>3.1999999999999999E-5</v>
      </c>
      <c r="AN749" s="51">
        <v>0.75712155299999995</v>
      </c>
    </row>
    <row r="750" spans="1:40" x14ac:dyDescent="0.35">
      <c r="A750" s="14" t="s">
        <v>206</v>
      </c>
      <c r="B750" s="14">
        <v>1</v>
      </c>
      <c r="C750" s="14">
        <v>40</v>
      </c>
      <c r="D750" s="14">
        <v>3480</v>
      </c>
      <c r="E750" s="45">
        <v>44.45</v>
      </c>
      <c r="F750" s="45">
        <v>1.34</v>
      </c>
      <c r="G750" s="45">
        <v>14.43</v>
      </c>
      <c r="H750" s="45">
        <v>31.84</v>
      </c>
      <c r="K750" s="45">
        <v>1.2800000000000001E-2</v>
      </c>
      <c r="L750" s="45">
        <v>76.620900000000006</v>
      </c>
      <c r="M750" s="45">
        <v>4.1000000000000003E-3</v>
      </c>
      <c r="N750" s="45">
        <v>9.1000000000000004E-3</v>
      </c>
      <c r="O750" s="51">
        <v>66.264934159999996</v>
      </c>
      <c r="P750" s="51">
        <v>9.1518629999999997E-3</v>
      </c>
      <c r="AG750" s="14" t="s">
        <v>223</v>
      </c>
      <c r="AH750" s="14" t="s">
        <v>223</v>
      </c>
      <c r="AI750" s="14" t="s">
        <v>224</v>
      </c>
      <c r="AJ750" s="55">
        <v>3.1900000000000003E-5</v>
      </c>
      <c r="AK750" s="55">
        <v>2.65E-5</v>
      </c>
      <c r="AL750" s="55">
        <v>1.3900000000000001E-5</v>
      </c>
      <c r="AM750" s="55">
        <v>1.8099999999999999E-5</v>
      </c>
      <c r="AN750" s="51">
        <v>0.54679945600000002</v>
      </c>
    </row>
    <row r="751" spans="1:40" x14ac:dyDescent="0.35">
      <c r="A751" s="14" t="s">
        <v>206</v>
      </c>
      <c r="B751" s="14">
        <v>1</v>
      </c>
      <c r="C751" s="14">
        <v>50</v>
      </c>
      <c r="D751" s="14">
        <v>3480</v>
      </c>
      <c r="E751" s="45">
        <v>46.17</v>
      </c>
      <c r="F751" s="45">
        <v>1.1399999999999999</v>
      </c>
      <c r="G751" s="45">
        <v>13.14</v>
      </c>
      <c r="H751" s="45">
        <v>32.299999999999997</v>
      </c>
      <c r="K751" s="45">
        <v>1.3299999999999999E-2</v>
      </c>
      <c r="L751" s="45">
        <v>65.177800000000005</v>
      </c>
      <c r="M751" s="45">
        <v>3.8E-3</v>
      </c>
      <c r="N751" s="45">
        <v>9.2999999999999992E-3</v>
      </c>
      <c r="O751" s="51">
        <v>74.585815960000005</v>
      </c>
      <c r="P751" s="51">
        <v>9.2916720000000008E-3</v>
      </c>
      <c r="AG751" s="14" t="s">
        <v>223</v>
      </c>
      <c r="AH751" s="14" t="s">
        <v>223</v>
      </c>
      <c r="AI751" s="14" t="s">
        <v>224</v>
      </c>
      <c r="AJ751" s="55">
        <v>2.83E-5</v>
      </c>
      <c r="AK751" s="55">
        <v>3.3300000000000003E-5</v>
      </c>
      <c r="AL751" s="55">
        <v>1.6099999999999998E-5</v>
      </c>
      <c r="AM751" s="55">
        <v>2.09E-5</v>
      </c>
      <c r="AN751" s="51">
        <v>0.60027247299999997</v>
      </c>
    </row>
    <row r="752" spans="1:40" x14ac:dyDescent="0.35">
      <c r="A752" s="14" t="s">
        <v>206</v>
      </c>
      <c r="B752" s="14">
        <v>1</v>
      </c>
      <c r="C752" s="14">
        <v>60</v>
      </c>
      <c r="D752" s="14">
        <v>3480</v>
      </c>
      <c r="E752" s="45">
        <v>44.97</v>
      </c>
      <c r="F752" s="45">
        <v>1.24</v>
      </c>
      <c r="G752" s="45">
        <v>13.62</v>
      </c>
      <c r="H752" s="45">
        <v>32.74</v>
      </c>
      <c r="K752" s="45">
        <v>1.29E-2</v>
      </c>
      <c r="L752" s="45">
        <v>71.052099999999996</v>
      </c>
      <c r="M752" s="45">
        <v>3.8999999999999998E-3</v>
      </c>
      <c r="N752" s="45">
        <v>9.4000000000000004E-3</v>
      </c>
      <c r="O752" s="51">
        <v>72.896702439999999</v>
      </c>
      <c r="P752" s="51">
        <v>9.4163709999999998E-3</v>
      </c>
      <c r="AG752" s="14" t="s">
        <v>223</v>
      </c>
      <c r="AH752" s="14" t="s">
        <v>223</v>
      </c>
      <c r="AI752" s="14" t="s">
        <v>224</v>
      </c>
      <c r="AJ752" s="55">
        <v>2.9899999999999998E-5</v>
      </c>
      <c r="AK752" s="55">
        <v>3.1000000000000001E-5</v>
      </c>
      <c r="AL752" s="55">
        <v>1.66E-5</v>
      </c>
      <c r="AM752" s="55">
        <v>1.8899999999999999E-5</v>
      </c>
      <c r="AN752" s="51">
        <v>0.58381409500000003</v>
      </c>
    </row>
    <row r="753" spans="1:40" x14ac:dyDescent="0.35">
      <c r="A753" s="14" t="s">
        <v>206</v>
      </c>
      <c r="B753" s="14">
        <v>1</v>
      </c>
      <c r="C753" s="14">
        <v>70</v>
      </c>
      <c r="D753" s="14">
        <v>3480</v>
      </c>
      <c r="E753" s="45">
        <v>40.11</v>
      </c>
      <c r="F753" s="45">
        <v>1.28</v>
      </c>
      <c r="G753" s="45">
        <v>11.79</v>
      </c>
      <c r="H753" s="45">
        <v>30.3</v>
      </c>
      <c r="K753" s="45">
        <v>1.15E-2</v>
      </c>
      <c r="L753" s="45">
        <v>73.440600000000003</v>
      </c>
      <c r="M753" s="45">
        <v>3.3999999999999998E-3</v>
      </c>
      <c r="N753" s="45">
        <v>8.6999999999999994E-3</v>
      </c>
      <c r="O753" s="51">
        <v>74.572736030000002</v>
      </c>
      <c r="P753" s="51">
        <v>8.7407179999999998E-3</v>
      </c>
      <c r="AG753" s="14" t="s">
        <v>223</v>
      </c>
      <c r="AH753" s="14" t="s">
        <v>223</v>
      </c>
      <c r="AI753" s="14" t="s">
        <v>224</v>
      </c>
      <c r="AJ753" s="55">
        <v>2.51E-5</v>
      </c>
      <c r="AK753" s="55">
        <v>2.5199999999999999E-5</v>
      </c>
      <c r="AL753" s="55">
        <v>1.45E-5</v>
      </c>
      <c r="AM753" s="55">
        <v>1.6399999999999999E-5</v>
      </c>
      <c r="AN753" s="51">
        <v>0.613165933</v>
      </c>
    </row>
    <row r="754" spans="1:40" x14ac:dyDescent="0.35">
      <c r="A754" s="14" t="s">
        <v>206</v>
      </c>
      <c r="B754" s="14">
        <v>1</v>
      </c>
      <c r="C754" s="14">
        <v>80</v>
      </c>
      <c r="D754" s="14">
        <v>3480</v>
      </c>
      <c r="E754" s="45">
        <v>40.07</v>
      </c>
      <c r="F754" s="45">
        <v>1.27</v>
      </c>
      <c r="G754" s="45">
        <v>12.09</v>
      </c>
      <c r="H754" s="45">
        <v>29.3</v>
      </c>
      <c r="K754" s="45">
        <v>1.15E-2</v>
      </c>
      <c r="L754" s="45">
        <v>72.522300000000001</v>
      </c>
      <c r="M754" s="45">
        <v>3.5000000000000001E-3</v>
      </c>
      <c r="N754" s="45">
        <v>8.3999999999999995E-3</v>
      </c>
      <c r="O754" s="51">
        <v>71.182452380000001</v>
      </c>
      <c r="P754" s="51">
        <v>8.4188140000000002E-3</v>
      </c>
      <c r="AG754" s="14" t="s">
        <v>223</v>
      </c>
      <c r="AH754" s="14" t="s">
        <v>223</v>
      </c>
      <c r="AI754" s="14" t="s">
        <v>224</v>
      </c>
      <c r="AJ754" s="55">
        <v>2.4499999999999999E-5</v>
      </c>
      <c r="AK754" s="55">
        <v>2.4000000000000001E-5</v>
      </c>
      <c r="AL754" s="55">
        <v>9.5200000000000003E-6</v>
      </c>
      <c r="AM754" s="55">
        <v>1.9000000000000001E-5</v>
      </c>
      <c r="AN754" s="51">
        <v>0.58872672800000003</v>
      </c>
    </row>
    <row r="755" spans="1:40" x14ac:dyDescent="0.35">
      <c r="A755" s="14" t="s">
        <v>206</v>
      </c>
      <c r="B755" s="14">
        <v>1</v>
      </c>
      <c r="C755" s="14">
        <v>90</v>
      </c>
      <c r="D755" s="14">
        <v>3480</v>
      </c>
      <c r="E755" s="45">
        <v>34.450000000000003</v>
      </c>
      <c r="F755" s="45">
        <v>1.25</v>
      </c>
      <c r="G755" s="45">
        <v>4.6900000000000004</v>
      </c>
      <c r="H755" s="45">
        <v>23.02</v>
      </c>
      <c r="K755" s="45">
        <v>9.9000000000000008E-3</v>
      </c>
      <c r="L755" s="45">
        <v>71.736500000000007</v>
      </c>
      <c r="M755" s="45">
        <v>1.2999999999999999E-3</v>
      </c>
      <c r="N755" s="45">
        <v>6.6E-3</v>
      </c>
      <c r="O755" s="51">
        <v>63.44286477</v>
      </c>
      <c r="P755" s="51">
        <v>6.6150649999999998E-3</v>
      </c>
      <c r="AG755" s="14" t="s">
        <v>223</v>
      </c>
      <c r="AH755" s="14" t="s">
        <v>223</v>
      </c>
      <c r="AI755" s="14" t="s">
        <v>224</v>
      </c>
      <c r="AJ755" s="55">
        <v>1.77E-5</v>
      </c>
      <c r="AK755" s="55">
        <v>1.5099999999999999E-5</v>
      </c>
      <c r="AL755" s="55">
        <v>1.4E-5</v>
      </c>
      <c r="AM755" s="55">
        <v>1.2099999999999999E-5</v>
      </c>
      <c r="AN755" s="51">
        <v>0.79673503400000001</v>
      </c>
    </row>
    <row r="756" spans="1:40" x14ac:dyDescent="0.35">
      <c r="A756" s="14" t="s">
        <v>206</v>
      </c>
      <c r="B756" s="14">
        <v>2</v>
      </c>
      <c r="C756" s="14">
        <v>20</v>
      </c>
      <c r="D756" s="14">
        <v>4320</v>
      </c>
      <c r="E756" s="45">
        <v>72.150000000000006</v>
      </c>
      <c r="F756" s="45">
        <v>1.04</v>
      </c>
      <c r="G756" s="45">
        <v>4.79</v>
      </c>
      <c r="H756" s="45">
        <v>51.06</v>
      </c>
      <c r="K756" s="45">
        <v>1.67E-2</v>
      </c>
      <c r="L756" s="45">
        <v>59.316499999999998</v>
      </c>
      <c r="M756" s="45">
        <v>1.1000000000000001E-3</v>
      </c>
      <c r="N756" s="45">
        <v>1.18E-2</v>
      </c>
      <c r="O756" s="51">
        <v>85.664234480000005</v>
      </c>
      <c r="P756" s="51">
        <v>1.1829920000000001E-2</v>
      </c>
      <c r="AG756" s="14" t="s">
        <v>223</v>
      </c>
      <c r="AH756" s="14" t="s">
        <v>223</v>
      </c>
      <c r="AI756" s="14" t="s">
        <v>224</v>
      </c>
      <c r="AJ756" s="55">
        <v>3.7499999999999997E-5</v>
      </c>
      <c r="AK756" s="55">
        <v>6.1299999999999999E-5</v>
      </c>
      <c r="AL756" s="55">
        <v>3.9799999999999998E-5</v>
      </c>
      <c r="AM756" s="55">
        <v>4.9799999999999998E-5</v>
      </c>
      <c r="AN756" s="51">
        <v>0.90694442500000005</v>
      </c>
    </row>
    <row r="757" spans="1:40" x14ac:dyDescent="0.35">
      <c r="A757" s="14" t="s">
        <v>206</v>
      </c>
      <c r="B757" s="14">
        <v>2</v>
      </c>
      <c r="C757" s="14">
        <v>30</v>
      </c>
      <c r="D757" s="14">
        <v>4320</v>
      </c>
      <c r="E757" s="45">
        <v>76.16</v>
      </c>
      <c r="F757" s="45">
        <v>1.03</v>
      </c>
      <c r="G757" s="45">
        <v>6.86</v>
      </c>
      <c r="H757" s="45">
        <v>52.67</v>
      </c>
      <c r="K757" s="45">
        <v>1.7600000000000001E-2</v>
      </c>
      <c r="L757" s="45">
        <v>59.239199999999997</v>
      </c>
      <c r="M757" s="45">
        <v>1.6000000000000001E-3</v>
      </c>
      <c r="N757" s="45">
        <v>1.2200000000000001E-2</v>
      </c>
      <c r="O757" s="51">
        <v>82.866703689999994</v>
      </c>
      <c r="P757" s="51">
        <v>1.2218385E-2</v>
      </c>
      <c r="AG757" s="14" t="s">
        <v>223</v>
      </c>
      <c r="AH757" s="14" t="s">
        <v>223</v>
      </c>
      <c r="AI757" s="14" t="s">
        <v>224</v>
      </c>
      <c r="AJ757" s="55">
        <v>4.21E-5</v>
      </c>
      <c r="AK757" s="55">
        <v>6.5199999999999999E-5</v>
      </c>
      <c r="AL757" s="55">
        <v>4.5000000000000003E-5</v>
      </c>
      <c r="AM757" s="55">
        <v>4.8300000000000002E-5</v>
      </c>
      <c r="AN757" s="51">
        <v>0.86987283999999998</v>
      </c>
    </row>
    <row r="758" spans="1:40" x14ac:dyDescent="0.35">
      <c r="A758" s="14" t="s">
        <v>206</v>
      </c>
      <c r="B758" s="14">
        <v>2</v>
      </c>
      <c r="C758" s="14">
        <v>40</v>
      </c>
      <c r="D758" s="14">
        <v>4320</v>
      </c>
      <c r="E758" s="45">
        <v>73.400000000000006</v>
      </c>
      <c r="F758" s="45">
        <v>1.05</v>
      </c>
      <c r="G758" s="45">
        <v>6.06</v>
      </c>
      <c r="H758" s="45">
        <v>52.56</v>
      </c>
      <c r="K758" s="45">
        <v>1.7000000000000001E-2</v>
      </c>
      <c r="L758" s="45">
        <v>60.050800000000002</v>
      </c>
      <c r="M758" s="45">
        <v>1.4E-3</v>
      </c>
      <c r="N758" s="45">
        <v>1.2200000000000001E-2</v>
      </c>
      <c r="O758" s="51">
        <v>86.397128190000004</v>
      </c>
      <c r="P758" s="51">
        <v>1.2200172E-2</v>
      </c>
      <c r="AG758" s="14" t="s">
        <v>223</v>
      </c>
      <c r="AH758" s="14" t="s">
        <v>223</v>
      </c>
      <c r="AI758" s="14" t="s">
        <v>224</v>
      </c>
      <c r="AJ758" s="55">
        <v>3.96E-5</v>
      </c>
      <c r="AK758" s="55">
        <v>6.3999999999999997E-5</v>
      </c>
      <c r="AL758" s="55">
        <v>4.6799999999999999E-5</v>
      </c>
      <c r="AM758" s="55">
        <v>4.49E-5</v>
      </c>
      <c r="AN758" s="51">
        <v>0.88528857699999997</v>
      </c>
    </row>
    <row r="759" spans="1:40" x14ac:dyDescent="0.35">
      <c r="A759" s="14" t="s">
        <v>206</v>
      </c>
      <c r="B759" s="14">
        <v>2</v>
      </c>
      <c r="C759" s="14">
        <v>50</v>
      </c>
      <c r="D759" s="14">
        <v>4320</v>
      </c>
      <c r="E759" s="45">
        <v>68.19</v>
      </c>
      <c r="F759" s="45">
        <v>1.1399999999999999</v>
      </c>
      <c r="G759" s="45">
        <v>6.43</v>
      </c>
      <c r="H759" s="45">
        <v>52.32</v>
      </c>
      <c r="K759" s="45">
        <v>1.5800000000000002E-2</v>
      </c>
      <c r="L759" s="45">
        <v>65.343999999999994</v>
      </c>
      <c r="M759" s="45">
        <v>1.5E-3</v>
      </c>
      <c r="N759" s="45">
        <v>1.21E-2</v>
      </c>
      <c r="O759" s="51">
        <v>87.36139532</v>
      </c>
      <c r="P759" s="51">
        <v>1.2112173E-2</v>
      </c>
      <c r="AG759" s="14" t="s">
        <v>223</v>
      </c>
      <c r="AH759" s="14" t="s">
        <v>223</v>
      </c>
      <c r="AI759" s="14" t="s">
        <v>224</v>
      </c>
      <c r="AJ759" s="55">
        <v>3.8399999999999998E-5</v>
      </c>
      <c r="AK759" s="55">
        <v>5.7200000000000001E-5</v>
      </c>
      <c r="AL759" s="55">
        <v>4.0099999999999999E-5</v>
      </c>
      <c r="AM759" s="55">
        <v>4.3699999999999998E-5</v>
      </c>
      <c r="AN759" s="51">
        <v>0.87711104399999995</v>
      </c>
    </row>
    <row r="760" spans="1:40" x14ac:dyDescent="0.35">
      <c r="A760" s="14" t="s">
        <v>206</v>
      </c>
      <c r="B760" s="14">
        <v>2</v>
      </c>
      <c r="C760" s="14">
        <v>60</v>
      </c>
      <c r="D760" s="14">
        <v>4320</v>
      </c>
      <c r="E760" s="45">
        <v>68.66</v>
      </c>
      <c r="F760" s="45">
        <v>1.03</v>
      </c>
      <c r="G760" s="45">
        <v>6.75</v>
      </c>
      <c r="H760" s="45">
        <v>49.6</v>
      </c>
      <c r="K760" s="45">
        <v>1.5900000000000001E-2</v>
      </c>
      <c r="L760" s="45">
        <v>59.300199999999997</v>
      </c>
      <c r="M760" s="45">
        <v>1.6000000000000001E-3</v>
      </c>
      <c r="N760" s="45">
        <v>1.15E-2</v>
      </c>
      <c r="O760" s="51">
        <v>89.161335260000001</v>
      </c>
      <c r="P760" s="51">
        <v>1.1483889000000001E-2</v>
      </c>
      <c r="AG760" s="14" t="s">
        <v>223</v>
      </c>
      <c r="AH760" s="14" t="s">
        <v>223</v>
      </c>
      <c r="AI760" s="14" t="s">
        <v>224</v>
      </c>
      <c r="AJ760" s="55">
        <v>3.3399999999999999E-5</v>
      </c>
      <c r="AK760" s="55">
        <v>5.7800000000000002E-5</v>
      </c>
      <c r="AL760" s="55">
        <v>3.65E-5</v>
      </c>
      <c r="AM760" s="55">
        <v>4.2299999999999998E-5</v>
      </c>
      <c r="AN760" s="51">
        <v>0.86463632800000001</v>
      </c>
    </row>
    <row r="761" spans="1:40" x14ac:dyDescent="0.35">
      <c r="A761" s="14" t="s">
        <v>206</v>
      </c>
      <c r="B761" s="14">
        <v>2</v>
      </c>
      <c r="C761" s="14">
        <v>70</v>
      </c>
      <c r="D761" s="14">
        <v>4320</v>
      </c>
      <c r="E761" s="45">
        <v>66.64</v>
      </c>
      <c r="F761" s="45">
        <v>1.07</v>
      </c>
      <c r="G761" s="45">
        <v>8.4499999999999993</v>
      </c>
      <c r="H761" s="45">
        <v>49.5</v>
      </c>
      <c r="K761" s="45">
        <v>1.54E-2</v>
      </c>
      <c r="L761" s="45">
        <v>61.028100000000002</v>
      </c>
      <c r="M761" s="45">
        <v>2E-3</v>
      </c>
      <c r="N761" s="45">
        <v>1.15E-2</v>
      </c>
      <c r="O761" s="51">
        <v>89.613398459999999</v>
      </c>
      <c r="P761" s="51">
        <v>1.1464165E-2</v>
      </c>
      <c r="AG761" s="14" t="s">
        <v>223</v>
      </c>
      <c r="AH761" s="14" t="s">
        <v>223</v>
      </c>
      <c r="AI761" s="14" t="s">
        <v>224</v>
      </c>
      <c r="AJ761" s="55">
        <v>3.2700000000000002E-5</v>
      </c>
      <c r="AK761" s="55">
        <v>5.5600000000000003E-5</v>
      </c>
      <c r="AL761" s="55">
        <v>3.18E-5</v>
      </c>
      <c r="AM761" s="55">
        <v>4.1499999999999999E-5</v>
      </c>
      <c r="AN761" s="51">
        <v>0.82935189499999995</v>
      </c>
    </row>
    <row r="762" spans="1:40" x14ac:dyDescent="0.35">
      <c r="A762" s="14" t="s">
        <v>206</v>
      </c>
      <c r="B762" s="14">
        <v>2</v>
      </c>
      <c r="C762" s="14">
        <v>80</v>
      </c>
      <c r="D762" s="14">
        <v>4320</v>
      </c>
      <c r="E762" s="45">
        <v>62.81</v>
      </c>
      <c r="F762" s="45">
        <v>0.99</v>
      </c>
      <c r="G762" s="45">
        <v>8.67</v>
      </c>
      <c r="H762" s="45">
        <v>41.37</v>
      </c>
      <c r="K762" s="45">
        <v>1.4500000000000001E-2</v>
      </c>
      <c r="L762" s="45">
        <v>56.596499999999999</v>
      </c>
      <c r="M762" s="45">
        <v>2E-3</v>
      </c>
      <c r="N762" s="45">
        <v>9.5999999999999992E-3</v>
      </c>
      <c r="O762" s="51">
        <v>80.480075929999998</v>
      </c>
      <c r="P762" s="51">
        <v>9.5780069999999995E-3</v>
      </c>
      <c r="AG762" s="14" t="s">
        <v>223</v>
      </c>
      <c r="AH762" s="14" t="s">
        <v>223</v>
      </c>
      <c r="AI762" s="14" t="s">
        <v>224</v>
      </c>
      <c r="AJ762" s="55">
        <v>2.6999999999999999E-5</v>
      </c>
      <c r="AK762" s="55">
        <v>4.2599999999999999E-5</v>
      </c>
      <c r="AL762" s="55">
        <v>2.8799999999999999E-5</v>
      </c>
      <c r="AM762" s="55">
        <v>2.6299999999999999E-5</v>
      </c>
      <c r="AN762" s="51">
        <v>0.79233904899999996</v>
      </c>
    </row>
    <row r="763" spans="1:40" x14ac:dyDescent="0.35">
      <c r="A763" s="14" t="s">
        <v>206</v>
      </c>
      <c r="B763" s="14">
        <v>2</v>
      </c>
      <c r="C763" s="14">
        <v>90</v>
      </c>
      <c r="D763" s="14">
        <v>4320</v>
      </c>
      <c r="E763" s="45">
        <v>56.31</v>
      </c>
      <c r="F763" s="45">
        <v>0.97</v>
      </c>
      <c r="G763" s="45">
        <v>6.18</v>
      </c>
      <c r="H763" s="45">
        <v>36.1</v>
      </c>
      <c r="K763" s="45">
        <v>1.2999999999999999E-2</v>
      </c>
      <c r="L763" s="45">
        <v>55.357599999999998</v>
      </c>
      <c r="M763" s="45">
        <v>1.4E-3</v>
      </c>
      <c r="N763" s="45">
        <v>8.3999999999999995E-3</v>
      </c>
      <c r="O763" s="51">
        <v>78.735754760000006</v>
      </c>
      <c r="P763" s="51">
        <v>8.3987550000000008E-3</v>
      </c>
      <c r="AG763" s="14" t="s">
        <v>223</v>
      </c>
      <c r="AH763" s="14" t="s">
        <v>223</v>
      </c>
      <c r="AI763" s="14" t="s">
        <v>224</v>
      </c>
      <c r="AJ763" s="55">
        <v>2.1399999999999998E-5</v>
      </c>
      <c r="AK763" s="55">
        <v>3.3300000000000003E-5</v>
      </c>
      <c r="AL763" s="55">
        <v>2.4600000000000002E-5</v>
      </c>
      <c r="AM763" s="55">
        <v>2.0699999999999998E-5</v>
      </c>
      <c r="AN763" s="51">
        <v>0.82948363800000002</v>
      </c>
    </row>
    <row r="764" spans="1:40" x14ac:dyDescent="0.35">
      <c r="A764" s="14" t="s">
        <v>206</v>
      </c>
      <c r="B764" s="14">
        <v>3</v>
      </c>
      <c r="C764" s="14">
        <v>20</v>
      </c>
      <c r="D764" s="14">
        <v>4011</v>
      </c>
      <c r="E764" s="45">
        <v>60.4</v>
      </c>
      <c r="F764" s="45">
        <v>0.91</v>
      </c>
      <c r="G764" s="45">
        <v>5.63</v>
      </c>
      <c r="H764" s="45">
        <v>36.549999999999997</v>
      </c>
      <c r="K764" s="45">
        <v>1.5100000000000001E-2</v>
      </c>
      <c r="L764" s="45">
        <v>51.952800000000003</v>
      </c>
      <c r="M764" s="45">
        <v>1.4E-3</v>
      </c>
      <c r="N764" s="45">
        <v>9.1000000000000004E-3</v>
      </c>
      <c r="O764" s="51">
        <v>77.369577250000006</v>
      </c>
      <c r="P764" s="51">
        <v>9.2505299999999999E-3</v>
      </c>
      <c r="AG764" s="14" t="s">
        <v>223</v>
      </c>
      <c r="AH764" s="14" t="s">
        <v>223</v>
      </c>
      <c r="AI764" s="14" t="s">
        <v>224</v>
      </c>
      <c r="AJ764" s="55">
        <v>2.6599999999999999E-5</v>
      </c>
      <c r="AK764" s="55">
        <v>4.1999999999999998E-5</v>
      </c>
      <c r="AL764" s="55">
        <v>2.9300000000000001E-5</v>
      </c>
      <c r="AM764" s="55">
        <v>2.9E-5</v>
      </c>
      <c r="AN764" s="51">
        <v>0.84981043000000001</v>
      </c>
    </row>
    <row r="765" spans="1:40" x14ac:dyDescent="0.35">
      <c r="A765" s="14" t="s">
        <v>206</v>
      </c>
      <c r="B765" s="14">
        <v>3</v>
      </c>
      <c r="C765" s="14">
        <v>30</v>
      </c>
      <c r="D765" s="14">
        <v>4011</v>
      </c>
      <c r="E765" s="45">
        <v>56.61</v>
      </c>
      <c r="F765" s="45">
        <v>0.98</v>
      </c>
      <c r="G765" s="45">
        <v>5.41</v>
      </c>
      <c r="H765" s="45">
        <v>39.58</v>
      </c>
      <c r="K765" s="45">
        <v>1.41E-2</v>
      </c>
      <c r="L765" s="45">
        <v>56.389600000000002</v>
      </c>
      <c r="M765" s="45">
        <v>1.2999999999999999E-3</v>
      </c>
      <c r="N765" s="45">
        <v>9.9000000000000008E-3</v>
      </c>
      <c r="O765" s="51">
        <v>90.280238159999996</v>
      </c>
      <c r="P765" s="51">
        <v>9.8917069999999996E-3</v>
      </c>
      <c r="AG765" s="14" t="s">
        <v>223</v>
      </c>
      <c r="AH765" s="14" t="s">
        <v>223</v>
      </c>
      <c r="AI765" s="14" t="s">
        <v>224</v>
      </c>
      <c r="AJ765" s="55">
        <v>2.4300000000000001E-5</v>
      </c>
      <c r="AK765" s="55">
        <v>4.5399999999999999E-5</v>
      </c>
      <c r="AL765" s="55">
        <v>2.83E-5</v>
      </c>
      <c r="AM765" s="55">
        <v>3.1900000000000003E-5</v>
      </c>
      <c r="AN765" s="51">
        <v>0.86426825500000004</v>
      </c>
    </row>
    <row r="766" spans="1:40" x14ac:dyDescent="0.35">
      <c r="A766" s="14" t="s">
        <v>206</v>
      </c>
      <c r="B766" s="14">
        <v>3</v>
      </c>
      <c r="C766" s="14">
        <v>40</v>
      </c>
      <c r="D766" s="14">
        <v>4011</v>
      </c>
      <c r="E766" s="45">
        <v>56.07</v>
      </c>
      <c r="F766" s="45">
        <v>0.98</v>
      </c>
      <c r="G766" s="45">
        <v>6.49</v>
      </c>
      <c r="H766" s="45">
        <v>37.299999999999997</v>
      </c>
      <c r="K766" s="45">
        <v>1.4E-2</v>
      </c>
      <c r="L766" s="45">
        <v>56.204999999999998</v>
      </c>
      <c r="M766" s="45">
        <v>1.6000000000000001E-3</v>
      </c>
      <c r="N766" s="45">
        <v>9.2999999999999992E-3</v>
      </c>
      <c r="O766" s="51">
        <v>82.468432280000002</v>
      </c>
      <c r="P766" s="51">
        <v>9.3013420000000006E-3</v>
      </c>
      <c r="AG766" s="14" t="s">
        <v>223</v>
      </c>
      <c r="AH766" s="14" t="s">
        <v>223</v>
      </c>
      <c r="AI766" s="14" t="s">
        <v>224</v>
      </c>
      <c r="AJ766" s="55">
        <v>2.4600000000000002E-5</v>
      </c>
      <c r="AK766" s="55">
        <v>4.0299999999999997E-5</v>
      </c>
      <c r="AL766" s="55">
        <v>2.5199999999999999E-5</v>
      </c>
      <c r="AM766" s="55">
        <v>2.8500000000000002E-5</v>
      </c>
      <c r="AN766" s="51">
        <v>0.82634270600000004</v>
      </c>
    </row>
    <row r="767" spans="1:40" x14ac:dyDescent="0.35">
      <c r="A767" s="14" t="s">
        <v>206</v>
      </c>
      <c r="B767" s="14">
        <v>3</v>
      </c>
      <c r="C767" s="14">
        <v>50</v>
      </c>
      <c r="D767" s="14">
        <v>4011</v>
      </c>
      <c r="E767" s="45">
        <v>50.63</v>
      </c>
      <c r="F767" s="45">
        <v>1.19</v>
      </c>
      <c r="G767" s="45">
        <v>2.79</v>
      </c>
      <c r="H767" s="45">
        <v>37.03</v>
      </c>
      <c r="K767" s="45">
        <v>1.26E-2</v>
      </c>
      <c r="L767" s="45">
        <v>68.058300000000003</v>
      </c>
      <c r="M767" s="45">
        <v>6.9999999999999999E-4</v>
      </c>
      <c r="N767" s="45">
        <v>9.1999999999999998E-3</v>
      </c>
      <c r="O767" s="51">
        <v>76.976363930000005</v>
      </c>
      <c r="P767" s="51">
        <v>9.2408300000000002E-3</v>
      </c>
      <c r="AG767" s="14" t="s">
        <v>223</v>
      </c>
      <c r="AH767" s="14" t="s">
        <v>223</v>
      </c>
      <c r="AI767" s="14" t="s">
        <v>224</v>
      </c>
      <c r="AJ767" s="55">
        <v>2.6599999999999999E-5</v>
      </c>
      <c r="AK767" s="55">
        <v>3.15E-5</v>
      </c>
      <c r="AL767" s="55">
        <v>2.4600000000000002E-5</v>
      </c>
      <c r="AM767" s="55">
        <v>2.9200000000000002E-5</v>
      </c>
      <c r="AN767" s="51">
        <v>0.92454656099999999</v>
      </c>
    </row>
    <row r="768" spans="1:40" x14ac:dyDescent="0.35">
      <c r="A768" s="14" t="s">
        <v>206</v>
      </c>
      <c r="B768" s="14">
        <v>3</v>
      </c>
      <c r="C768" s="14">
        <v>60</v>
      </c>
      <c r="D768" s="14">
        <v>4011</v>
      </c>
      <c r="E768" s="45">
        <v>51.45</v>
      </c>
      <c r="F768" s="45">
        <v>1.04</v>
      </c>
      <c r="G768" s="45">
        <v>6.1</v>
      </c>
      <c r="H768" s="45">
        <v>37</v>
      </c>
      <c r="K768" s="45">
        <v>1.2800000000000001E-2</v>
      </c>
      <c r="L768" s="45">
        <v>59.841000000000001</v>
      </c>
      <c r="M768" s="45">
        <v>1.5E-3</v>
      </c>
      <c r="N768" s="45">
        <v>9.1999999999999998E-3</v>
      </c>
      <c r="O768" s="51">
        <v>87.114772180000003</v>
      </c>
      <c r="P768" s="51">
        <v>9.2249289999999998E-3</v>
      </c>
      <c r="AG768" s="14" t="s">
        <v>223</v>
      </c>
      <c r="AH768" s="14" t="s">
        <v>223</v>
      </c>
      <c r="AI768" s="14" t="s">
        <v>224</v>
      </c>
      <c r="AJ768" s="55">
        <v>2.23E-5</v>
      </c>
      <c r="AK768" s="55">
        <v>3.6900000000000002E-5</v>
      </c>
      <c r="AL768" s="55">
        <v>2.0800000000000001E-5</v>
      </c>
      <c r="AM768" s="55">
        <v>2.8600000000000001E-5</v>
      </c>
      <c r="AN768" s="51">
        <v>0.83487022700000002</v>
      </c>
    </row>
    <row r="769" spans="1:40" x14ac:dyDescent="0.35">
      <c r="A769" s="14" t="s">
        <v>206</v>
      </c>
      <c r="B769" s="14">
        <v>3</v>
      </c>
      <c r="C769" s="14">
        <v>70</v>
      </c>
      <c r="D769" s="14">
        <v>4011</v>
      </c>
      <c r="E769" s="45">
        <v>47.06</v>
      </c>
      <c r="F769" s="45">
        <v>1.03</v>
      </c>
      <c r="G769" s="45">
        <v>4.68</v>
      </c>
      <c r="H769" s="45">
        <v>34.46</v>
      </c>
      <c r="K769" s="45">
        <v>1.17E-2</v>
      </c>
      <c r="L769" s="45">
        <v>58.852899999999998</v>
      </c>
      <c r="M769" s="45">
        <v>1.1999999999999999E-3</v>
      </c>
      <c r="N769" s="45">
        <v>8.6E-3</v>
      </c>
      <c r="O769" s="51">
        <v>90.982191259999993</v>
      </c>
      <c r="P769" s="51">
        <v>8.5939129999999999E-3</v>
      </c>
      <c r="AG769" s="14" t="s">
        <v>223</v>
      </c>
      <c r="AH769" s="14" t="s">
        <v>223</v>
      </c>
      <c r="AI769" s="14" t="s">
        <v>224</v>
      </c>
      <c r="AJ769" s="55">
        <v>1.8E-5</v>
      </c>
      <c r="AK769" s="55">
        <v>3.2400000000000001E-5</v>
      </c>
      <c r="AL769" s="55">
        <v>1.77E-5</v>
      </c>
      <c r="AM769" s="55">
        <v>2.58E-5</v>
      </c>
      <c r="AN769" s="51">
        <v>0.86421555500000002</v>
      </c>
    </row>
    <row r="770" spans="1:40" x14ac:dyDescent="0.35">
      <c r="A770" s="14" t="s">
        <v>206</v>
      </c>
      <c r="B770" s="14">
        <v>3</v>
      </c>
      <c r="C770" s="14">
        <v>80</v>
      </c>
      <c r="D770" s="14">
        <v>4011</v>
      </c>
      <c r="E770" s="45">
        <v>43.9</v>
      </c>
      <c r="F770" s="45">
        <v>0.92</v>
      </c>
      <c r="G770" s="45">
        <v>4.83</v>
      </c>
      <c r="H770" s="45">
        <v>28.61</v>
      </c>
      <c r="K770" s="45">
        <v>1.09E-2</v>
      </c>
      <c r="L770" s="45">
        <v>52.634599999999999</v>
      </c>
      <c r="M770" s="45">
        <v>1.1999999999999999E-3</v>
      </c>
      <c r="N770" s="45">
        <v>7.1000000000000004E-3</v>
      </c>
      <c r="O770" s="51">
        <v>86.918878129999996</v>
      </c>
      <c r="P770" s="51">
        <v>7.1485400000000001E-3</v>
      </c>
      <c r="AG770" s="14" t="s">
        <v>223</v>
      </c>
      <c r="AH770" s="14" t="s">
        <v>223</v>
      </c>
      <c r="AI770" s="14" t="s">
        <v>224</v>
      </c>
      <c r="AJ770" s="55">
        <v>1.33E-5</v>
      </c>
      <c r="AK770" s="55">
        <v>2.55E-5</v>
      </c>
      <c r="AL770" s="55">
        <v>1.6200000000000001E-5</v>
      </c>
      <c r="AM770" s="55">
        <v>1.6099999999999998E-5</v>
      </c>
      <c r="AN770" s="51">
        <v>0.83383172699999997</v>
      </c>
    </row>
    <row r="771" spans="1:40" x14ac:dyDescent="0.35">
      <c r="A771" s="14" t="s">
        <v>206</v>
      </c>
      <c r="B771" s="14">
        <v>3</v>
      </c>
      <c r="C771" s="14">
        <v>90</v>
      </c>
      <c r="D771" s="14">
        <v>4011</v>
      </c>
      <c r="E771" s="45">
        <v>37.96</v>
      </c>
      <c r="F771" s="45">
        <v>0.94</v>
      </c>
      <c r="G771" s="45">
        <v>3.51</v>
      </c>
      <c r="H771" s="45">
        <v>24.82</v>
      </c>
      <c r="K771" s="45">
        <v>9.4999999999999998E-3</v>
      </c>
      <c r="L771" s="45">
        <v>53.632399999999997</v>
      </c>
      <c r="M771" s="45">
        <v>8.9999999999999998E-4</v>
      </c>
      <c r="N771" s="45">
        <v>6.1999999999999998E-3</v>
      </c>
      <c r="O771" s="51">
        <v>85.557321869999996</v>
      </c>
      <c r="P771" s="51">
        <v>6.2173539999999996E-3</v>
      </c>
      <c r="AG771" s="14" t="s">
        <v>223</v>
      </c>
      <c r="AH771" s="14" t="s">
        <v>223</v>
      </c>
      <c r="AI771" s="14" t="s">
        <v>224</v>
      </c>
      <c r="AJ771" s="55">
        <v>1.04E-5</v>
      </c>
      <c r="AK771" s="55">
        <v>1.88E-5</v>
      </c>
      <c r="AL771" s="55">
        <v>1.2099999999999999E-5</v>
      </c>
      <c r="AM771" s="55">
        <v>1.2999999999999999E-5</v>
      </c>
      <c r="AN771" s="51">
        <v>0.85923250100000004</v>
      </c>
    </row>
    <row r="772" spans="1:40" x14ac:dyDescent="0.35">
      <c r="A772" s="14" t="s">
        <v>207</v>
      </c>
      <c r="B772" s="14">
        <v>1</v>
      </c>
      <c r="C772" s="14">
        <v>20</v>
      </c>
      <c r="D772" s="14">
        <v>4490</v>
      </c>
      <c r="E772" s="45">
        <v>65.13</v>
      </c>
      <c r="F772" s="45">
        <v>1.32</v>
      </c>
      <c r="G772" s="45">
        <v>5.89</v>
      </c>
      <c r="H772" s="45">
        <v>42.7</v>
      </c>
      <c r="K772" s="45">
        <v>1.4500000000000001E-2</v>
      </c>
      <c r="L772" s="45">
        <v>75.550600000000003</v>
      </c>
      <c r="M772" s="45">
        <v>1.2999999999999999E-3</v>
      </c>
      <c r="N772" s="45">
        <v>9.4999999999999998E-3</v>
      </c>
      <c r="O772" s="51">
        <v>58.31167713</v>
      </c>
      <c r="P772" s="51">
        <v>9.7026330000000004E-3</v>
      </c>
      <c r="AG772" s="14" t="s">
        <v>224</v>
      </c>
      <c r="AH772" s="14" t="s">
        <v>223</v>
      </c>
      <c r="AI772" s="14" t="s">
        <v>224</v>
      </c>
      <c r="AJ772" s="55">
        <v>4.1499999999999999E-5</v>
      </c>
      <c r="AK772" s="55">
        <v>2.87E-5</v>
      </c>
      <c r="AL772" s="55">
        <v>2.4499999999999999E-5</v>
      </c>
      <c r="AM772" s="55">
        <v>3.6100000000000003E-5</v>
      </c>
      <c r="AN772" s="51">
        <v>0.86363016100000001</v>
      </c>
    </row>
    <row r="773" spans="1:40" x14ac:dyDescent="0.35">
      <c r="A773" s="14" t="s">
        <v>207</v>
      </c>
      <c r="B773" s="14">
        <v>1</v>
      </c>
      <c r="C773" s="14">
        <v>30</v>
      </c>
      <c r="D773" s="14">
        <v>4490</v>
      </c>
      <c r="E773" s="45">
        <v>61.73</v>
      </c>
      <c r="F773" s="45">
        <v>1.23</v>
      </c>
      <c r="G773" s="45">
        <v>11.28</v>
      </c>
      <c r="H773" s="45">
        <v>39.61</v>
      </c>
      <c r="K773" s="45">
        <v>1.37E-2</v>
      </c>
      <c r="L773" s="45">
        <v>70.691900000000004</v>
      </c>
      <c r="M773" s="45">
        <v>2.5000000000000001E-3</v>
      </c>
      <c r="N773" s="45">
        <v>8.8000000000000005E-3</v>
      </c>
      <c r="O773" s="51">
        <v>60.308506860000001</v>
      </c>
      <c r="P773" s="51">
        <v>8.8707339999999999E-3</v>
      </c>
      <c r="AG773" s="14" t="s">
        <v>224</v>
      </c>
      <c r="AH773" s="14" t="s">
        <v>223</v>
      </c>
      <c r="AI773" s="14" t="s">
        <v>224</v>
      </c>
      <c r="AJ773" s="55">
        <v>3.3699999999999999E-5</v>
      </c>
      <c r="AK773" s="55">
        <v>2.7399999999999999E-5</v>
      </c>
      <c r="AL773" s="55">
        <v>2.19E-5</v>
      </c>
      <c r="AM773" s="55">
        <v>2.2099999999999998E-5</v>
      </c>
      <c r="AN773" s="51">
        <v>0.71952098399999997</v>
      </c>
    </row>
    <row r="774" spans="1:40" x14ac:dyDescent="0.35">
      <c r="A774" s="14" t="s">
        <v>207</v>
      </c>
      <c r="B774" s="14">
        <v>1</v>
      </c>
      <c r="C774" s="14">
        <v>40</v>
      </c>
      <c r="D774" s="14">
        <v>4490</v>
      </c>
      <c r="E774" s="45">
        <v>60.67</v>
      </c>
      <c r="F774" s="45">
        <v>1.0900000000000001</v>
      </c>
      <c r="G774" s="45">
        <v>13.03</v>
      </c>
      <c r="H774" s="45">
        <v>41.12</v>
      </c>
      <c r="K774" s="45">
        <v>1.35E-2</v>
      </c>
      <c r="L774" s="45">
        <v>62.508800000000001</v>
      </c>
      <c r="M774" s="45">
        <v>2.8999999999999998E-3</v>
      </c>
      <c r="N774" s="45">
        <v>9.1999999999999998E-3</v>
      </c>
      <c r="O774" s="51">
        <v>74.875201390000001</v>
      </c>
      <c r="P774" s="51">
        <v>9.1843670000000006E-3</v>
      </c>
      <c r="AG774" s="14" t="s">
        <v>224</v>
      </c>
      <c r="AH774" s="14" t="s">
        <v>223</v>
      </c>
      <c r="AI774" s="14" t="s">
        <v>224</v>
      </c>
      <c r="AJ774" s="55">
        <v>2.7500000000000001E-5</v>
      </c>
      <c r="AK774" s="55">
        <v>3.4499999999999998E-5</v>
      </c>
      <c r="AL774" s="55">
        <v>2.44E-5</v>
      </c>
      <c r="AM774" s="55">
        <v>1.8099999999999999E-5</v>
      </c>
      <c r="AN774" s="51">
        <v>0.68373778500000004</v>
      </c>
    </row>
    <row r="775" spans="1:40" x14ac:dyDescent="0.35">
      <c r="A775" s="14" t="s">
        <v>207</v>
      </c>
      <c r="B775" s="14">
        <v>1</v>
      </c>
      <c r="C775" s="14">
        <v>50</v>
      </c>
      <c r="D775" s="14">
        <v>4490</v>
      </c>
      <c r="E775" s="45">
        <v>57.58</v>
      </c>
      <c r="F775" s="45">
        <v>1.3</v>
      </c>
      <c r="G775" s="45">
        <v>14.73</v>
      </c>
      <c r="H775" s="45">
        <v>43.41</v>
      </c>
      <c r="K775" s="45">
        <v>1.2800000000000001E-2</v>
      </c>
      <c r="L775" s="45">
        <v>74.701400000000007</v>
      </c>
      <c r="M775" s="45">
        <v>3.3E-3</v>
      </c>
      <c r="N775" s="45">
        <v>9.7000000000000003E-3</v>
      </c>
      <c r="O775" s="51">
        <v>73.331068779999995</v>
      </c>
      <c r="P775" s="51">
        <v>9.7283709999999995E-3</v>
      </c>
      <c r="AG775" s="14" t="s">
        <v>224</v>
      </c>
      <c r="AH775" s="14" t="s">
        <v>223</v>
      </c>
      <c r="AI775" s="14" t="s">
        <v>224</v>
      </c>
      <c r="AJ775" s="55">
        <v>3.18E-5</v>
      </c>
      <c r="AK775" s="55">
        <v>3.0599999999999998E-5</v>
      </c>
      <c r="AL775" s="55">
        <v>2.1699999999999999E-5</v>
      </c>
      <c r="AM775" s="55">
        <v>1.9599999999999999E-5</v>
      </c>
      <c r="AN775" s="51">
        <v>0.66244332699999997</v>
      </c>
    </row>
    <row r="776" spans="1:40" x14ac:dyDescent="0.35">
      <c r="A776" s="14" t="s">
        <v>207</v>
      </c>
      <c r="B776" s="14">
        <v>1</v>
      </c>
      <c r="C776" s="14">
        <v>60</v>
      </c>
      <c r="D776" s="14">
        <v>4490</v>
      </c>
      <c r="E776" s="45">
        <v>53.39</v>
      </c>
      <c r="F776" s="45">
        <v>1.28</v>
      </c>
      <c r="G776" s="45">
        <v>14.52</v>
      </c>
      <c r="H776" s="45">
        <v>43.06</v>
      </c>
      <c r="K776" s="45">
        <v>1.1900000000000001E-2</v>
      </c>
      <c r="L776" s="45">
        <v>73.483800000000002</v>
      </c>
      <c r="M776" s="45">
        <v>3.2000000000000002E-3</v>
      </c>
      <c r="N776" s="45">
        <v>9.5999999999999992E-3</v>
      </c>
      <c r="O776" s="51">
        <v>81.777901420000006</v>
      </c>
      <c r="P776" s="51">
        <v>9.6607210000000006E-3</v>
      </c>
      <c r="AG776" s="14" t="s">
        <v>224</v>
      </c>
      <c r="AH776" s="14" t="s">
        <v>223</v>
      </c>
      <c r="AI776" s="14" t="s">
        <v>224</v>
      </c>
      <c r="AJ776" s="55">
        <v>2.69E-5</v>
      </c>
      <c r="AK776" s="55">
        <v>3.0499999999999999E-5</v>
      </c>
      <c r="AL776" s="55">
        <v>1.7799999999999999E-5</v>
      </c>
      <c r="AM776" s="55">
        <v>2.0400000000000001E-5</v>
      </c>
      <c r="AN776" s="51">
        <v>0.66511409099999996</v>
      </c>
    </row>
    <row r="777" spans="1:40" x14ac:dyDescent="0.35">
      <c r="A777" s="14" t="s">
        <v>207</v>
      </c>
      <c r="B777" s="14">
        <v>1</v>
      </c>
      <c r="C777" s="14">
        <v>70</v>
      </c>
      <c r="D777" s="14">
        <v>4490</v>
      </c>
      <c r="E777" s="45">
        <v>54.34</v>
      </c>
      <c r="F777" s="45">
        <v>1.23</v>
      </c>
      <c r="G777" s="45">
        <v>10.7</v>
      </c>
      <c r="H777" s="45">
        <v>41.36</v>
      </c>
      <c r="K777" s="45">
        <v>1.21E-2</v>
      </c>
      <c r="L777" s="45">
        <v>70.312899999999999</v>
      </c>
      <c r="M777" s="45">
        <v>2.3999999999999998E-3</v>
      </c>
      <c r="N777" s="45">
        <v>9.1999999999999998E-3</v>
      </c>
      <c r="O777" s="51">
        <v>79.156695630000002</v>
      </c>
      <c r="P777" s="51">
        <v>9.2559189999999996E-3</v>
      </c>
      <c r="AG777" s="14" t="s">
        <v>224</v>
      </c>
      <c r="AH777" s="14" t="s">
        <v>223</v>
      </c>
      <c r="AI777" s="14" t="s">
        <v>224</v>
      </c>
      <c r="AJ777" s="55">
        <v>2.5899999999999999E-5</v>
      </c>
      <c r="AK777" s="55">
        <v>3.01E-5</v>
      </c>
      <c r="AL777" s="55">
        <v>2.0999999999999999E-5</v>
      </c>
      <c r="AM777" s="55">
        <v>2.0699999999999998E-5</v>
      </c>
      <c r="AN777" s="51">
        <v>0.74412837600000004</v>
      </c>
    </row>
    <row r="778" spans="1:40" x14ac:dyDescent="0.35">
      <c r="A778" s="14" t="s">
        <v>207</v>
      </c>
      <c r="B778" s="14">
        <v>1</v>
      </c>
      <c r="C778" s="14">
        <v>80</v>
      </c>
      <c r="D778" s="14">
        <v>4490</v>
      </c>
      <c r="E778" s="45">
        <v>52.64</v>
      </c>
      <c r="F778" s="45">
        <v>1.1299999999999999</v>
      </c>
      <c r="G778" s="45">
        <v>12.05</v>
      </c>
      <c r="H778" s="45">
        <v>35.229999999999997</v>
      </c>
      <c r="K778" s="45">
        <v>1.17E-2</v>
      </c>
      <c r="L778" s="45">
        <v>64.788499999999999</v>
      </c>
      <c r="M778" s="45">
        <v>2.7000000000000001E-3</v>
      </c>
      <c r="N778" s="45">
        <v>7.7999999999999996E-3</v>
      </c>
      <c r="O778" s="51">
        <v>70.03124631</v>
      </c>
      <c r="P778" s="51">
        <v>8.023868E-3</v>
      </c>
      <c r="AG778" s="14" t="s">
        <v>224</v>
      </c>
      <c r="AH778" s="14" t="s">
        <v>223</v>
      </c>
      <c r="AI778" s="14" t="s">
        <v>224</v>
      </c>
      <c r="AJ778" s="55">
        <v>2.26E-5</v>
      </c>
      <c r="AK778" s="55">
        <v>2.41E-5</v>
      </c>
      <c r="AL778" s="55">
        <v>1.3499999999999999E-5</v>
      </c>
      <c r="AM778" s="55">
        <v>1.7600000000000001E-5</v>
      </c>
      <c r="AN778" s="51">
        <v>0.66737876399999996</v>
      </c>
    </row>
    <row r="779" spans="1:40" x14ac:dyDescent="0.35">
      <c r="A779" s="14" t="s">
        <v>207</v>
      </c>
      <c r="B779" s="14">
        <v>1</v>
      </c>
      <c r="C779" s="14">
        <v>90</v>
      </c>
      <c r="D779" s="14">
        <v>4490</v>
      </c>
      <c r="E779" s="45">
        <v>40.61</v>
      </c>
      <c r="F779" s="45">
        <v>1.03</v>
      </c>
      <c r="G779" s="45">
        <v>4.25</v>
      </c>
      <c r="H779" s="45">
        <v>27.43</v>
      </c>
      <c r="K779" s="45">
        <v>8.9999999999999993E-3</v>
      </c>
      <c r="L779" s="45">
        <v>59.173999999999999</v>
      </c>
      <c r="M779" s="45">
        <v>8.9999999999999998E-4</v>
      </c>
      <c r="N779" s="45">
        <v>6.1000000000000004E-3</v>
      </c>
      <c r="O779" s="51">
        <v>79.197920490000001</v>
      </c>
      <c r="P779" s="51">
        <v>6.1801950000000003E-3</v>
      </c>
      <c r="AG779" s="14" t="s">
        <v>224</v>
      </c>
      <c r="AH779" s="14" t="s">
        <v>223</v>
      </c>
      <c r="AI779" s="14" t="s">
        <v>224</v>
      </c>
      <c r="AJ779" s="55">
        <v>1.15E-5</v>
      </c>
      <c r="AK779" s="55">
        <v>1.6399999999999999E-5</v>
      </c>
      <c r="AL779" s="55">
        <v>1.03E-5</v>
      </c>
      <c r="AM779" s="55">
        <v>1.34E-5</v>
      </c>
      <c r="AN779" s="51">
        <v>0.84888539100000004</v>
      </c>
    </row>
    <row r="780" spans="1:40" x14ac:dyDescent="0.35">
      <c r="A780" s="14" t="s">
        <v>207</v>
      </c>
      <c r="B780" s="14">
        <v>2</v>
      </c>
      <c r="C780" s="14">
        <v>20</v>
      </c>
      <c r="D780" s="14">
        <v>4450</v>
      </c>
      <c r="E780" s="45">
        <v>63.16</v>
      </c>
      <c r="F780" s="45">
        <v>1.1399999999999999</v>
      </c>
      <c r="G780" s="45">
        <v>5.0599999999999996</v>
      </c>
      <c r="H780" s="45">
        <v>46.09</v>
      </c>
      <c r="K780" s="45">
        <v>1.4200000000000001E-2</v>
      </c>
      <c r="L780" s="45">
        <v>65.030799999999999</v>
      </c>
      <c r="M780" s="45">
        <v>1.1000000000000001E-3</v>
      </c>
      <c r="N780" s="45">
        <v>1.04E-2</v>
      </c>
      <c r="O780" s="51">
        <v>77.439335499999999</v>
      </c>
      <c r="P780" s="51">
        <v>1.0381563E-2</v>
      </c>
      <c r="AG780" s="14" t="s">
        <v>224</v>
      </c>
      <c r="AH780" s="14" t="s">
        <v>223</v>
      </c>
      <c r="AI780" s="14" t="s">
        <v>224</v>
      </c>
      <c r="AJ780" s="55">
        <v>3.2400000000000001E-5</v>
      </c>
      <c r="AK780" s="55">
        <v>4.1300000000000001E-5</v>
      </c>
      <c r="AL780" s="55">
        <v>4.2200000000000003E-5</v>
      </c>
      <c r="AM780" s="55">
        <v>2.3300000000000001E-5</v>
      </c>
      <c r="AN780" s="51">
        <v>0.89031507600000004</v>
      </c>
    </row>
    <row r="781" spans="1:40" x14ac:dyDescent="0.35">
      <c r="A781" s="14" t="s">
        <v>207</v>
      </c>
      <c r="B781" s="14">
        <v>2</v>
      </c>
      <c r="C781" s="14">
        <v>30</v>
      </c>
      <c r="D781" s="14">
        <v>4450</v>
      </c>
      <c r="E781" s="45">
        <v>58.43</v>
      </c>
      <c r="F781" s="45">
        <v>1.1299999999999999</v>
      </c>
      <c r="G781" s="45">
        <v>7.1</v>
      </c>
      <c r="H781" s="45">
        <v>37.76</v>
      </c>
      <c r="K781" s="45">
        <v>1.3100000000000001E-2</v>
      </c>
      <c r="L781" s="45">
        <v>64.863200000000006</v>
      </c>
      <c r="M781" s="45">
        <v>1.6000000000000001E-3</v>
      </c>
      <c r="N781" s="45">
        <v>8.5000000000000006E-3</v>
      </c>
      <c r="O781" s="51">
        <v>66.130763979999998</v>
      </c>
      <c r="P781" s="51">
        <v>8.4862099999999992E-3</v>
      </c>
      <c r="AG781" s="14" t="s">
        <v>224</v>
      </c>
      <c r="AH781" s="14" t="s">
        <v>223</v>
      </c>
      <c r="AI781" s="14" t="s">
        <v>224</v>
      </c>
      <c r="AJ781" s="55">
        <v>2.76E-5</v>
      </c>
      <c r="AK781" s="55">
        <v>2.8099999999999999E-5</v>
      </c>
      <c r="AL781" s="55">
        <v>2.3300000000000001E-5</v>
      </c>
      <c r="AM781" s="55">
        <v>2.1999999999999999E-5</v>
      </c>
      <c r="AN781" s="51">
        <v>0.81494345099999999</v>
      </c>
    </row>
    <row r="782" spans="1:40" x14ac:dyDescent="0.35">
      <c r="A782" s="14" t="s">
        <v>207</v>
      </c>
      <c r="B782" s="14">
        <v>2</v>
      </c>
      <c r="C782" s="14">
        <v>40</v>
      </c>
      <c r="D782" s="14">
        <v>4450</v>
      </c>
      <c r="E782" s="45">
        <v>58.26</v>
      </c>
      <c r="F782" s="45">
        <v>1.1399999999999999</v>
      </c>
      <c r="G782" s="45">
        <v>8.94</v>
      </c>
      <c r="H782" s="45">
        <v>43.72</v>
      </c>
      <c r="K782" s="45">
        <v>1.3100000000000001E-2</v>
      </c>
      <c r="L782" s="45">
        <v>65.438400000000001</v>
      </c>
      <c r="M782" s="45">
        <v>2E-3</v>
      </c>
      <c r="N782" s="45">
        <v>9.7999999999999997E-3</v>
      </c>
      <c r="O782" s="51">
        <v>84.357120870000003</v>
      </c>
      <c r="P782" s="51">
        <v>9.9071560000000003E-3</v>
      </c>
      <c r="AG782" s="14" t="s">
        <v>224</v>
      </c>
      <c r="AH782" s="14" t="s">
        <v>223</v>
      </c>
      <c r="AI782" s="14" t="s">
        <v>224</v>
      </c>
      <c r="AJ782" s="55">
        <v>2.69E-5</v>
      </c>
      <c r="AK782" s="55">
        <v>3.7499999999999997E-5</v>
      </c>
      <c r="AL782" s="55">
        <v>2.44E-5</v>
      </c>
      <c r="AM782" s="55">
        <v>2.6999999999999999E-5</v>
      </c>
      <c r="AN782" s="51">
        <v>0.79724531200000004</v>
      </c>
    </row>
    <row r="783" spans="1:40" x14ac:dyDescent="0.35">
      <c r="A783" s="14" t="s">
        <v>207</v>
      </c>
      <c r="B783" s="14">
        <v>2</v>
      </c>
      <c r="C783" s="14">
        <v>50</v>
      </c>
      <c r="D783" s="14">
        <v>4450</v>
      </c>
      <c r="E783" s="45">
        <v>52.85</v>
      </c>
      <c r="F783" s="45">
        <v>1.31</v>
      </c>
      <c r="G783" s="45">
        <v>9.35</v>
      </c>
      <c r="H783" s="45">
        <v>46.89</v>
      </c>
      <c r="K783" s="45">
        <v>1.1900000000000001E-2</v>
      </c>
      <c r="L783" s="45">
        <v>74.9649</v>
      </c>
      <c r="M783" s="45">
        <v>2.0999999999999999E-3</v>
      </c>
      <c r="N783" s="45">
        <v>1.0500000000000001E-2</v>
      </c>
      <c r="O783" s="51">
        <v>92.84278947</v>
      </c>
      <c r="P783" s="51">
        <v>1.0548409E-2</v>
      </c>
      <c r="AG783" s="14" t="s">
        <v>224</v>
      </c>
      <c r="AH783" s="14" t="s">
        <v>223</v>
      </c>
      <c r="AI783" s="14" t="s">
        <v>224</v>
      </c>
      <c r="AJ783" s="55">
        <v>2.6299999999999999E-5</v>
      </c>
      <c r="AK783" s="55">
        <v>3.6100000000000003E-5</v>
      </c>
      <c r="AL783" s="55">
        <v>2.58E-5</v>
      </c>
      <c r="AM783" s="55">
        <v>2.41E-5</v>
      </c>
      <c r="AN783" s="51">
        <v>0.80010711800000001</v>
      </c>
    </row>
    <row r="784" spans="1:40" x14ac:dyDescent="0.35">
      <c r="A784" s="14" t="s">
        <v>207</v>
      </c>
      <c r="B784" s="14">
        <v>2</v>
      </c>
      <c r="C784" s="14">
        <v>60</v>
      </c>
      <c r="D784" s="14">
        <v>4450</v>
      </c>
      <c r="E784" s="45">
        <v>46.58</v>
      </c>
      <c r="F784" s="45">
        <v>1.2</v>
      </c>
      <c r="G784" s="45">
        <v>6.75</v>
      </c>
      <c r="H784" s="45">
        <v>41.73</v>
      </c>
      <c r="K784" s="45">
        <v>1.0500000000000001E-2</v>
      </c>
      <c r="L784" s="45">
        <v>68.708699999999993</v>
      </c>
      <c r="M784" s="45">
        <v>1.5E-3</v>
      </c>
      <c r="N784" s="45">
        <v>9.4000000000000004E-3</v>
      </c>
      <c r="O784" s="51">
        <v>104.55433549999999</v>
      </c>
      <c r="P784" s="51">
        <v>9.4451529999999995E-3</v>
      </c>
      <c r="AG784" s="14" t="s">
        <v>224</v>
      </c>
      <c r="AH784" s="14" t="s">
        <v>223</v>
      </c>
      <c r="AI784" s="14" t="s">
        <v>224</v>
      </c>
      <c r="AJ784" s="55">
        <v>1.7099999999999999E-5</v>
      </c>
      <c r="AK784" s="55">
        <v>3.1399999999999998E-5</v>
      </c>
      <c r="AL784" s="55">
        <v>2.0100000000000001E-5</v>
      </c>
      <c r="AM784" s="55">
        <v>2.0599999999999999E-5</v>
      </c>
      <c r="AN784" s="51">
        <v>0.838216497</v>
      </c>
    </row>
    <row r="785" spans="1:40" x14ac:dyDescent="0.35">
      <c r="A785" s="14" t="s">
        <v>207</v>
      </c>
      <c r="B785" s="14">
        <v>2</v>
      </c>
      <c r="C785" s="14">
        <v>70</v>
      </c>
      <c r="D785" s="14">
        <v>4450</v>
      </c>
      <c r="E785" s="45">
        <v>47.01</v>
      </c>
      <c r="F785" s="45">
        <v>1.1399999999999999</v>
      </c>
      <c r="G785" s="45">
        <v>8.83</v>
      </c>
      <c r="H785" s="45">
        <v>39.93</v>
      </c>
      <c r="K785" s="45">
        <v>1.06E-2</v>
      </c>
      <c r="L785" s="45">
        <v>65.358900000000006</v>
      </c>
      <c r="M785" s="45">
        <v>2E-3</v>
      </c>
      <c r="N785" s="45">
        <v>8.9999999999999993E-3</v>
      </c>
      <c r="O785" s="51">
        <v>103.04495729999999</v>
      </c>
      <c r="P785" s="51">
        <v>9.0048379999999994E-3</v>
      </c>
      <c r="AG785" s="14" t="s">
        <v>224</v>
      </c>
      <c r="AH785" s="14" t="s">
        <v>223</v>
      </c>
      <c r="AI785" s="14" t="s">
        <v>224</v>
      </c>
      <c r="AJ785" s="55">
        <v>1.59E-5</v>
      </c>
      <c r="AK785" s="55">
        <v>3.1300000000000002E-5</v>
      </c>
      <c r="AL785" s="55">
        <v>1.91E-5</v>
      </c>
      <c r="AM785" s="55">
        <v>1.77E-5</v>
      </c>
      <c r="AN785" s="51">
        <v>0.77863951099999995</v>
      </c>
    </row>
    <row r="786" spans="1:40" x14ac:dyDescent="0.35">
      <c r="A786" s="14" t="s">
        <v>207</v>
      </c>
      <c r="B786" s="14">
        <v>2</v>
      </c>
      <c r="C786" s="14">
        <v>80</v>
      </c>
      <c r="D786" s="14">
        <v>4450</v>
      </c>
      <c r="E786" s="45">
        <v>49.5</v>
      </c>
      <c r="F786" s="45">
        <v>0.97</v>
      </c>
      <c r="G786" s="45">
        <v>5.48</v>
      </c>
      <c r="H786" s="45">
        <v>33.86</v>
      </c>
      <c r="K786" s="45">
        <v>1.11E-2</v>
      </c>
      <c r="L786" s="45">
        <v>55.601100000000002</v>
      </c>
      <c r="M786" s="45">
        <v>1.1999999999999999E-3</v>
      </c>
      <c r="N786" s="45">
        <v>7.6E-3</v>
      </c>
      <c r="O786" s="51">
        <v>87.688147499999999</v>
      </c>
      <c r="P786" s="51">
        <v>7.6866429999999999E-3</v>
      </c>
      <c r="AG786" s="14" t="s">
        <v>224</v>
      </c>
      <c r="AH786" s="14" t="s">
        <v>223</v>
      </c>
      <c r="AI786" s="14" t="s">
        <v>224</v>
      </c>
      <c r="AJ786" s="55">
        <v>1.49E-5</v>
      </c>
      <c r="AK786" s="55">
        <v>2.7500000000000001E-5</v>
      </c>
      <c r="AL786" s="55">
        <v>2.05E-5</v>
      </c>
      <c r="AM786" s="55">
        <v>1.5099999999999999E-5</v>
      </c>
      <c r="AN786" s="51">
        <v>0.84097059399999996</v>
      </c>
    </row>
    <row r="787" spans="1:40" x14ac:dyDescent="0.35">
      <c r="A787" s="14" t="s">
        <v>207</v>
      </c>
      <c r="B787" s="14">
        <v>2</v>
      </c>
      <c r="C787" s="14">
        <v>90</v>
      </c>
      <c r="D787" s="14">
        <v>4450</v>
      </c>
      <c r="E787" s="45">
        <v>42.41</v>
      </c>
      <c r="F787" s="45">
        <v>1.1000000000000001</v>
      </c>
      <c r="G787" s="45">
        <v>7.79</v>
      </c>
      <c r="H787" s="45">
        <v>31.26</v>
      </c>
      <c r="K787" s="45">
        <v>9.4999999999999998E-3</v>
      </c>
      <c r="L787" s="45">
        <v>62.901499999999999</v>
      </c>
      <c r="M787" s="45">
        <v>1.6999999999999999E-3</v>
      </c>
      <c r="N787" s="45">
        <v>7.0000000000000001E-3</v>
      </c>
      <c r="O787" s="51">
        <v>85.65133179</v>
      </c>
      <c r="P787" s="51">
        <v>7.1016539999999998E-3</v>
      </c>
      <c r="AG787" s="14" t="s">
        <v>224</v>
      </c>
      <c r="AH787" s="14" t="s">
        <v>223</v>
      </c>
      <c r="AI787" s="14" t="s">
        <v>224</v>
      </c>
      <c r="AJ787" s="55">
        <v>1.36E-5</v>
      </c>
      <c r="AK787" s="55">
        <v>2.02E-5</v>
      </c>
      <c r="AL787" s="55">
        <v>1.27E-5</v>
      </c>
      <c r="AM787" s="55">
        <v>1.2799999999999999E-5</v>
      </c>
      <c r="AN787" s="51">
        <v>0.75355266499999995</v>
      </c>
    </row>
    <row r="788" spans="1:40" x14ac:dyDescent="0.35">
      <c r="A788" s="14" t="s">
        <v>207</v>
      </c>
      <c r="B788" s="14">
        <v>3</v>
      </c>
      <c r="C788" s="14">
        <v>20</v>
      </c>
      <c r="D788" s="14">
        <v>3920</v>
      </c>
      <c r="E788" s="45">
        <v>49.52</v>
      </c>
      <c r="F788" s="45">
        <v>1.1200000000000001</v>
      </c>
      <c r="G788" s="45">
        <v>4.4400000000000004</v>
      </c>
      <c r="H788" s="45">
        <v>34.61</v>
      </c>
      <c r="K788" s="45">
        <v>1.26E-2</v>
      </c>
      <c r="L788" s="45">
        <v>63.912199999999999</v>
      </c>
      <c r="M788" s="45">
        <v>1.1000000000000001E-3</v>
      </c>
      <c r="N788" s="45">
        <v>8.8000000000000005E-3</v>
      </c>
      <c r="O788" s="51">
        <v>76.364865269999996</v>
      </c>
      <c r="P788" s="51">
        <v>8.8295519999999992E-3</v>
      </c>
      <c r="AG788" s="14" t="s">
        <v>224</v>
      </c>
      <c r="AH788" s="14" t="s">
        <v>223</v>
      </c>
      <c r="AI788" s="14" t="s">
        <v>224</v>
      </c>
      <c r="AJ788" s="55">
        <v>2.4600000000000002E-5</v>
      </c>
      <c r="AK788" s="55">
        <v>3.1199999999999999E-5</v>
      </c>
      <c r="AL788" s="55">
        <v>2.1699999999999999E-5</v>
      </c>
      <c r="AM788" s="55">
        <v>2.6999999999999999E-5</v>
      </c>
      <c r="AN788" s="51">
        <v>0.87392776500000002</v>
      </c>
    </row>
    <row r="789" spans="1:40" x14ac:dyDescent="0.35">
      <c r="A789" s="14" t="s">
        <v>207</v>
      </c>
      <c r="B789" s="14">
        <v>3</v>
      </c>
      <c r="C789" s="14">
        <v>30</v>
      </c>
      <c r="D789" s="14">
        <v>3920</v>
      </c>
      <c r="E789" s="45">
        <v>49.09</v>
      </c>
      <c r="F789" s="45">
        <v>1.03</v>
      </c>
      <c r="G789" s="45">
        <v>4.63</v>
      </c>
      <c r="H789" s="45">
        <v>31.92</v>
      </c>
      <c r="K789" s="45">
        <v>1.2500000000000001E-2</v>
      </c>
      <c r="L789" s="45">
        <v>59.0533</v>
      </c>
      <c r="M789" s="45">
        <v>1.1999999999999999E-3</v>
      </c>
      <c r="N789" s="45">
        <v>8.0999999999999996E-3</v>
      </c>
      <c r="O789" s="51">
        <v>74.573770969999998</v>
      </c>
      <c r="P789" s="51">
        <v>8.1430589999999994E-3</v>
      </c>
      <c r="AG789" s="14" t="s">
        <v>224</v>
      </c>
      <c r="AH789" s="14" t="s">
        <v>223</v>
      </c>
      <c r="AI789" s="14" t="s">
        <v>224</v>
      </c>
      <c r="AJ789" s="55">
        <v>2.1800000000000001E-5</v>
      </c>
      <c r="AK789" s="55">
        <v>2.9200000000000002E-5</v>
      </c>
      <c r="AL789" s="55">
        <v>2.3E-5</v>
      </c>
      <c r="AM789" s="55">
        <v>2.05E-5</v>
      </c>
      <c r="AN789" s="51">
        <v>0.85546836800000003</v>
      </c>
    </row>
    <row r="790" spans="1:40" x14ac:dyDescent="0.35">
      <c r="A790" s="14" t="s">
        <v>207</v>
      </c>
      <c r="B790" s="14">
        <v>3</v>
      </c>
      <c r="C790" s="14">
        <v>40</v>
      </c>
      <c r="D790" s="14">
        <v>3920</v>
      </c>
      <c r="E790" s="45">
        <v>46.29</v>
      </c>
      <c r="F790" s="45">
        <v>1.07</v>
      </c>
      <c r="G790" s="45">
        <v>5.22</v>
      </c>
      <c r="H790" s="45">
        <v>33.299999999999997</v>
      </c>
      <c r="K790" s="45">
        <v>1.18E-2</v>
      </c>
      <c r="L790" s="45">
        <v>61.580300000000001</v>
      </c>
      <c r="M790" s="45">
        <v>1.2999999999999999E-3</v>
      </c>
      <c r="N790" s="45">
        <v>8.5000000000000006E-3</v>
      </c>
      <c r="O790" s="51">
        <v>84.292477989999995</v>
      </c>
      <c r="P790" s="51">
        <v>8.5041839999999997E-3</v>
      </c>
      <c r="AG790" s="14" t="s">
        <v>224</v>
      </c>
      <c r="AH790" s="14" t="s">
        <v>223</v>
      </c>
      <c r="AI790" s="14" t="s">
        <v>224</v>
      </c>
      <c r="AJ790" s="55">
        <v>2.0000000000000002E-5</v>
      </c>
      <c r="AK790" s="55">
        <v>3.0300000000000001E-5</v>
      </c>
      <c r="AL790" s="55">
        <v>2.27E-5</v>
      </c>
      <c r="AM790" s="55">
        <v>1.9700000000000001E-5</v>
      </c>
      <c r="AN790" s="51">
        <v>0.84353893499999999</v>
      </c>
    </row>
    <row r="791" spans="1:40" x14ac:dyDescent="0.35">
      <c r="A791" s="14" t="s">
        <v>207</v>
      </c>
      <c r="B791" s="14">
        <v>3</v>
      </c>
      <c r="C791" s="14">
        <v>50</v>
      </c>
      <c r="D791" s="14">
        <v>3920</v>
      </c>
      <c r="E791" s="45">
        <v>43.42</v>
      </c>
      <c r="F791" s="45">
        <v>1.24</v>
      </c>
      <c r="G791" s="45">
        <v>3.71</v>
      </c>
      <c r="H791" s="45">
        <v>35.86</v>
      </c>
      <c r="K791" s="45">
        <v>1.11E-2</v>
      </c>
      <c r="L791" s="45">
        <v>71.0458</v>
      </c>
      <c r="M791" s="45">
        <v>8.9999999999999998E-4</v>
      </c>
      <c r="N791" s="45">
        <v>9.1000000000000004E-3</v>
      </c>
      <c r="O791" s="51">
        <v>88.302326629999996</v>
      </c>
      <c r="P791" s="51">
        <v>9.1558309999999997E-3</v>
      </c>
      <c r="AG791" s="14" t="s">
        <v>224</v>
      </c>
      <c r="AH791" s="14" t="s">
        <v>223</v>
      </c>
      <c r="AI791" s="14" t="s">
        <v>224</v>
      </c>
      <c r="AJ791" s="55">
        <v>2.1500000000000001E-5</v>
      </c>
      <c r="AK791" s="55">
        <v>2.9200000000000002E-5</v>
      </c>
      <c r="AL791" s="55">
        <v>2.0699999999999998E-5</v>
      </c>
      <c r="AM791" s="55">
        <v>2.48E-5</v>
      </c>
      <c r="AN791" s="51">
        <v>0.89674058800000001</v>
      </c>
    </row>
    <row r="792" spans="1:40" x14ac:dyDescent="0.35">
      <c r="A792" s="14" t="s">
        <v>207</v>
      </c>
      <c r="B792" s="14">
        <v>3</v>
      </c>
      <c r="C792" s="14">
        <v>60</v>
      </c>
      <c r="D792" s="14">
        <v>3920</v>
      </c>
      <c r="E792" s="45">
        <v>43.66</v>
      </c>
      <c r="F792" s="45">
        <v>1.19</v>
      </c>
      <c r="G792" s="45">
        <v>4.57</v>
      </c>
      <c r="H792" s="45">
        <v>34.1</v>
      </c>
      <c r="K792" s="45">
        <v>1.11E-2</v>
      </c>
      <c r="L792" s="45">
        <v>68.367000000000004</v>
      </c>
      <c r="M792" s="45">
        <v>1.1999999999999999E-3</v>
      </c>
      <c r="N792" s="45">
        <v>8.6999999999999994E-3</v>
      </c>
      <c r="O792" s="51">
        <v>84.197617780000002</v>
      </c>
      <c r="P792" s="51">
        <v>8.7077330000000005E-3</v>
      </c>
      <c r="AG792" s="14" t="s">
        <v>224</v>
      </c>
      <c r="AH792" s="14" t="s">
        <v>223</v>
      </c>
      <c r="AI792" s="14" t="s">
        <v>224</v>
      </c>
      <c r="AJ792" s="55">
        <v>2.0699999999999998E-5</v>
      </c>
      <c r="AK792" s="55">
        <v>2.7800000000000001E-5</v>
      </c>
      <c r="AL792" s="55">
        <v>1.7600000000000001E-5</v>
      </c>
      <c r="AM792" s="55">
        <v>2.44E-5</v>
      </c>
      <c r="AN792" s="51">
        <v>0.86615431399999998</v>
      </c>
    </row>
    <row r="793" spans="1:40" x14ac:dyDescent="0.35">
      <c r="A793" s="14" t="s">
        <v>207</v>
      </c>
      <c r="B793" s="14">
        <v>3</v>
      </c>
      <c r="C793" s="14">
        <v>70</v>
      </c>
      <c r="D793" s="14">
        <v>3920</v>
      </c>
      <c r="E793" s="45">
        <v>42.47</v>
      </c>
      <c r="F793" s="45">
        <v>1.1299999999999999</v>
      </c>
      <c r="G793" s="45">
        <v>4.07</v>
      </c>
      <c r="H793" s="45">
        <v>31.32</v>
      </c>
      <c r="K793" s="45">
        <v>1.0800000000000001E-2</v>
      </c>
      <c r="L793" s="45">
        <v>64.701800000000006</v>
      </c>
      <c r="M793" s="45">
        <v>1E-3</v>
      </c>
      <c r="N793" s="45">
        <v>8.0000000000000002E-3</v>
      </c>
      <c r="O793" s="51">
        <v>82.817443269999998</v>
      </c>
      <c r="P793" s="51">
        <v>8.0102599999999999E-3</v>
      </c>
      <c r="AG793" s="14" t="s">
        <v>224</v>
      </c>
      <c r="AH793" s="14" t="s">
        <v>223</v>
      </c>
      <c r="AI793" s="14" t="s">
        <v>224</v>
      </c>
      <c r="AJ793" s="55">
        <v>1.8099999999999999E-5</v>
      </c>
      <c r="AK793" s="55">
        <v>2.5199999999999999E-5</v>
      </c>
      <c r="AL793" s="55">
        <v>1.7200000000000001E-5</v>
      </c>
      <c r="AM793" s="55">
        <v>2.05E-5</v>
      </c>
      <c r="AN793" s="51">
        <v>0.87062063499999998</v>
      </c>
    </row>
    <row r="794" spans="1:40" x14ac:dyDescent="0.35">
      <c r="A794" s="14" t="s">
        <v>207</v>
      </c>
      <c r="B794" s="14">
        <v>3</v>
      </c>
      <c r="C794" s="14">
        <v>80</v>
      </c>
      <c r="D794" s="14">
        <v>3920</v>
      </c>
      <c r="E794" s="45">
        <v>40.04</v>
      </c>
      <c r="F794" s="45">
        <v>1.04</v>
      </c>
      <c r="G794" s="45">
        <v>3.52</v>
      </c>
      <c r="H794" s="45">
        <v>28.4</v>
      </c>
      <c r="K794" s="45">
        <v>1.0200000000000001E-2</v>
      </c>
      <c r="L794" s="45">
        <v>59.712899999999998</v>
      </c>
      <c r="M794" s="45">
        <v>8.9999999999999998E-4</v>
      </c>
      <c r="N794" s="45">
        <v>7.1999999999999998E-3</v>
      </c>
      <c r="O794" s="51">
        <v>85.495505089999995</v>
      </c>
      <c r="P794" s="51">
        <v>7.246616E-3</v>
      </c>
      <c r="AG794" s="14" t="s">
        <v>224</v>
      </c>
      <c r="AH794" s="14" t="s">
        <v>223</v>
      </c>
      <c r="AI794" s="14" t="s">
        <v>224</v>
      </c>
      <c r="AJ794" s="55">
        <v>1.42E-5</v>
      </c>
      <c r="AK794" s="55">
        <v>2.2799999999999999E-5</v>
      </c>
      <c r="AL794" s="55">
        <v>1.4600000000000001E-5</v>
      </c>
      <c r="AM794" s="55">
        <v>1.7799999999999999E-5</v>
      </c>
      <c r="AN794" s="51">
        <v>0.87630814800000001</v>
      </c>
    </row>
    <row r="795" spans="1:40" x14ac:dyDescent="0.35">
      <c r="A795" s="14" t="s">
        <v>207</v>
      </c>
      <c r="B795" s="14">
        <v>3</v>
      </c>
      <c r="C795" s="14">
        <v>90</v>
      </c>
      <c r="D795" s="14">
        <v>3920</v>
      </c>
      <c r="E795" s="45">
        <v>36.11</v>
      </c>
      <c r="F795" s="45">
        <v>0.98</v>
      </c>
      <c r="G795" s="45">
        <v>3.37</v>
      </c>
      <c r="H795" s="45">
        <v>23.29</v>
      </c>
      <c r="K795" s="45">
        <v>9.1999999999999998E-3</v>
      </c>
      <c r="L795" s="45">
        <v>55.969900000000003</v>
      </c>
      <c r="M795" s="45">
        <v>8.9999999999999998E-4</v>
      </c>
      <c r="N795" s="45">
        <v>5.8999999999999999E-3</v>
      </c>
      <c r="O795" s="51">
        <v>78.679403320000006</v>
      </c>
      <c r="P795" s="51">
        <v>5.9472170000000003E-3</v>
      </c>
      <c r="AG795" s="14" t="s">
        <v>224</v>
      </c>
      <c r="AH795" s="14" t="s">
        <v>223</v>
      </c>
      <c r="AI795" s="14" t="s">
        <v>224</v>
      </c>
      <c r="AJ795" s="55">
        <v>1.08E-5</v>
      </c>
      <c r="AK795" s="55">
        <v>1.66E-5</v>
      </c>
      <c r="AL795" s="55">
        <v>1.22E-5</v>
      </c>
      <c r="AM795" s="55">
        <v>1.13E-5</v>
      </c>
      <c r="AN795" s="51">
        <v>0.85700557899999996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37085E-A238-4696-A0F9-DE721470FC17}">
  <dimension ref="A1:B6"/>
  <sheetViews>
    <sheetView workbookViewId="0">
      <selection activeCell="B7" sqref="B7"/>
    </sheetView>
  </sheetViews>
  <sheetFormatPr defaultColWidth="8.81640625" defaultRowHeight="14.5" x14ac:dyDescent="0.35"/>
  <cols>
    <col min="1" max="1" width="14" customWidth="1"/>
  </cols>
  <sheetData>
    <row r="1" spans="1:2" ht="15" thickBot="1" x14ac:dyDescent="0.4">
      <c r="A1" s="19" t="s">
        <v>17</v>
      </c>
      <c r="B1" t="s">
        <v>109</v>
      </c>
    </row>
    <row r="2" spans="1:2" ht="15" thickBot="1" x14ac:dyDescent="0.4">
      <c r="A2" s="19" t="s">
        <v>56</v>
      </c>
      <c r="B2" t="s">
        <v>108</v>
      </c>
    </row>
    <row r="3" spans="1:2" ht="15" thickBot="1" x14ac:dyDescent="0.4">
      <c r="A3" s="19" t="s">
        <v>19</v>
      </c>
      <c r="B3" t="s">
        <v>110</v>
      </c>
    </row>
    <row r="4" spans="1:2" ht="15" thickBot="1" x14ac:dyDescent="0.4">
      <c r="A4" s="19" t="s">
        <v>57</v>
      </c>
      <c r="B4" t="s">
        <v>111</v>
      </c>
    </row>
    <row r="5" spans="1:2" ht="15" thickBot="1" x14ac:dyDescent="0.4">
      <c r="A5" s="19" t="s">
        <v>59</v>
      </c>
      <c r="B5" t="s">
        <v>112</v>
      </c>
    </row>
    <row r="6" spans="1:2" ht="15" thickBot="1" x14ac:dyDescent="0.4">
      <c r="A6" s="19" t="s">
        <v>60</v>
      </c>
      <c r="B6" t="s">
        <v>113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854C19-28F3-4C01-968C-95397D715081}">
  <dimension ref="A1:W3"/>
  <sheetViews>
    <sheetView workbookViewId="0">
      <selection activeCell="O3" sqref="O3"/>
    </sheetView>
  </sheetViews>
  <sheetFormatPr defaultColWidth="8.81640625" defaultRowHeight="14.5" x14ac:dyDescent="0.35"/>
  <sheetData>
    <row r="1" spans="1:23" s="5" customFormat="1" ht="15.5" customHeight="1" x14ac:dyDescent="0.35">
      <c r="A1" s="1" t="s">
        <v>9</v>
      </c>
      <c r="B1" s="2"/>
      <c r="C1" s="1"/>
      <c r="D1" s="3"/>
      <c r="E1" s="4"/>
      <c r="F1" s="3"/>
      <c r="G1" s="57" t="s">
        <v>10</v>
      </c>
      <c r="H1" s="57"/>
      <c r="I1" s="57"/>
      <c r="J1" s="57"/>
      <c r="K1" s="57" t="s">
        <v>11</v>
      </c>
      <c r="L1" s="57"/>
      <c r="M1" s="57"/>
      <c r="N1" s="57"/>
      <c r="O1" s="4"/>
      <c r="P1" s="4"/>
      <c r="Q1" s="4"/>
      <c r="R1" s="4"/>
      <c r="S1" s="4"/>
    </row>
    <row r="2" spans="1:23" s="10" customFormat="1" ht="15.5" customHeight="1" x14ac:dyDescent="0.3">
      <c r="A2" s="6" t="s">
        <v>33</v>
      </c>
      <c r="B2" s="7" t="s">
        <v>36</v>
      </c>
      <c r="C2" s="6" t="s">
        <v>6</v>
      </c>
      <c r="D2" s="8" t="s">
        <v>12</v>
      </c>
      <c r="E2" s="8" t="s">
        <v>37</v>
      </c>
      <c r="F2" s="8" t="s">
        <v>38</v>
      </c>
      <c r="G2" s="8" t="s">
        <v>13</v>
      </c>
      <c r="H2" s="8" t="s">
        <v>14</v>
      </c>
      <c r="I2" s="8" t="s">
        <v>15</v>
      </c>
      <c r="J2" s="8" t="s">
        <v>16</v>
      </c>
      <c r="K2" s="8" t="s">
        <v>17</v>
      </c>
      <c r="L2" s="8" t="s">
        <v>18</v>
      </c>
      <c r="M2" s="8" t="s">
        <v>19</v>
      </c>
      <c r="N2" s="8" t="s">
        <v>20</v>
      </c>
      <c r="O2" s="8" t="s">
        <v>39</v>
      </c>
      <c r="P2" s="8" t="s">
        <v>40</v>
      </c>
      <c r="Q2" s="8" t="s">
        <v>41</v>
      </c>
      <c r="R2" s="8" t="s">
        <v>42</v>
      </c>
      <c r="S2" s="8" t="s">
        <v>43</v>
      </c>
      <c r="T2" s="9" t="s">
        <v>44</v>
      </c>
      <c r="U2" s="9" t="s">
        <v>45</v>
      </c>
      <c r="V2" s="9" t="s">
        <v>46</v>
      </c>
      <c r="W2" s="9" t="s">
        <v>47</v>
      </c>
    </row>
    <row r="3" spans="1:23" s="10" customFormat="1" ht="15.5" customHeight="1" x14ac:dyDescent="0.3">
      <c r="A3" s="6" t="s">
        <v>48</v>
      </c>
      <c r="B3" s="7">
        <v>0.2</v>
      </c>
      <c r="C3" s="10">
        <v>1</v>
      </c>
      <c r="D3" s="11">
        <v>3229.7</v>
      </c>
      <c r="E3" s="11">
        <v>1.53214217753896E-2</v>
      </c>
      <c r="F3" s="11">
        <f t="shared" ref="F3" si="0">0.111483*B3-0.00998</f>
        <v>1.23166E-2</v>
      </c>
      <c r="G3" s="11">
        <v>55.92</v>
      </c>
      <c r="H3" s="11">
        <v>1.1499999999999999</v>
      </c>
      <c r="I3" s="11">
        <v>6.06</v>
      </c>
      <c r="J3" s="11">
        <v>42.25</v>
      </c>
      <c r="K3" s="11">
        <v>1.7299999999999999E-2</v>
      </c>
      <c r="L3" s="11">
        <v>65.829499999999996</v>
      </c>
      <c r="M3" s="11">
        <v>1.9E-3</v>
      </c>
      <c r="N3" s="11">
        <v>1.3100000000000001E-2</v>
      </c>
      <c r="O3" s="10">
        <v>21.979873590955599</v>
      </c>
      <c r="P3" s="11">
        <v>0.179099804411331</v>
      </c>
      <c r="Q3" s="11">
        <v>-1045026.42260483</v>
      </c>
      <c r="R3" s="11">
        <v>4.9948854983094496E-4</v>
      </c>
      <c r="S3" s="10" t="s">
        <v>49</v>
      </c>
      <c r="T3" s="10">
        <v>0</v>
      </c>
      <c r="U3" s="10">
        <v>55</v>
      </c>
      <c r="V3" s="10">
        <f t="shared" ref="V3" si="1">U3-T3</f>
        <v>55</v>
      </c>
      <c r="W3" s="10" t="s">
        <v>50</v>
      </c>
    </row>
  </sheetData>
  <mergeCells count="2">
    <mergeCell ref="G1:J1"/>
    <mergeCell ref="K1:N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PositionChart</vt:lpstr>
      <vt:lpstr>VertMeasurements</vt:lpstr>
      <vt:lpstr>Measurement Labels</vt:lpstr>
      <vt:lpstr>CompiledDataTable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Cassandra Donatelli</cp:lastModifiedBy>
  <dcterms:created xsi:type="dcterms:W3CDTF">2019-05-22T13:34:37Z</dcterms:created>
  <dcterms:modified xsi:type="dcterms:W3CDTF">2020-12-17T18:47:40Z</dcterms:modified>
</cp:coreProperties>
</file>